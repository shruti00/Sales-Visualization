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6.xml" ContentType="application/vnd.openxmlformats-officedocument.spreadsheetml.table+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shrsuvar\Downloads\"/>
    </mc:Choice>
  </mc:AlternateContent>
  <xr:revisionPtr revIDLastSave="0" documentId="13_ncr:1_{3B303CA2-F622-4171-B6AD-FBFFE41D268C}" xr6:coauthVersionLast="47" xr6:coauthVersionMax="47" xr10:uidLastSave="{00000000-0000-0000-0000-000000000000}"/>
  <bookViews>
    <workbookView xWindow="-110" yWindow="-110" windowWidth="19420" windowHeight="10300" firstSheet="1" activeTab="7" xr2:uid="{26F9CBE8-24C5-4996-99B3-E6E708CDB737}"/>
  </bookViews>
  <sheets>
    <sheet name="Dataset description" sheetId="10" r:id="rId1"/>
    <sheet name="Raw sales dataset" sheetId="9" r:id="rId2"/>
    <sheet name="Cleaned Dataset" sheetId="2" r:id="rId3"/>
    <sheet name="Q1" sheetId="1" r:id="rId4"/>
    <sheet name="Q2" sheetId="5" r:id="rId5"/>
    <sheet name="Q3" sheetId="6" r:id="rId6"/>
    <sheet name="Q4" sheetId="7" r:id="rId7"/>
    <sheet name="Dashboard" sheetId="8" r:id="rId8"/>
  </sheets>
  <definedNames>
    <definedName name="ExternalData_1" localSheetId="2" hidden="1">'Cleaned Dataset'!$A$1:$O$1177</definedName>
    <definedName name="Slicer_Cleaned_Category">#N/A</definedName>
    <definedName name="Slicer_Market_Tier">#N/A</definedName>
    <definedName name="Slicer_Payment_Method">#N/A</definedName>
    <definedName name="Slicer_Region">#N/A</definedName>
  </definedNames>
  <calcPr calcId="191029"/>
  <pivotCaches>
    <pivotCache cacheId="7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10" i="2" l="1"/>
  <c r="T8" i="2"/>
  <c r="T5" i="2"/>
  <c r="T3" i="2"/>
  <c r="T30" i="2"/>
  <c r="T29" i="2"/>
  <c r="T28" i="2"/>
  <c r="T27" i="2"/>
  <c r="Q30" i="2"/>
  <c r="G318"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Q24"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J2" i="2"/>
  <c r="K2" i="2" s="1"/>
  <c r="J3" i="2"/>
  <c r="K3" i="2" s="1"/>
  <c r="J4" i="2"/>
  <c r="K4" i="2" s="1"/>
  <c r="J5" i="2"/>
  <c r="K5" i="2" s="1"/>
  <c r="J6" i="2"/>
  <c r="K6" i="2" s="1"/>
  <c r="J7" i="2"/>
  <c r="K7" i="2" s="1"/>
  <c r="J8" i="2"/>
  <c r="K8" i="2" s="1"/>
  <c r="J9" i="2"/>
  <c r="K9" i="2" s="1"/>
  <c r="J10" i="2"/>
  <c r="K10" i="2" s="1"/>
  <c r="J11" i="2"/>
  <c r="K11" i="2" s="1"/>
  <c r="J12" i="2"/>
  <c r="K12" i="2" s="1"/>
  <c r="J13" i="2"/>
  <c r="K13" i="2" s="1"/>
  <c r="J14" i="2"/>
  <c r="K14" i="2" s="1"/>
  <c r="J15" i="2"/>
  <c r="K15" i="2" s="1"/>
  <c r="J16" i="2"/>
  <c r="K16" i="2" s="1"/>
  <c r="J17" i="2"/>
  <c r="K17" i="2" s="1"/>
  <c r="J18" i="2"/>
  <c r="K18" i="2" s="1"/>
  <c r="J19" i="2"/>
  <c r="K19" i="2" s="1"/>
  <c r="J20" i="2"/>
  <c r="K20" i="2" s="1"/>
  <c r="J21" i="2"/>
  <c r="K21" i="2" s="1"/>
  <c r="J22" i="2"/>
  <c r="K22" i="2" s="1"/>
  <c r="J23" i="2"/>
  <c r="K23" i="2" s="1"/>
  <c r="J24" i="2"/>
  <c r="K24" i="2" s="1"/>
  <c r="J25" i="2"/>
  <c r="K25" i="2" s="1"/>
  <c r="J26" i="2"/>
  <c r="K26" i="2" s="1"/>
  <c r="J27" i="2"/>
  <c r="K27" i="2" s="1"/>
  <c r="J28" i="2"/>
  <c r="K28" i="2" s="1"/>
  <c r="J29" i="2"/>
  <c r="K29" i="2" s="1"/>
  <c r="J30" i="2"/>
  <c r="K30" i="2" s="1"/>
  <c r="J31" i="2"/>
  <c r="K31" i="2" s="1"/>
  <c r="J32" i="2"/>
  <c r="K32" i="2" s="1"/>
  <c r="J33" i="2"/>
  <c r="K33" i="2" s="1"/>
  <c r="J34" i="2"/>
  <c r="K34" i="2" s="1"/>
  <c r="J35" i="2"/>
  <c r="K35" i="2" s="1"/>
  <c r="J36" i="2"/>
  <c r="K36" i="2" s="1"/>
  <c r="J37" i="2"/>
  <c r="K37" i="2" s="1"/>
  <c r="J38" i="2"/>
  <c r="K38" i="2" s="1"/>
  <c r="J39" i="2"/>
  <c r="K39" i="2" s="1"/>
  <c r="J40" i="2"/>
  <c r="K40" i="2" s="1"/>
  <c r="J41" i="2"/>
  <c r="K41" i="2" s="1"/>
  <c r="J42" i="2"/>
  <c r="K42" i="2" s="1"/>
  <c r="J43" i="2"/>
  <c r="K43" i="2" s="1"/>
  <c r="J44" i="2"/>
  <c r="K44" i="2" s="1"/>
  <c r="J45" i="2"/>
  <c r="K45" i="2" s="1"/>
  <c r="J46" i="2"/>
  <c r="K46" i="2" s="1"/>
  <c r="J47" i="2"/>
  <c r="K47" i="2" s="1"/>
  <c r="J48" i="2"/>
  <c r="K48" i="2" s="1"/>
  <c r="J49" i="2"/>
  <c r="K49" i="2" s="1"/>
  <c r="J50" i="2"/>
  <c r="K50" i="2" s="1"/>
  <c r="J51" i="2"/>
  <c r="K51" i="2" s="1"/>
  <c r="J52" i="2"/>
  <c r="K52" i="2" s="1"/>
  <c r="J53" i="2"/>
  <c r="K53" i="2" s="1"/>
  <c r="J54" i="2"/>
  <c r="K54" i="2" s="1"/>
  <c r="J55" i="2"/>
  <c r="K55" i="2" s="1"/>
  <c r="J56" i="2"/>
  <c r="K56" i="2" s="1"/>
  <c r="J57" i="2"/>
  <c r="K57" i="2" s="1"/>
  <c r="J58" i="2"/>
  <c r="K58" i="2" s="1"/>
  <c r="J59" i="2"/>
  <c r="K59" i="2" s="1"/>
  <c r="J60" i="2"/>
  <c r="K60" i="2" s="1"/>
  <c r="J61" i="2"/>
  <c r="K61" i="2" s="1"/>
  <c r="J62" i="2"/>
  <c r="K62" i="2" s="1"/>
  <c r="J63" i="2"/>
  <c r="K63" i="2" s="1"/>
  <c r="J64" i="2"/>
  <c r="K64" i="2" s="1"/>
  <c r="J65" i="2"/>
  <c r="K65" i="2" s="1"/>
  <c r="J66" i="2"/>
  <c r="K66" i="2" s="1"/>
  <c r="J67" i="2"/>
  <c r="K67" i="2" s="1"/>
  <c r="J68" i="2"/>
  <c r="K68" i="2" s="1"/>
  <c r="J69" i="2"/>
  <c r="K69" i="2" s="1"/>
  <c r="J70" i="2"/>
  <c r="K70" i="2" s="1"/>
  <c r="J71" i="2"/>
  <c r="K71" i="2" s="1"/>
  <c r="J72" i="2"/>
  <c r="K72" i="2" s="1"/>
  <c r="J73" i="2"/>
  <c r="K73" i="2" s="1"/>
  <c r="J74" i="2"/>
  <c r="K74" i="2" s="1"/>
  <c r="J75" i="2"/>
  <c r="K75" i="2" s="1"/>
  <c r="J76" i="2"/>
  <c r="K76" i="2" s="1"/>
  <c r="J77" i="2"/>
  <c r="K77" i="2" s="1"/>
  <c r="J78" i="2"/>
  <c r="K78" i="2" s="1"/>
  <c r="J79" i="2"/>
  <c r="K79" i="2" s="1"/>
  <c r="J80" i="2"/>
  <c r="K80" i="2" s="1"/>
  <c r="J81" i="2"/>
  <c r="K81" i="2" s="1"/>
  <c r="J82" i="2"/>
  <c r="K82" i="2" s="1"/>
  <c r="J83" i="2"/>
  <c r="K83" i="2" s="1"/>
  <c r="J84" i="2"/>
  <c r="K84" i="2" s="1"/>
  <c r="J85" i="2"/>
  <c r="K85" i="2" s="1"/>
  <c r="J86" i="2"/>
  <c r="K86" i="2" s="1"/>
  <c r="J87" i="2"/>
  <c r="K87" i="2" s="1"/>
  <c r="J88" i="2"/>
  <c r="K88" i="2" s="1"/>
  <c r="J89" i="2"/>
  <c r="K89" i="2" s="1"/>
  <c r="J90" i="2"/>
  <c r="K90" i="2" s="1"/>
  <c r="J91" i="2"/>
  <c r="K91" i="2" s="1"/>
  <c r="J92" i="2"/>
  <c r="K92" i="2" s="1"/>
  <c r="J93" i="2"/>
  <c r="K93" i="2" s="1"/>
  <c r="J94" i="2"/>
  <c r="K94" i="2" s="1"/>
  <c r="J95" i="2"/>
  <c r="K95" i="2" s="1"/>
  <c r="J96" i="2"/>
  <c r="K96" i="2" s="1"/>
  <c r="J97" i="2"/>
  <c r="K97" i="2" s="1"/>
  <c r="J98" i="2"/>
  <c r="K98" i="2" s="1"/>
  <c r="J99" i="2"/>
  <c r="K99" i="2" s="1"/>
  <c r="J100" i="2"/>
  <c r="K100" i="2" s="1"/>
  <c r="J101" i="2"/>
  <c r="K101" i="2" s="1"/>
  <c r="J102" i="2"/>
  <c r="K102" i="2" s="1"/>
  <c r="J103" i="2"/>
  <c r="K103" i="2" s="1"/>
  <c r="J104" i="2"/>
  <c r="K104" i="2" s="1"/>
  <c r="J105" i="2"/>
  <c r="K105" i="2" s="1"/>
  <c r="J106" i="2"/>
  <c r="K106" i="2" s="1"/>
  <c r="J107" i="2"/>
  <c r="K107" i="2" s="1"/>
  <c r="J108" i="2"/>
  <c r="K108" i="2" s="1"/>
  <c r="J109" i="2"/>
  <c r="K109" i="2" s="1"/>
  <c r="J110" i="2"/>
  <c r="K110" i="2" s="1"/>
  <c r="J111" i="2"/>
  <c r="K111" i="2" s="1"/>
  <c r="J112" i="2"/>
  <c r="K112" i="2" s="1"/>
  <c r="J113" i="2"/>
  <c r="K113" i="2" s="1"/>
  <c r="J114" i="2"/>
  <c r="K114" i="2" s="1"/>
  <c r="J115" i="2"/>
  <c r="K115" i="2" s="1"/>
  <c r="J116" i="2"/>
  <c r="K116" i="2" s="1"/>
  <c r="J117" i="2"/>
  <c r="K117" i="2" s="1"/>
  <c r="J118" i="2"/>
  <c r="K118" i="2" s="1"/>
  <c r="J119" i="2"/>
  <c r="K119" i="2" s="1"/>
  <c r="J120" i="2"/>
  <c r="K120" i="2" s="1"/>
  <c r="J121" i="2"/>
  <c r="K121" i="2" s="1"/>
  <c r="J122" i="2"/>
  <c r="K122" i="2" s="1"/>
  <c r="J123" i="2"/>
  <c r="K123" i="2" s="1"/>
  <c r="J124" i="2"/>
  <c r="K124" i="2" s="1"/>
  <c r="J125" i="2"/>
  <c r="K125" i="2" s="1"/>
  <c r="J126" i="2"/>
  <c r="K126" i="2" s="1"/>
  <c r="J127" i="2"/>
  <c r="K127" i="2" s="1"/>
  <c r="J128" i="2"/>
  <c r="K128" i="2" s="1"/>
  <c r="J129" i="2"/>
  <c r="K129" i="2" s="1"/>
  <c r="J130" i="2"/>
  <c r="K130" i="2" s="1"/>
  <c r="J131" i="2"/>
  <c r="K131" i="2" s="1"/>
  <c r="J132" i="2"/>
  <c r="K132" i="2" s="1"/>
  <c r="J133" i="2"/>
  <c r="K133" i="2" s="1"/>
  <c r="J134" i="2"/>
  <c r="K134" i="2" s="1"/>
  <c r="J135" i="2"/>
  <c r="K135" i="2" s="1"/>
  <c r="J136" i="2"/>
  <c r="K136" i="2" s="1"/>
  <c r="J137" i="2"/>
  <c r="K137" i="2" s="1"/>
  <c r="J138" i="2"/>
  <c r="K138" i="2" s="1"/>
  <c r="J139" i="2"/>
  <c r="K139" i="2" s="1"/>
  <c r="J140" i="2"/>
  <c r="K140" i="2" s="1"/>
  <c r="J141" i="2"/>
  <c r="K141" i="2" s="1"/>
  <c r="J142" i="2"/>
  <c r="K142" i="2" s="1"/>
  <c r="J143" i="2"/>
  <c r="K143" i="2" s="1"/>
  <c r="J144" i="2"/>
  <c r="K144" i="2" s="1"/>
  <c r="J145" i="2"/>
  <c r="K145" i="2" s="1"/>
  <c r="J146" i="2"/>
  <c r="K146" i="2" s="1"/>
  <c r="J147" i="2"/>
  <c r="K147" i="2" s="1"/>
  <c r="J148" i="2"/>
  <c r="K148" i="2" s="1"/>
  <c r="J149" i="2"/>
  <c r="K149" i="2" s="1"/>
  <c r="J150" i="2"/>
  <c r="K150" i="2" s="1"/>
  <c r="J151" i="2"/>
  <c r="K151" i="2" s="1"/>
  <c r="J152" i="2"/>
  <c r="K152" i="2" s="1"/>
  <c r="J153" i="2"/>
  <c r="K153" i="2" s="1"/>
  <c r="J154" i="2"/>
  <c r="K154" i="2" s="1"/>
  <c r="J155" i="2"/>
  <c r="K155" i="2" s="1"/>
  <c r="J156" i="2"/>
  <c r="K156" i="2" s="1"/>
  <c r="J157" i="2"/>
  <c r="K157" i="2" s="1"/>
  <c r="J158" i="2"/>
  <c r="K158" i="2" s="1"/>
  <c r="J159" i="2"/>
  <c r="K159" i="2" s="1"/>
  <c r="J160" i="2"/>
  <c r="K160" i="2" s="1"/>
  <c r="J161" i="2"/>
  <c r="K161" i="2" s="1"/>
  <c r="J162" i="2"/>
  <c r="K162" i="2" s="1"/>
  <c r="J163" i="2"/>
  <c r="K163" i="2" s="1"/>
  <c r="J164" i="2"/>
  <c r="K164" i="2" s="1"/>
  <c r="J165" i="2"/>
  <c r="K165" i="2" s="1"/>
  <c r="J166" i="2"/>
  <c r="K166" i="2" s="1"/>
  <c r="J167" i="2"/>
  <c r="K167" i="2" s="1"/>
  <c r="J168" i="2"/>
  <c r="K168" i="2" s="1"/>
  <c r="J169" i="2"/>
  <c r="K169" i="2" s="1"/>
  <c r="J170" i="2"/>
  <c r="K170" i="2" s="1"/>
  <c r="J171" i="2"/>
  <c r="K171" i="2" s="1"/>
  <c r="J172" i="2"/>
  <c r="K172" i="2" s="1"/>
  <c r="J173" i="2"/>
  <c r="K173" i="2" s="1"/>
  <c r="J174" i="2"/>
  <c r="K174" i="2" s="1"/>
  <c r="J175" i="2"/>
  <c r="K175" i="2" s="1"/>
  <c r="J176" i="2"/>
  <c r="K176" i="2" s="1"/>
  <c r="J177" i="2"/>
  <c r="K177" i="2" s="1"/>
  <c r="J178" i="2"/>
  <c r="K178" i="2" s="1"/>
  <c r="J179" i="2"/>
  <c r="K179" i="2" s="1"/>
  <c r="J180" i="2"/>
  <c r="K180" i="2" s="1"/>
  <c r="J181" i="2"/>
  <c r="K181" i="2" s="1"/>
  <c r="J182" i="2"/>
  <c r="K182" i="2" s="1"/>
  <c r="J183" i="2"/>
  <c r="K183" i="2" s="1"/>
  <c r="J184" i="2"/>
  <c r="K184" i="2" s="1"/>
  <c r="J185" i="2"/>
  <c r="K185" i="2" s="1"/>
  <c r="J186" i="2"/>
  <c r="K186" i="2" s="1"/>
  <c r="J187" i="2"/>
  <c r="K187" i="2" s="1"/>
  <c r="J188" i="2"/>
  <c r="K188" i="2" s="1"/>
  <c r="J189" i="2"/>
  <c r="K189" i="2" s="1"/>
  <c r="J190" i="2"/>
  <c r="K190" i="2" s="1"/>
  <c r="J191" i="2"/>
  <c r="K191" i="2" s="1"/>
  <c r="J192" i="2"/>
  <c r="K192" i="2" s="1"/>
  <c r="J193" i="2"/>
  <c r="K193" i="2" s="1"/>
  <c r="J194" i="2"/>
  <c r="K194" i="2" s="1"/>
  <c r="J195" i="2"/>
  <c r="K195" i="2" s="1"/>
  <c r="J196" i="2"/>
  <c r="K196" i="2" s="1"/>
  <c r="J197" i="2"/>
  <c r="K197" i="2" s="1"/>
  <c r="J198" i="2"/>
  <c r="K198" i="2" s="1"/>
  <c r="J199" i="2"/>
  <c r="K199" i="2" s="1"/>
  <c r="J200" i="2"/>
  <c r="K200" i="2" s="1"/>
  <c r="J201" i="2"/>
  <c r="K201" i="2" s="1"/>
  <c r="J202" i="2"/>
  <c r="K202" i="2" s="1"/>
  <c r="J203" i="2"/>
  <c r="K203" i="2" s="1"/>
  <c r="J204" i="2"/>
  <c r="K204" i="2" s="1"/>
  <c r="J205" i="2"/>
  <c r="K205" i="2" s="1"/>
  <c r="J206" i="2"/>
  <c r="K206" i="2" s="1"/>
  <c r="J207" i="2"/>
  <c r="K207" i="2" s="1"/>
  <c r="J208" i="2"/>
  <c r="K208" i="2" s="1"/>
  <c r="J209" i="2"/>
  <c r="K209" i="2" s="1"/>
  <c r="J210" i="2"/>
  <c r="K210" i="2" s="1"/>
  <c r="J211" i="2"/>
  <c r="K211" i="2" s="1"/>
  <c r="J212" i="2"/>
  <c r="K212" i="2" s="1"/>
  <c r="J213" i="2"/>
  <c r="K213" i="2" s="1"/>
  <c r="J214" i="2"/>
  <c r="K214" i="2" s="1"/>
  <c r="J215" i="2"/>
  <c r="K215" i="2" s="1"/>
  <c r="J216" i="2"/>
  <c r="K216" i="2" s="1"/>
  <c r="J217" i="2"/>
  <c r="K217" i="2" s="1"/>
  <c r="J218" i="2"/>
  <c r="K218" i="2" s="1"/>
  <c r="J219" i="2"/>
  <c r="K219" i="2" s="1"/>
  <c r="J220" i="2"/>
  <c r="K220" i="2" s="1"/>
  <c r="J221" i="2"/>
  <c r="K221" i="2" s="1"/>
  <c r="J222" i="2"/>
  <c r="K222" i="2" s="1"/>
  <c r="J223" i="2"/>
  <c r="K223" i="2" s="1"/>
  <c r="J224" i="2"/>
  <c r="K224" i="2" s="1"/>
  <c r="J225" i="2"/>
  <c r="K225" i="2" s="1"/>
  <c r="J226" i="2"/>
  <c r="K226" i="2" s="1"/>
  <c r="J227" i="2"/>
  <c r="K227" i="2" s="1"/>
  <c r="J228" i="2"/>
  <c r="K228" i="2" s="1"/>
  <c r="J229" i="2"/>
  <c r="K229" i="2" s="1"/>
  <c r="J230" i="2"/>
  <c r="K230" i="2" s="1"/>
  <c r="J231" i="2"/>
  <c r="K231" i="2" s="1"/>
  <c r="J232" i="2"/>
  <c r="K232" i="2" s="1"/>
  <c r="J233" i="2"/>
  <c r="K233" i="2" s="1"/>
  <c r="J234" i="2"/>
  <c r="K234" i="2" s="1"/>
  <c r="J235" i="2"/>
  <c r="K235" i="2" s="1"/>
  <c r="J236" i="2"/>
  <c r="K236" i="2" s="1"/>
  <c r="J237" i="2"/>
  <c r="K237" i="2" s="1"/>
  <c r="J238" i="2"/>
  <c r="K238" i="2" s="1"/>
  <c r="J239" i="2"/>
  <c r="K239" i="2" s="1"/>
  <c r="J240" i="2"/>
  <c r="K240" i="2" s="1"/>
  <c r="J241" i="2"/>
  <c r="K241" i="2" s="1"/>
  <c r="J242" i="2"/>
  <c r="K242" i="2" s="1"/>
  <c r="J243" i="2"/>
  <c r="K243" i="2" s="1"/>
  <c r="J244" i="2"/>
  <c r="K244" i="2" s="1"/>
  <c r="J245" i="2"/>
  <c r="K245" i="2" s="1"/>
  <c r="J246" i="2"/>
  <c r="K246" i="2" s="1"/>
  <c r="J247" i="2"/>
  <c r="K247" i="2" s="1"/>
  <c r="J248" i="2"/>
  <c r="K248" i="2" s="1"/>
  <c r="J249" i="2"/>
  <c r="K249" i="2" s="1"/>
  <c r="J250" i="2"/>
  <c r="K250" i="2" s="1"/>
  <c r="J251" i="2"/>
  <c r="K251" i="2" s="1"/>
  <c r="J252" i="2"/>
  <c r="K252" i="2" s="1"/>
  <c r="J253" i="2"/>
  <c r="K253" i="2" s="1"/>
  <c r="J254" i="2"/>
  <c r="K254" i="2" s="1"/>
  <c r="J255" i="2"/>
  <c r="K255" i="2" s="1"/>
  <c r="J256" i="2"/>
  <c r="K256" i="2" s="1"/>
  <c r="J257" i="2"/>
  <c r="K257" i="2" s="1"/>
  <c r="J258" i="2"/>
  <c r="K258" i="2" s="1"/>
  <c r="J259" i="2"/>
  <c r="K259" i="2" s="1"/>
  <c r="J260" i="2"/>
  <c r="K260" i="2" s="1"/>
  <c r="J261" i="2"/>
  <c r="K261" i="2" s="1"/>
  <c r="J262" i="2"/>
  <c r="K262" i="2" s="1"/>
  <c r="J263" i="2"/>
  <c r="K263" i="2" s="1"/>
  <c r="J264" i="2"/>
  <c r="K264" i="2" s="1"/>
  <c r="J265" i="2"/>
  <c r="K265" i="2" s="1"/>
  <c r="J266" i="2"/>
  <c r="K266" i="2" s="1"/>
  <c r="J267" i="2"/>
  <c r="K267" i="2" s="1"/>
  <c r="J268" i="2"/>
  <c r="K268" i="2" s="1"/>
  <c r="J269" i="2"/>
  <c r="K269" i="2" s="1"/>
  <c r="J270" i="2"/>
  <c r="K270" i="2" s="1"/>
  <c r="J271" i="2"/>
  <c r="K271" i="2" s="1"/>
  <c r="J272" i="2"/>
  <c r="K272" i="2" s="1"/>
  <c r="J273" i="2"/>
  <c r="K273" i="2" s="1"/>
  <c r="J274" i="2"/>
  <c r="K274" i="2" s="1"/>
  <c r="J275" i="2"/>
  <c r="K275" i="2" s="1"/>
  <c r="J276" i="2"/>
  <c r="K276" i="2" s="1"/>
  <c r="J277" i="2"/>
  <c r="K277" i="2" s="1"/>
  <c r="J278" i="2"/>
  <c r="K278" i="2" s="1"/>
  <c r="J279" i="2"/>
  <c r="K279" i="2" s="1"/>
  <c r="J280" i="2"/>
  <c r="K280" i="2" s="1"/>
  <c r="J281" i="2"/>
  <c r="K281" i="2" s="1"/>
  <c r="J282" i="2"/>
  <c r="K282" i="2" s="1"/>
  <c r="J283" i="2"/>
  <c r="K283" i="2" s="1"/>
  <c r="J284" i="2"/>
  <c r="K284" i="2" s="1"/>
  <c r="J285" i="2"/>
  <c r="K285" i="2" s="1"/>
  <c r="J286" i="2"/>
  <c r="K286" i="2" s="1"/>
  <c r="J287" i="2"/>
  <c r="K287" i="2" s="1"/>
  <c r="J288" i="2"/>
  <c r="K288" i="2" s="1"/>
  <c r="J289" i="2"/>
  <c r="K289" i="2" s="1"/>
  <c r="J290" i="2"/>
  <c r="K290" i="2" s="1"/>
  <c r="J291" i="2"/>
  <c r="K291" i="2" s="1"/>
  <c r="J292" i="2"/>
  <c r="K292" i="2" s="1"/>
  <c r="J293" i="2"/>
  <c r="K293" i="2" s="1"/>
  <c r="J294" i="2"/>
  <c r="K294" i="2" s="1"/>
  <c r="J295" i="2"/>
  <c r="K295" i="2" s="1"/>
  <c r="J296" i="2"/>
  <c r="K296" i="2" s="1"/>
  <c r="J297" i="2"/>
  <c r="K297" i="2" s="1"/>
  <c r="J298" i="2"/>
  <c r="K298" i="2" s="1"/>
  <c r="J299" i="2"/>
  <c r="K299" i="2" s="1"/>
  <c r="J300" i="2"/>
  <c r="K300" i="2" s="1"/>
  <c r="J301" i="2"/>
  <c r="K301" i="2" s="1"/>
  <c r="J302" i="2"/>
  <c r="K302" i="2" s="1"/>
  <c r="J303" i="2"/>
  <c r="K303" i="2" s="1"/>
  <c r="J304" i="2"/>
  <c r="K304" i="2" s="1"/>
  <c r="J305" i="2"/>
  <c r="K305" i="2" s="1"/>
  <c r="J306" i="2"/>
  <c r="K306" i="2" s="1"/>
  <c r="J307" i="2"/>
  <c r="K307" i="2" s="1"/>
  <c r="J308" i="2"/>
  <c r="K308" i="2" s="1"/>
  <c r="J309" i="2"/>
  <c r="K309" i="2" s="1"/>
  <c r="J310" i="2"/>
  <c r="K310" i="2" s="1"/>
  <c r="J311" i="2"/>
  <c r="K311" i="2" s="1"/>
  <c r="J312" i="2"/>
  <c r="K312" i="2" s="1"/>
  <c r="J313" i="2"/>
  <c r="K313" i="2" s="1"/>
  <c r="J314" i="2"/>
  <c r="K314" i="2" s="1"/>
  <c r="J315" i="2"/>
  <c r="K315" i="2" s="1"/>
  <c r="J316" i="2"/>
  <c r="K316" i="2" s="1"/>
  <c r="J317" i="2"/>
  <c r="K317" i="2" s="1"/>
  <c r="J318" i="2"/>
  <c r="K318" i="2" s="1"/>
  <c r="J319" i="2"/>
  <c r="K319" i="2" s="1"/>
  <c r="J320" i="2"/>
  <c r="K320" i="2" s="1"/>
  <c r="J321" i="2"/>
  <c r="K321" i="2" s="1"/>
  <c r="J322" i="2"/>
  <c r="K322" i="2" s="1"/>
  <c r="J323" i="2"/>
  <c r="K323" i="2" s="1"/>
  <c r="J324" i="2"/>
  <c r="K324" i="2" s="1"/>
  <c r="J325" i="2"/>
  <c r="K325" i="2" s="1"/>
  <c r="J326" i="2"/>
  <c r="K326" i="2" s="1"/>
  <c r="J327" i="2"/>
  <c r="K327" i="2" s="1"/>
  <c r="J328" i="2"/>
  <c r="K328" i="2" s="1"/>
  <c r="J329" i="2"/>
  <c r="K329" i="2" s="1"/>
  <c r="J330" i="2"/>
  <c r="K330" i="2" s="1"/>
  <c r="J331" i="2"/>
  <c r="K331" i="2" s="1"/>
  <c r="J332" i="2"/>
  <c r="K332" i="2" s="1"/>
  <c r="J333" i="2"/>
  <c r="K333" i="2" s="1"/>
  <c r="J334" i="2"/>
  <c r="K334" i="2" s="1"/>
  <c r="J335" i="2"/>
  <c r="K335" i="2" s="1"/>
  <c r="J336" i="2"/>
  <c r="K336" i="2" s="1"/>
  <c r="J337" i="2"/>
  <c r="K337" i="2" s="1"/>
  <c r="J338" i="2"/>
  <c r="K338" i="2" s="1"/>
  <c r="J339" i="2"/>
  <c r="K339" i="2" s="1"/>
  <c r="J340" i="2"/>
  <c r="K340" i="2" s="1"/>
  <c r="J341" i="2"/>
  <c r="K341" i="2" s="1"/>
  <c r="J342" i="2"/>
  <c r="K342" i="2" s="1"/>
  <c r="J343" i="2"/>
  <c r="K343" i="2" s="1"/>
  <c r="J344" i="2"/>
  <c r="K344" i="2" s="1"/>
  <c r="J345" i="2"/>
  <c r="K345" i="2" s="1"/>
  <c r="J346" i="2"/>
  <c r="K346" i="2" s="1"/>
  <c r="J347" i="2"/>
  <c r="K347" i="2" s="1"/>
  <c r="J348" i="2"/>
  <c r="K348" i="2" s="1"/>
  <c r="J349" i="2"/>
  <c r="K349" i="2" s="1"/>
  <c r="J350" i="2"/>
  <c r="K350" i="2" s="1"/>
  <c r="J351" i="2"/>
  <c r="K351" i="2" s="1"/>
  <c r="J352" i="2"/>
  <c r="K352" i="2" s="1"/>
  <c r="J353" i="2"/>
  <c r="K353" i="2" s="1"/>
  <c r="J354" i="2"/>
  <c r="K354" i="2" s="1"/>
  <c r="J355" i="2"/>
  <c r="K355" i="2" s="1"/>
  <c r="J356" i="2"/>
  <c r="K356" i="2" s="1"/>
  <c r="J357" i="2"/>
  <c r="K357" i="2" s="1"/>
  <c r="J358" i="2"/>
  <c r="K358" i="2" s="1"/>
  <c r="J359" i="2"/>
  <c r="K359" i="2" s="1"/>
  <c r="J360" i="2"/>
  <c r="K360" i="2" s="1"/>
  <c r="J361" i="2"/>
  <c r="K361" i="2" s="1"/>
  <c r="J362" i="2"/>
  <c r="K362" i="2" s="1"/>
  <c r="J363" i="2"/>
  <c r="K363" i="2" s="1"/>
  <c r="J364" i="2"/>
  <c r="K364" i="2" s="1"/>
  <c r="J365" i="2"/>
  <c r="K365" i="2" s="1"/>
  <c r="J366" i="2"/>
  <c r="K366" i="2" s="1"/>
  <c r="J367" i="2"/>
  <c r="K367" i="2" s="1"/>
  <c r="J368" i="2"/>
  <c r="K368" i="2" s="1"/>
  <c r="J369" i="2"/>
  <c r="K369" i="2" s="1"/>
  <c r="J370" i="2"/>
  <c r="K370" i="2" s="1"/>
  <c r="J371" i="2"/>
  <c r="K371" i="2" s="1"/>
  <c r="J372" i="2"/>
  <c r="K372" i="2" s="1"/>
  <c r="J373" i="2"/>
  <c r="K373" i="2" s="1"/>
  <c r="J374" i="2"/>
  <c r="K374" i="2" s="1"/>
  <c r="J375" i="2"/>
  <c r="K375" i="2" s="1"/>
  <c r="J376" i="2"/>
  <c r="K376" i="2" s="1"/>
  <c r="J377" i="2"/>
  <c r="K377" i="2" s="1"/>
  <c r="J378" i="2"/>
  <c r="K378" i="2" s="1"/>
  <c r="J379" i="2"/>
  <c r="K379" i="2" s="1"/>
  <c r="J380" i="2"/>
  <c r="K380" i="2" s="1"/>
  <c r="J381" i="2"/>
  <c r="K381" i="2" s="1"/>
  <c r="J382" i="2"/>
  <c r="K382" i="2" s="1"/>
  <c r="J383" i="2"/>
  <c r="K383" i="2" s="1"/>
  <c r="J384" i="2"/>
  <c r="K384" i="2" s="1"/>
  <c r="J385" i="2"/>
  <c r="K385" i="2" s="1"/>
  <c r="J386" i="2"/>
  <c r="K386" i="2" s="1"/>
  <c r="J387" i="2"/>
  <c r="K387" i="2" s="1"/>
  <c r="J388" i="2"/>
  <c r="K388" i="2" s="1"/>
  <c r="J389" i="2"/>
  <c r="K389" i="2" s="1"/>
  <c r="J390" i="2"/>
  <c r="K390" i="2" s="1"/>
  <c r="J391" i="2"/>
  <c r="K391" i="2" s="1"/>
  <c r="J392" i="2"/>
  <c r="K392" i="2" s="1"/>
  <c r="J393" i="2"/>
  <c r="K393" i="2" s="1"/>
  <c r="J394" i="2"/>
  <c r="K394" i="2" s="1"/>
  <c r="J395" i="2"/>
  <c r="K395" i="2" s="1"/>
  <c r="J396" i="2"/>
  <c r="K396" i="2" s="1"/>
  <c r="J397" i="2"/>
  <c r="K397" i="2" s="1"/>
  <c r="J398" i="2"/>
  <c r="K398" i="2" s="1"/>
  <c r="J399" i="2"/>
  <c r="K399" i="2" s="1"/>
  <c r="J400" i="2"/>
  <c r="K400" i="2" s="1"/>
  <c r="J401" i="2"/>
  <c r="K401" i="2" s="1"/>
  <c r="J402" i="2"/>
  <c r="K402" i="2" s="1"/>
  <c r="J403" i="2"/>
  <c r="K403" i="2" s="1"/>
  <c r="J404" i="2"/>
  <c r="K404" i="2" s="1"/>
  <c r="J405" i="2"/>
  <c r="K405" i="2" s="1"/>
  <c r="J406" i="2"/>
  <c r="K406" i="2" s="1"/>
  <c r="J407" i="2"/>
  <c r="K407" i="2" s="1"/>
  <c r="J408" i="2"/>
  <c r="K408" i="2" s="1"/>
  <c r="J409" i="2"/>
  <c r="K409" i="2" s="1"/>
  <c r="J410" i="2"/>
  <c r="K410" i="2" s="1"/>
  <c r="J411" i="2"/>
  <c r="K411" i="2" s="1"/>
  <c r="J412" i="2"/>
  <c r="K412" i="2" s="1"/>
  <c r="J413" i="2"/>
  <c r="K413" i="2" s="1"/>
  <c r="J414" i="2"/>
  <c r="K414" i="2" s="1"/>
  <c r="J415" i="2"/>
  <c r="K415" i="2" s="1"/>
  <c r="J416" i="2"/>
  <c r="K416" i="2" s="1"/>
  <c r="J417" i="2"/>
  <c r="K417" i="2" s="1"/>
  <c r="J418" i="2"/>
  <c r="K418" i="2" s="1"/>
  <c r="J419" i="2"/>
  <c r="K419" i="2" s="1"/>
  <c r="J420" i="2"/>
  <c r="K420" i="2" s="1"/>
  <c r="J421" i="2"/>
  <c r="K421" i="2" s="1"/>
  <c r="J422" i="2"/>
  <c r="K422" i="2" s="1"/>
  <c r="J423" i="2"/>
  <c r="K423" i="2" s="1"/>
  <c r="J424" i="2"/>
  <c r="K424" i="2" s="1"/>
  <c r="J425" i="2"/>
  <c r="K425" i="2" s="1"/>
  <c r="J426" i="2"/>
  <c r="K426" i="2" s="1"/>
  <c r="J427" i="2"/>
  <c r="K427" i="2" s="1"/>
  <c r="J428" i="2"/>
  <c r="K428" i="2" s="1"/>
  <c r="J429" i="2"/>
  <c r="K429" i="2" s="1"/>
  <c r="J430" i="2"/>
  <c r="K430" i="2" s="1"/>
  <c r="J431" i="2"/>
  <c r="K431" i="2" s="1"/>
  <c r="J432" i="2"/>
  <c r="K432" i="2" s="1"/>
  <c r="J433" i="2"/>
  <c r="K433" i="2" s="1"/>
  <c r="J434" i="2"/>
  <c r="K434" i="2" s="1"/>
  <c r="J435" i="2"/>
  <c r="K435" i="2" s="1"/>
  <c r="J436" i="2"/>
  <c r="K436" i="2" s="1"/>
  <c r="J437" i="2"/>
  <c r="K437" i="2" s="1"/>
  <c r="J438" i="2"/>
  <c r="K438" i="2" s="1"/>
  <c r="J439" i="2"/>
  <c r="K439" i="2" s="1"/>
  <c r="J440" i="2"/>
  <c r="K440" i="2" s="1"/>
  <c r="J441" i="2"/>
  <c r="K441" i="2" s="1"/>
  <c r="J442" i="2"/>
  <c r="K442" i="2" s="1"/>
  <c r="J443" i="2"/>
  <c r="K443" i="2" s="1"/>
  <c r="J444" i="2"/>
  <c r="K444" i="2" s="1"/>
  <c r="J445" i="2"/>
  <c r="K445" i="2" s="1"/>
  <c r="J446" i="2"/>
  <c r="K446" i="2" s="1"/>
  <c r="J447" i="2"/>
  <c r="K447" i="2" s="1"/>
  <c r="J448" i="2"/>
  <c r="K448" i="2" s="1"/>
  <c r="J449" i="2"/>
  <c r="K449" i="2" s="1"/>
  <c r="J450" i="2"/>
  <c r="K450" i="2" s="1"/>
  <c r="J451" i="2"/>
  <c r="K451" i="2" s="1"/>
  <c r="J452" i="2"/>
  <c r="K452" i="2" s="1"/>
  <c r="J453" i="2"/>
  <c r="K453" i="2" s="1"/>
  <c r="J454" i="2"/>
  <c r="K454" i="2" s="1"/>
  <c r="J455" i="2"/>
  <c r="K455" i="2" s="1"/>
  <c r="J456" i="2"/>
  <c r="K456" i="2" s="1"/>
  <c r="J457" i="2"/>
  <c r="K457" i="2" s="1"/>
  <c r="J458" i="2"/>
  <c r="K458" i="2" s="1"/>
  <c r="J459" i="2"/>
  <c r="K459" i="2" s="1"/>
  <c r="J460" i="2"/>
  <c r="K460" i="2" s="1"/>
  <c r="J461" i="2"/>
  <c r="K461" i="2" s="1"/>
  <c r="J462" i="2"/>
  <c r="K462" i="2" s="1"/>
  <c r="J463" i="2"/>
  <c r="K463" i="2" s="1"/>
  <c r="J464" i="2"/>
  <c r="K464" i="2" s="1"/>
  <c r="J465" i="2"/>
  <c r="K465" i="2" s="1"/>
  <c r="J466" i="2"/>
  <c r="K466" i="2" s="1"/>
  <c r="J467" i="2"/>
  <c r="K467" i="2" s="1"/>
  <c r="J468" i="2"/>
  <c r="K468" i="2" s="1"/>
  <c r="J469" i="2"/>
  <c r="K469" i="2" s="1"/>
  <c r="J470" i="2"/>
  <c r="K470" i="2" s="1"/>
  <c r="J471" i="2"/>
  <c r="K471" i="2" s="1"/>
  <c r="J472" i="2"/>
  <c r="K472" i="2" s="1"/>
  <c r="J473" i="2"/>
  <c r="K473" i="2" s="1"/>
  <c r="J474" i="2"/>
  <c r="K474" i="2" s="1"/>
  <c r="J475" i="2"/>
  <c r="K475" i="2" s="1"/>
  <c r="J476" i="2"/>
  <c r="K476" i="2" s="1"/>
  <c r="J477" i="2"/>
  <c r="K477" i="2" s="1"/>
  <c r="J478" i="2"/>
  <c r="K478" i="2" s="1"/>
  <c r="J479" i="2"/>
  <c r="K479" i="2" s="1"/>
  <c r="J480" i="2"/>
  <c r="K480" i="2" s="1"/>
  <c r="J481" i="2"/>
  <c r="K481" i="2" s="1"/>
  <c r="J482" i="2"/>
  <c r="K482" i="2" s="1"/>
  <c r="J483" i="2"/>
  <c r="K483" i="2" s="1"/>
  <c r="J484" i="2"/>
  <c r="K484" i="2" s="1"/>
  <c r="J485" i="2"/>
  <c r="K485" i="2" s="1"/>
  <c r="J486" i="2"/>
  <c r="K486" i="2" s="1"/>
  <c r="J487" i="2"/>
  <c r="K487" i="2" s="1"/>
  <c r="J488" i="2"/>
  <c r="K488" i="2" s="1"/>
  <c r="J489" i="2"/>
  <c r="K489" i="2" s="1"/>
  <c r="J490" i="2"/>
  <c r="K490" i="2" s="1"/>
  <c r="J491" i="2"/>
  <c r="K491" i="2" s="1"/>
  <c r="J492" i="2"/>
  <c r="K492" i="2" s="1"/>
  <c r="J493" i="2"/>
  <c r="K493" i="2" s="1"/>
  <c r="J494" i="2"/>
  <c r="K494" i="2" s="1"/>
  <c r="J495" i="2"/>
  <c r="K495" i="2" s="1"/>
  <c r="J496" i="2"/>
  <c r="K496" i="2" s="1"/>
  <c r="J497" i="2"/>
  <c r="K497" i="2" s="1"/>
  <c r="J498" i="2"/>
  <c r="K498" i="2" s="1"/>
  <c r="J499" i="2"/>
  <c r="K499" i="2" s="1"/>
  <c r="J500" i="2"/>
  <c r="K500" i="2" s="1"/>
  <c r="J501" i="2"/>
  <c r="K501" i="2" s="1"/>
  <c r="J502" i="2"/>
  <c r="K502" i="2" s="1"/>
  <c r="J503" i="2"/>
  <c r="K503" i="2" s="1"/>
  <c r="J504" i="2"/>
  <c r="K504" i="2" s="1"/>
  <c r="J505" i="2"/>
  <c r="K505" i="2" s="1"/>
  <c r="J506" i="2"/>
  <c r="K506" i="2" s="1"/>
  <c r="J507" i="2"/>
  <c r="K507" i="2" s="1"/>
  <c r="J508" i="2"/>
  <c r="K508" i="2" s="1"/>
  <c r="J509" i="2"/>
  <c r="K509" i="2" s="1"/>
  <c r="J510" i="2"/>
  <c r="K510" i="2" s="1"/>
  <c r="J511" i="2"/>
  <c r="K511" i="2" s="1"/>
  <c r="J512" i="2"/>
  <c r="K512" i="2" s="1"/>
  <c r="J513" i="2"/>
  <c r="K513" i="2" s="1"/>
  <c r="J514" i="2"/>
  <c r="K514" i="2" s="1"/>
  <c r="J515" i="2"/>
  <c r="K515" i="2" s="1"/>
  <c r="J516" i="2"/>
  <c r="K516" i="2" s="1"/>
  <c r="J517" i="2"/>
  <c r="K517" i="2" s="1"/>
  <c r="J518" i="2"/>
  <c r="K518" i="2" s="1"/>
  <c r="J519" i="2"/>
  <c r="K519" i="2" s="1"/>
  <c r="J520" i="2"/>
  <c r="K520" i="2" s="1"/>
  <c r="J521" i="2"/>
  <c r="K521" i="2" s="1"/>
  <c r="J522" i="2"/>
  <c r="K522" i="2" s="1"/>
  <c r="J523" i="2"/>
  <c r="K523" i="2" s="1"/>
  <c r="J524" i="2"/>
  <c r="K524" i="2" s="1"/>
  <c r="J525" i="2"/>
  <c r="K525" i="2" s="1"/>
  <c r="J526" i="2"/>
  <c r="K526" i="2" s="1"/>
  <c r="J527" i="2"/>
  <c r="K527" i="2" s="1"/>
  <c r="J528" i="2"/>
  <c r="K528" i="2" s="1"/>
  <c r="J529" i="2"/>
  <c r="K529" i="2" s="1"/>
  <c r="J530" i="2"/>
  <c r="K530" i="2" s="1"/>
  <c r="J531" i="2"/>
  <c r="K531" i="2" s="1"/>
  <c r="J532" i="2"/>
  <c r="K532" i="2" s="1"/>
  <c r="J533" i="2"/>
  <c r="K533" i="2" s="1"/>
  <c r="J534" i="2"/>
  <c r="K534" i="2" s="1"/>
  <c r="J535" i="2"/>
  <c r="K535" i="2" s="1"/>
  <c r="J536" i="2"/>
  <c r="K536" i="2" s="1"/>
  <c r="J537" i="2"/>
  <c r="K537" i="2" s="1"/>
  <c r="J538" i="2"/>
  <c r="K538" i="2" s="1"/>
  <c r="J539" i="2"/>
  <c r="K539" i="2" s="1"/>
  <c r="J540" i="2"/>
  <c r="K540" i="2" s="1"/>
  <c r="J541" i="2"/>
  <c r="K541" i="2" s="1"/>
  <c r="J542" i="2"/>
  <c r="K542" i="2" s="1"/>
  <c r="J543" i="2"/>
  <c r="K543" i="2" s="1"/>
  <c r="J544" i="2"/>
  <c r="K544" i="2" s="1"/>
  <c r="J545" i="2"/>
  <c r="K545" i="2" s="1"/>
  <c r="J546" i="2"/>
  <c r="K546" i="2" s="1"/>
  <c r="J547" i="2"/>
  <c r="K547" i="2" s="1"/>
  <c r="J548" i="2"/>
  <c r="K548" i="2" s="1"/>
  <c r="J549" i="2"/>
  <c r="K549" i="2" s="1"/>
  <c r="J550" i="2"/>
  <c r="K550" i="2" s="1"/>
  <c r="J551" i="2"/>
  <c r="K551" i="2" s="1"/>
  <c r="J552" i="2"/>
  <c r="K552" i="2" s="1"/>
  <c r="J553" i="2"/>
  <c r="K553" i="2" s="1"/>
  <c r="J554" i="2"/>
  <c r="K554" i="2" s="1"/>
  <c r="J555" i="2"/>
  <c r="K555" i="2" s="1"/>
  <c r="J556" i="2"/>
  <c r="K556" i="2" s="1"/>
  <c r="J557" i="2"/>
  <c r="K557" i="2" s="1"/>
  <c r="J558" i="2"/>
  <c r="K558" i="2" s="1"/>
  <c r="J559" i="2"/>
  <c r="K559" i="2" s="1"/>
  <c r="J560" i="2"/>
  <c r="K560" i="2" s="1"/>
  <c r="J561" i="2"/>
  <c r="K561" i="2" s="1"/>
  <c r="J562" i="2"/>
  <c r="K562" i="2" s="1"/>
  <c r="J563" i="2"/>
  <c r="K563" i="2" s="1"/>
  <c r="J564" i="2"/>
  <c r="K564" i="2" s="1"/>
  <c r="J565" i="2"/>
  <c r="K565" i="2" s="1"/>
  <c r="J566" i="2"/>
  <c r="K566" i="2" s="1"/>
  <c r="J567" i="2"/>
  <c r="K567" i="2" s="1"/>
  <c r="J568" i="2"/>
  <c r="K568" i="2" s="1"/>
  <c r="J569" i="2"/>
  <c r="K569" i="2" s="1"/>
  <c r="J570" i="2"/>
  <c r="K570" i="2" s="1"/>
  <c r="J571" i="2"/>
  <c r="K571" i="2" s="1"/>
  <c r="J572" i="2"/>
  <c r="K572" i="2" s="1"/>
  <c r="J573" i="2"/>
  <c r="K573" i="2" s="1"/>
  <c r="J574" i="2"/>
  <c r="K574" i="2" s="1"/>
  <c r="J575" i="2"/>
  <c r="K575" i="2" s="1"/>
  <c r="J576" i="2"/>
  <c r="K576" i="2" s="1"/>
  <c r="J577" i="2"/>
  <c r="K577" i="2" s="1"/>
  <c r="J578" i="2"/>
  <c r="K578" i="2" s="1"/>
  <c r="J579" i="2"/>
  <c r="K579" i="2" s="1"/>
  <c r="J580" i="2"/>
  <c r="K580" i="2" s="1"/>
  <c r="J581" i="2"/>
  <c r="K581" i="2" s="1"/>
  <c r="J582" i="2"/>
  <c r="K582" i="2" s="1"/>
  <c r="J583" i="2"/>
  <c r="K583" i="2" s="1"/>
  <c r="J584" i="2"/>
  <c r="K584" i="2" s="1"/>
  <c r="J585" i="2"/>
  <c r="K585" i="2" s="1"/>
  <c r="J586" i="2"/>
  <c r="K586" i="2" s="1"/>
  <c r="J587" i="2"/>
  <c r="K587" i="2" s="1"/>
  <c r="J588" i="2"/>
  <c r="K588" i="2" s="1"/>
  <c r="J589" i="2"/>
  <c r="K589" i="2" s="1"/>
  <c r="J590" i="2"/>
  <c r="K590" i="2" s="1"/>
  <c r="J591" i="2"/>
  <c r="K591" i="2" s="1"/>
  <c r="J592" i="2"/>
  <c r="K592" i="2" s="1"/>
  <c r="J593" i="2"/>
  <c r="K593" i="2" s="1"/>
  <c r="J594" i="2"/>
  <c r="K594" i="2" s="1"/>
  <c r="J595" i="2"/>
  <c r="K595" i="2" s="1"/>
  <c r="J596" i="2"/>
  <c r="K596" i="2" s="1"/>
  <c r="J597" i="2"/>
  <c r="K597" i="2" s="1"/>
  <c r="J598" i="2"/>
  <c r="K598" i="2" s="1"/>
  <c r="J599" i="2"/>
  <c r="K599" i="2" s="1"/>
  <c r="J600" i="2"/>
  <c r="K600" i="2" s="1"/>
  <c r="J601" i="2"/>
  <c r="K601" i="2" s="1"/>
  <c r="J602" i="2"/>
  <c r="K602" i="2" s="1"/>
  <c r="J603" i="2"/>
  <c r="K603" i="2" s="1"/>
  <c r="J604" i="2"/>
  <c r="K604" i="2" s="1"/>
  <c r="J605" i="2"/>
  <c r="K605" i="2" s="1"/>
  <c r="J606" i="2"/>
  <c r="K606" i="2" s="1"/>
  <c r="J607" i="2"/>
  <c r="K607" i="2" s="1"/>
  <c r="J608" i="2"/>
  <c r="K608" i="2" s="1"/>
  <c r="J609" i="2"/>
  <c r="K609" i="2" s="1"/>
  <c r="J610" i="2"/>
  <c r="K610" i="2" s="1"/>
  <c r="J611" i="2"/>
  <c r="K611" i="2" s="1"/>
  <c r="J612" i="2"/>
  <c r="K612" i="2" s="1"/>
  <c r="J613" i="2"/>
  <c r="K613" i="2" s="1"/>
  <c r="J614" i="2"/>
  <c r="K614" i="2" s="1"/>
  <c r="J615" i="2"/>
  <c r="K615" i="2" s="1"/>
  <c r="J616" i="2"/>
  <c r="K616" i="2" s="1"/>
  <c r="J617" i="2"/>
  <c r="K617" i="2" s="1"/>
  <c r="J618" i="2"/>
  <c r="K618" i="2" s="1"/>
  <c r="J619" i="2"/>
  <c r="K619" i="2" s="1"/>
  <c r="J620" i="2"/>
  <c r="K620" i="2" s="1"/>
  <c r="J621" i="2"/>
  <c r="K621" i="2" s="1"/>
  <c r="J622" i="2"/>
  <c r="K622" i="2" s="1"/>
  <c r="J623" i="2"/>
  <c r="K623" i="2" s="1"/>
  <c r="J624" i="2"/>
  <c r="K624" i="2" s="1"/>
  <c r="J625" i="2"/>
  <c r="K625" i="2" s="1"/>
  <c r="J626" i="2"/>
  <c r="K626" i="2" s="1"/>
  <c r="J627" i="2"/>
  <c r="K627" i="2" s="1"/>
  <c r="J628" i="2"/>
  <c r="K628" i="2" s="1"/>
  <c r="J629" i="2"/>
  <c r="K629" i="2" s="1"/>
  <c r="J630" i="2"/>
  <c r="K630" i="2" s="1"/>
  <c r="J631" i="2"/>
  <c r="K631" i="2" s="1"/>
  <c r="J632" i="2"/>
  <c r="K632" i="2" s="1"/>
  <c r="J633" i="2"/>
  <c r="K633" i="2" s="1"/>
  <c r="J634" i="2"/>
  <c r="K634" i="2" s="1"/>
  <c r="J635" i="2"/>
  <c r="K635" i="2" s="1"/>
  <c r="J636" i="2"/>
  <c r="K636" i="2" s="1"/>
  <c r="J637" i="2"/>
  <c r="K637" i="2" s="1"/>
  <c r="J638" i="2"/>
  <c r="K638" i="2" s="1"/>
  <c r="J639" i="2"/>
  <c r="K639" i="2" s="1"/>
  <c r="J640" i="2"/>
  <c r="K640" i="2" s="1"/>
  <c r="J641" i="2"/>
  <c r="K641" i="2" s="1"/>
  <c r="J642" i="2"/>
  <c r="K642" i="2" s="1"/>
  <c r="J643" i="2"/>
  <c r="K643" i="2" s="1"/>
  <c r="J644" i="2"/>
  <c r="K644" i="2" s="1"/>
  <c r="J645" i="2"/>
  <c r="K645" i="2" s="1"/>
  <c r="J646" i="2"/>
  <c r="K646" i="2" s="1"/>
  <c r="J647" i="2"/>
  <c r="K647" i="2" s="1"/>
  <c r="J648" i="2"/>
  <c r="K648" i="2" s="1"/>
  <c r="J649" i="2"/>
  <c r="K649" i="2" s="1"/>
  <c r="J650" i="2"/>
  <c r="K650" i="2" s="1"/>
  <c r="J651" i="2"/>
  <c r="K651" i="2" s="1"/>
  <c r="J652" i="2"/>
  <c r="K652" i="2" s="1"/>
  <c r="J653" i="2"/>
  <c r="K653" i="2" s="1"/>
  <c r="J654" i="2"/>
  <c r="K654" i="2" s="1"/>
  <c r="J655" i="2"/>
  <c r="K655" i="2" s="1"/>
  <c r="J656" i="2"/>
  <c r="K656" i="2" s="1"/>
  <c r="J657" i="2"/>
  <c r="K657" i="2" s="1"/>
  <c r="J658" i="2"/>
  <c r="K658" i="2" s="1"/>
  <c r="J659" i="2"/>
  <c r="K659" i="2" s="1"/>
  <c r="J660" i="2"/>
  <c r="K660" i="2" s="1"/>
  <c r="J661" i="2"/>
  <c r="K661" i="2" s="1"/>
  <c r="J662" i="2"/>
  <c r="K662" i="2" s="1"/>
  <c r="J663" i="2"/>
  <c r="K663" i="2" s="1"/>
  <c r="J664" i="2"/>
  <c r="K664" i="2" s="1"/>
  <c r="J665" i="2"/>
  <c r="K665" i="2" s="1"/>
  <c r="J666" i="2"/>
  <c r="K666" i="2" s="1"/>
  <c r="J667" i="2"/>
  <c r="K667" i="2" s="1"/>
  <c r="J668" i="2"/>
  <c r="K668" i="2" s="1"/>
  <c r="J669" i="2"/>
  <c r="K669" i="2" s="1"/>
  <c r="J670" i="2"/>
  <c r="K670" i="2" s="1"/>
  <c r="J671" i="2"/>
  <c r="K671" i="2" s="1"/>
  <c r="J672" i="2"/>
  <c r="K672" i="2" s="1"/>
  <c r="J673" i="2"/>
  <c r="K673" i="2" s="1"/>
  <c r="J674" i="2"/>
  <c r="K674" i="2" s="1"/>
  <c r="J675" i="2"/>
  <c r="K675" i="2" s="1"/>
  <c r="J676" i="2"/>
  <c r="K676" i="2" s="1"/>
  <c r="J677" i="2"/>
  <c r="K677" i="2" s="1"/>
  <c r="J678" i="2"/>
  <c r="K678" i="2" s="1"/>
  <c r="J679" i="2"/>
  <c r="K679" i="2" s="1"/>
  <c r="J680" i="2"/>
  <c r="K680" i="2" s="1"/>
  <c r="J681" i="2"/>
  <c r="K681" i="2" s="1"/>
  <c r="J682" i="2"/>
  <c r="K682" i="2" s="1"/>
  <c r="J683" i="2"/>
  <c r="K683" i="2" s="1"/>
  <c r="J684" i="2"/>
  <c r="K684" i="2" s="1"/>
  <c r="J685" i="2"/>
  <c r="K685" i="2" s="1"/>
  <c r="J686" i="2"/>
  <c r="K686" i="2" s="1"/>
  <c r="J687" i="2"/>
  <c r="K687" i="2" s="1"/>
  <c r="J688" i="2"/>
  <c r="K688" i="2" s="1"/>
  <c r="J689" i="2"/>
  <c r="K689" i="2" s="1"/>
  <c r="J690" i="2"/>
  <c r="K690" i="2" s="1"/>
  <c r="J691" i="2"/>
  <c r="K691" i="2" s="1"/>
  <c r="J692" i="2"/>
  <c r="K692" i="2" s="1"/>
  <c r="J693" i="2"/>
  <c r="K693" i="2" s="1"/>
  <c r="J694" i="2"/>
  <c r="K694" i="2" s="1"/>
  <c r="J695" i="2"/>
  <c r="K695" i="2" s="1"/>
  <c r="J696" i="2"/>
  <c r="K696" i="2" s="1"/>
  <c r="J697" i="2"/>
  <c r="K697" i="2" s="1"/>
  <c r="J698" i="2"/>
  <c r="K698" i="2" s="1"/>
  <c r="J699" i="2"/>
  <c r="K699" i="2" s="1"/>
  <c r="J700" i="2"/>
  <c r="K700" i="2" s="1"/>
  <c r="J701" i="2"/>
  <c r="K701" i="2" s="1"/>
  <c r="J702" i="2"/>
  <c r="K702" i="2" s="1"/>
  <c r="J703" i="2"/>
  <c r="K703" i="2" s="1"/>
  <c r="J704" i="2"/>
  <c r="K704" i="2" s="1"/>
  <c r="J705" i="2"/>
  <c r="K705" i="2" s="1"/>
  <c r="J706" i="2"/>
  <c r="K706" i="2" s="1"/>
  <c r="J707" i="2"/>
  <c r="K707" i="2" s="1"/>
  <c r="J708" i="2"/>
  <c r="K708" i="2" s="1"/>
  <c r="J709" i="2"/>
  <c r="K709" i="2" s="1"/>
  <c r="J710" i="2"/>
  <c r="K710" i="2" s="1"/>
  <c r="J711" i="2"/>
  <c r="K711" i="2" s="1"/>
  <c r="J712" i="2"/>
  <c r="K712" i="2" s="1"/>
  <c r="J713" i="2"/>
  <c r="K713" i="2" s="1"/>
  <c r="J714" i="2"/>
  <c r="K714" i="2" s="1"/>
  <c r="J715" i="2"/>
  <c r="K715" i="2" s="1"/>
  <c r="J716" i="2"/>
  <c r="K716" i="2" s="1"/>
  <c r="J717" i="2"/>
  <c r="K717" i="2" s="1"/>
  <c r="J718" i="2"/>
  <c r="K718" i="2" s="1"/>
  <c r="J719" i="2"/>
  <c r="K719" i="2" s="1"/>
  <c r="J720" i="2"/>
  <c r="K720" i="2" s="1"/>
  <c r="J721" i="2"/>
  <c r="K721" i="2" s="1"/>
  <c r="J722" i="2"/>
  <c r="K722" i="2" s="1"/>
  <c r="J723" i="2"/>
  <c r="K723" i="2" s="1"/>
  <c r="J724" i="2"/>
  <c r="K724" i="2" s="1"/>
  <c r="J725" i="2"/>
  <c r="K725" i="2" s="1"/>
  <c r="J726" i="2"/>
  <c r="K726" i="2" s="1"/>
  <c r="J727" i="2"/>
  <c r="K727" i="2" s="1"/>
  <c r="J728" i="2"/>
  <c r="K728" i="2" s="1"/>
  <c r="J729" i="2"/>
  <c r="K729" i="2" s="1"/>
  <c r="J730" i="2"/>
  <c r="K730" i="2" s="1"/>
  <c r="J731" i="2"/>
  <c r="K731" i="2" s="1"/>
  <c r="J732" i="2"/>
  <c r="K732" i="2" s="1"/>
  <c r="J733" i="2"/>
  <c r="K733" i="2" s="1"/>
  <c r="J734" i="2"/>
  <c r="K734" i="2" s="1"/>
  <c r="J735" i="2"/>
  <c r="K735" i="2" s="1"/>
  <c r="J736" i="2"/>
  <c r="K736" i="2" s="1"/>
  <c r="J737" i="2"/>
  <c r="K737" i="2" s="1"/>
  <c r="J738" i="2"/>
  <c r="K738" i="2" s="1"/>
  <c r="J739" i="2"/>
  <c r="K739" i="2" s="1"/>
  <c r="J740" i="2"/>
  <c r="K740" i="2" s="1"/>
  <c r="J741" i="2"/>
  <c r="K741" i="2" s="1"/>
  <c r="J742" i="2"/>
  <c r="K742" i="2" s="1"/>
  <c r="J743" i="2"/>
  <c r="K743" i="2" s="1"/>
  <c r="J744" i="2"/>
  <c r="K744" i="2" s="1"/>
  <c r="J745" i="2"/>
  <c r="K745" i="2" s="1"/>
  <c r="J746" i="2"/>
  <c r="K746" i="2" s="1"/>
  <c r="J747" i="2"/>
  <c r="K747" i="2" s="1"/>
  <c r="J748" i="2"/>
  <c r="K748" i="2" s="1"/>
  <c r="J749" i="2"/>
  <c r="K749" i="2" s="1"/>
  <c r="J750" i="2"/>
  <c r="K750" i="2" s="1"/>
  <c r="J751" i="2"/>
  <c r="K751" i="2" s="1"/>
  <c r="J752" i="2"/>
  <c r="K752" i="2" s="1"/>
  <c r="J753" i="2"/>
  <c r="K753" i="2" s="1"/>
  <c r="J754" i="2"/>
  <c r="K754" i="2" s="1"/>
  <c r="J755" i="2"/>
  <c r="K755" i="2" s="1"/>
  <c r="J756" i="2"/>
  <c r="K756" i="2" s="1"/>
  <c r="J757" i="2"/>
  <c r="K757" i="2" s="1"/>
  <c r="J758" i="2"/>
  <c r="K758" i="2" s="1"/>
  <c r="J759" i="2"/>
  <c r="K759" i="2" s="1"/>
  <c r="J760" i="2"/>
  <c r="K760" i="2" s="1"/>
  <c r="J761" i="2"/>
  <c r="K761" i="2" s="1"/>
  <c r="J762" i="2"/>
  <c r="K762" i="2" s="1"/>
  <c r="J763" i="2"/>
  <c r="K763" i="2" s="1"/>
  <c r="J764" i="2"/>
  <c r="K764" i="2" s="1"/>
  <c r="J765" i="2"/>
  <c r="K765" i="2" s="1"/>
  <c r="J766" i="2"/>
  <c r="K766" i="2" s="1"/>
  <c r="J767" i="2"/>
  <c r="K767" i="2" s="1"/>
  <c r="J768" i="2"/>
  <c r="K768" i="2" s="1"/>
  <c r="J769" i="2"/>
  <c r="K769" i="2" s="1"/>
  <c r="J770" i="2"/>
  <c r="K770" i="2" s="1"/>
  <c r="J771" i="2"/>
  <c r="K771" i="2" s="1"/>
  <c r="J772" i="2"/>
  <c r="K772" i="2" s="1"/>
  <c r="J773" i="2"/>
  <c r="K773" i="2" s="1"/>
  <c r="J774" i="2"/>
  <c r="K774" i="2" s="1"/>
  <c r="J775" i="2"/>
  <c r="K775" i="2" s="1"/>
  <c r="J776" i="2"/>
  <c r="K776" i="2" s="1"/>
  <c r="J777" i="2"/>
  <c r="K777" i="2" s="1"/>
  <c r="J778" i="2"/>
  <c r="K778" i="2" s="1"/>
  <c r="J779" i="2"/>
  <c r="K779" i="2" s="1"/>
  <c r="J780" i="2"/>
  <c r="K780" i="2" s="1"/>
  <c r="J781" i="2"/>
  <c r="K781" i="2" s="1"/>
  <c r="J782" i="2"/>
  <c r="K782" i="2" s="1"/>
  <c r="J783" i="2"/>
  <c r="K783" i="2" s="1"/>
  <c r="J784" i="2"/>
  <c r="K784" i="2" s="1"/>
  <c r="J785" i="2"/>
  <c r="K785" i="2" s="1"/>
  <c r="J786" i="2"/>
  <c r="K786" i="2" s="1"/>
  <c r="J787" i="2"/>
  <c r="K787" i="2" s="1"/>
  <c r="J788" i="2"/>
  <c r="K788" i="2" s="1"/>
  <c r="J789" i="2"/>
  <c r="K789" i="2" s="1"/>
  <c r="J790" i="2"/>
  <c r="K790" i="2" s="1"/>
  <c r="J791" i="2"/>
  <c r="K791" i="2" s="1"/>
  <c r="J792" i="2"/>
  <c r="K792" i="2" s="1"/>
  <c r="J793" i="2"/>
  <c r="K793" i="2" s="1"/>
  <c r="J794" i="2"/>
  <c r="K794" i="2" s="1"/>
  <c r="J795" i="2"/>
  <c r="K795" i="2" s="1"/>
  <c r="J796" i="2"/>
  <c r="K796" i="2" s="1"/>
  <c r="J797" i="2"/>
  <c r="K797" i="2" s="1"/>
  <c r="J798" i="2"/>
  <c r="K798" i="2" s="1"/>
  <c r="J799" i="2"/>
  <c r="K799" i="2" s="1"/>
  <c r="J800" i="2"/>
  <c r="K800" i="2" s="1"/>
  <c r="J801" i="2"/>
  <c r="K801" i="2" s="1"/>
  <c r="J802" i="2"/>
  <c r="K802" i="2" s="1"/>
  <c r="J803" i="2"/>
  <c r="K803" i="2" s="1"/>
  <c r="J804" i="2"/>
  <c r="K804" i="2" s="1"/>
  <c r="J805" i="2"/>
  <c r="K805" i="2" s="1"/>
  <c r="J806" i="2"/>
  <c r="K806" i="2" s="1"/>
  <c r="J807" i="2"/>
  <c r="K807" i="2" s="1"/>
  <c r="J808" i="2"/>
  <c r="K808" i="2" s="1"/>
  <c r="J809" i="2"/>
  <c r="K809" i="2" s="1"/>
  <c r="J810" i="2"/>
  <c r="K810" i="2" s="1"/>
  <c r="J811" i="2"/>
  <c r="K811" i="2" s="1"/>
  <c r="J812" i="2"/>
  <c r="K812" i="2" s="1"/>
  <c r="J813" i="2"/>
  <c r="K813" i="2" s="1"/>
  <c r="J814" i="2"/>
  <c r="K814" i="2" s="1"/>
  <c r="J815" i="2"/>
  <c r="K815" i="2" s="1"/>
  <c r="J816" i="2"/>
  <c r="K816" i="2" s="1"/>
  <c r="J817" i="2"/>
  <c r="K817" i="2" s="1"/>
  <c r="J818" i="2"/>
  <c r="K818" i="2" s="1"/>
  <c r="J819" i="2"/>
  <c r="K819" i="2" s="1"/>
  <c r="J820" i="2"/>
  <c r="K820" i="2" s="1"/>
  <c r="J821" i="2"/>
  <c r="K821" i="2" s="1"/>
  <c r="J822" i="2"/>
  <c r="K822" i="2" s="1"/>
  <c r="J823" i="2"/>
  <c r="K823" i="2" s="1"/>
  <c r="J824" i="2"/>
  <c r="K824" i="2" s="1"/>
  <c r="J825" i="2"/>
  <c r="K825" i="2" s="1"/>
  <c r="J826" i="2"/>
  <c r="K826" i="2" s="1"/>
  <c r="J827" i="2"/>
  <c r="K827" i="2" s="1"/>
  <c r="J828" i="2"/>
  <c r="K828" i="2" s="1"/>
  <c r="J829" i="2"/>
  <c r="K829" i="2" s="1"/>
  <c r="J830" i="2"/>
  <c r="K830" i="2" s="1"/>
  <c r="J831" i="2"/>
  <c r="K831" i="2" s="1"/>
  <c r="J832" i="2"/>
  <c r="K832" i="2" s="1"/>
  <c r="J833" i="2"/>
  <c r="K833" i="2" s="1"/>
  <c r="J834" i="2"/>
  <c r="K834" i="2" s="1"/>
  <c r="J835" i="2"/>
  <c r="K835" i="2" s="1"/>
  <c r="J836" i="2"/>
  <c r="K836" i="2" s="1"/>
  <c r="J837" i="2"/>
  <c r="K837" i="2" s="1"/>
  <c r="J838" i="2"/>
  <c r="K838" i="2" s="1"/>
  <c r="J839" i="2"/>
  <c r="K839" i="2" s="1"/>
  <c r="J840" i="2"/>
  <c r="K840" i="2" s="1"/>
  <c r="J841" i="2"/>
  <c r="K841" i="2" s="1"/>
  <c r="J842" i="2"/>
  <c r="K842" i="2" s="1"/>
  <c r="J843" i="2"/>
  <c r="K843" i="2" s="1"/>
  <c r="J844" i="2"/>
  <c r="K844" i="2" s="1"/>
  <c r="J845" i="2"/>
  <c r="K845" i="2" s="1"/>
  <c r="J846" i="2"/>
  <c r="K846" i="2" s="1"/>
  <c r="J847" i="2"/>
  <c r="K847" i="2" s="1"/>
  <c r="J848" i="2"/>
  <c r="K848" i="2" s="1"/>
  <c r="J849" i="2"/>
  <c r="K849" i="2" s="1"/>
  <c r="J850" i="2"/>
  <c r="K850" i="2" s="1"/>
  <c r="J851" i="2"/>
  <c r="K851" i="2" s="1"/>
  <c r="J852" i="2"/>
  <c r="K852" i="2" s="1"/>
  <c r="J853" i="2"/>
  <c r="K853" i="2" s="1"/>
  <c r="J854" i="2"/>
  <c r="K854" i="2" s="1"/>
  <c r="J855" i="2"/>
  <c r="K855" i="2" s="1"/>
  <c r="J856" i="2"/>
  <c r="K856" i="2" s="1"/>
  <c r="J857" i="2"/>
  <c r="K857" i="2" s="1"/>
  <c r="J858" i="2"/>
  <c r="K858" i="2" s="1"/>
  <c r="J859" i="2"/>
  <c r="K859" i="2" s="1"/>
  <c r="J860" i="2"/>
  <c r="K860" i="2" s="1"/>
  <c r="J861" i="2"/>
  <c r="K861" i="2" s="1"/>
  <c r="J862" i="2"/>
  <c r="K862" i="2" s="1"/>
  <c r="J863" i="2"/>
  <c r="K863" i="2" s="1"/>
  <c r="J864" i="2"/>
  <c r="K864" i="2" s="1"/>
  <c r="J865" i="2"/>
  <c r="K865" i="2" s="1"/>
  <c r="J866" i="2"/>
  <c r="K866" i="2" s="1"/>
  <c r="J867" i="2"/>
  <c r="K867" i="2" s="1"/>
  <c r="J868" i="2"/>
  <c r="K868" i="2" s="1"/>
  <c r="J869" i="2"/>
  <c r="K869" i="2" s="1"/>
  <c r="J870" i="2"/>
  <c r="K870" i="2" s="1"/>
  <c r="J871" i="2"/>
  <c r="K871" i="2" s="1"/>
  <c r="J872" i="2"/>
  <c r="K872" i="2" s="1"/>
  <c r="J873" i="2"/>
  <c r="K873" i="2" s="1"/>
  <c r="J874" i="2"/>
  <c r="K874" i="2" s="1"/>
  <c r="J875" i="2"/>
  <c r="K875" i="2" s="1"/>
  <c r="J876" i="2"/>
  <c r="K876" i="2" s="1"/>
  <c r="J877" i="2"/>
  <c r="K877" i="2" s="1"/>
  <c r="J878" i="2"/>
  <c r="K878" i="2" s="1"/>
  <c r="J879" i="2"/>
  <c r="K879" i="2" s="1"/>
  <c r="J880" i="2"/>
  <c r="K880" i="2" s="1"/>
  <c r="J881" i="2"/>
  <c r="K881" i="2" s="1"/>
  <c r="J882" i="2"/>
  <c r="K882" i="2" s="1"/>
  <c r="J883" i="2"/>
  <c r="K883" i="2" s="1"/>
  <c r="J884" i="2"/>
  <c r="K884" i="2" s="1"/>
  <c r="J885" i="2"/>
  <c r="K885" i="2" s="1"/>
  <c r="J886" i="2"/>
  <c r="K886" i="2" s="1"/>
  <c r="J887" i="2"/>
  <c r="K887" i="2" s="1"/>
  <c r="J888" i="2"/>
  <c r="K888" i="2" s="1"/>
  <c r="J889" i="2"/>
  <c r="K889" i="2" s="1"/>
  <c r="J890" i="2"/>
  <c r="K890" i="2" s="1"/>
  <c r="J891" i="2"/>
  <c r="K891" i="2" s="1"/>
  <c r="J892" i="2"/>
  <c r="K892" i="2" s="1"/>
  <c r="J893" i="2"/>
  <c r="K893" i="2" s="1"/>
  <c r="J894" i="2"/>
  <c r="K894" i="2" s="1"/>
  <c r="J895" i="2"/>
  <c r="K895" i="2" s="1"/>
  <c r="J896" i="2"/>
  <c r="K896" i="2" s="1"/>
  <c r="J897" i="2"/>
  <c r="K897" i="2" s="1"/>
  <c r="J898" i="2"/>
  <c r="K898" i="2" s="1"/>
  <c r="J899" i="2"/>
  <c r="K899" i="2" s="1"/>
  <c r="J900" i="2"/>
  <c r="K900" i="2" s="1"/>
  <c r="J901" i="2"/>
  <c r="K901" i="2" s="1"/>
  <c r="J902" i="2"/>
  <c r="K902" i="2" s="1"/>
  <c r="J903" i="2"/>
  <c r="K903" i="2" s="1"/>
  <c r="J904" i="2"/>
  <c r="K904" i="2" s="1"/>
  <c r="J905" i="2"/>
  <c r="K905" i="2" s="1"/>
  <c r="J906" i="2"/>
  <c r="K906" i="2" s="1"/>
  <c r="J907" i="2"/>
  <c r="K907" i="2" s="1"/>
  <c r="J908" i="2"/>
  <c r="K908" i="2" s="1"/>
  <c r="J909" i="2"/>
  <c r="K909" i="2" s="1"/>
  <c r="J910" i="2"/>
  <c r="K910" i="2" s="1"/>
  <c r="J911" i="2"/>
  <c r="K911" i="2" s="1"/>
  <c r="J912" i="2"/>
  <c r="K912" i="2" s="1"/>
  <c r="J913" i="2"/>
  <c r="K913" i="2" s="1"/>
  <c r="J914" i="2"/>
  <c r="K914" i="2" s="1"/>
  <c r="J915" i="2"/>
  <c r="K915" i="2" s="1"/>
  <c r="J916" i="2"/>
  <c r="K916" i="2" s="1"/>
  <c r="J917" i="2"/>
  <c r="K917" i="2" s="1"/>
  <c r="J918" i="2"/>
  <c r="K918" i="2" s="1"/>
  <c r="J919" i="2"/>
  <c r="K919" i="2" s="1"/>
  <c r="J920" i="2"/>
  <c r="K920" i="2" s="1"/>
  <c r="J921" i="2"/>
  <c r="K921" i="2" s="1"/>
  <c r="J922" i="2"/>
  <c r="K922" i="2" s="1"/>
  <c r="J923" i="2"/>
  <c r="K923" i="2" s="1"/>
  <c r="J924" i="2"/>
  <c r="K924" i="2" s="1"/>
  <c r="J925" i="2"/>
  <c r="K925" i="2" s="1"/>
  <c r="J926" i="2"/>
  <c r="K926" i="2" s="1"/>
  <c r="J927" i="2"/>
  <c r="K927" i="2" s="1"/>
  <c r="J928" i="2"/>
  <c r="K928" i="2" s="1"/>
  <c r="J929" i="2"/>
  <c r="K929" i="2" s="1"/>
  <c r="J930" i="2"/>
  <c r="K930" i="2" s="1"/>
  <c r="J931" i="2"/>
  <c r="K931" i="2" s="1"/>
  <c r="J932" i="2"/>
  <c r="K932" i="2" s="1"/>
  <c r="J933" i="2"/>
  <c r="K933" i="2" s="1"/>
  <c r="J934" i="2"/>
  <c r="K934" i="2" s="1"/>
  <c r="J935" i="2"/>
  <c r="K935" i="2" s="1"/>
  <c r="J936" i="2"/>
  <c r="K936" i="2" s="1"/>
  <c r="J937" i="2"/>
  <c r="K937" i="2" s="1"/>
  <c r="J938" i="2"/>
  <c r="K938" i="2" s="1"/>
  <c r="J939" i="2"/>
  <c r="K939" i="2" s="1"/>
  <c r="J940" i="2"/>
  <c r="K940" i="2" s="1"/>
  <c r="J941" i="2"/>
  <c r="K941" i="2" s="1"/>
  <c r="J942" i="2"/>
  <c r="K942" i="2" s="1"/>
  <c r="J943" i="2"/>
  <c r="K943" i="2" s="1"/>
  <c r="J944" i="2"/>
  <c r="K944" i="2" s="1"/>
  <c r="J945" i="2"/>
  <c r="K945" i="2" s="1"/>
  <c r="J946" i="2"/>
  <c r="K946" i="2" s="1"/>
  <c r="J947" i="2"/>
  <c r="K947" i="2" s="1"/>
  <c r="J948" i="2"/>
  <c r="K948" i="2" s="1"/>
  <c r="J949" i="2"/>
  <c r="K949" i="2" s="1"/>
  <c r="J950" i="2"/>
  <c r="K950" i="2" s="1"/>
  <c r="J951" i="2"/>
  <c r="K951" i="2" s="1"/>
  <c r="J952" i="2"/>
  <c r="K952" i="2" s="1"/>
  <c r="J953" i="2"/>
  <c r="K953" i="2" s="1"/>
  <c r="J954" i="2"/>
  <c r="K954" i="2" s="1"/>
  <c r="J955" i="2"/>
  <c r="K955" i="2" s="1"/>
  <c r="J956" i="2"/>
  <c r="K956" i="2" s="1"/>
  <c r="J957" i="2"/>
  <c r="K957" i="2" s="1"/>
  <c r="J958" i="2"/>
  <c r="K958" i="2" s="1"/>
  <c r="J959" i="2"/>
  <c r="K959" i="2" s="1"/>
  <c r="J960" i="2"/>
  <c r="K960" i="2" s="1"/>
  <c r="J961" i="2"/>
  <c r="K961" i="2" s="1"/>
  <c r="J962" i="2"/>
  <c r="K962" i="2" s="1"/>
  <c r="J963" i="2"/>
  <c r="K963" i="2" s="1"/>
  <c r="J964" i="2"/>
  <c r="K964" i="2" s="1"/>
  <c r="J965" i="2"/>
  <c r="K965" i="2" s="1"/>
  <c r="J966" i="2"/>
  <c r="K966" i="2" s="1"/>
  <c r="J967" i="2"/>
  <c r="K967" i="2" s="1"/>
  <c r="J968" i="2"/>
  <c r="K968" i="2" s="1"/>
  <c r="J969" i="2"/>
  <c r="K969" i="2" s="1"/>
  <c r="J970" i="2"/>
  <c r="K970" i="2" s="1"/>
  <c r="J971" i="2"/>
  <c r="K971" i="2" s="1"/>
  <c r="J972" i="2"/>
  <c r="K972" i="2" s="1"/>
  <c r="J973" i="2"/>
  <c r="K973" i="2" s="1"/>
  <c r="J974" i="2"/>
  <c r="K974" i="2" s="1"/>
  <c r="J975" i="2"/>
  <c r="K975" i="2" s="1"/>
  <c r="J976" i="2"/>
  <c r="K976" i="2" s="1"/>
  <c r="J977" i="2"/>
  <c r="K977" i="2" s="1"/>
  <c r="J978" i="2"/>
  <c r="K978" i="2" s="1"/>
  <c r="J979" i="2"/>
  <c r="K979" i="2" s="1"/>
  <c r="J980" i="2"/>
  <c r="K980" i="2" s="1"/>
  <c r="J981" i="2"/>
  <c r="K981" i="2" s="1"/>
  <c r="J982" i="2"/>
  <c r="K982" i="2" s="1"/>
  <c r="J983" i="2"/>
  <c r="K983" i="2" s="1"/>
  <c r="J984" i="2"/>
  <c r="K984" i="2" s="1"/>
  <c r="J985" i="2"/>
  <c r="K985" i="2" s="1"/>
  <c r="J986" i="2"/>
  <c r="K986" i="2" s="1"/>
  <c r="J987" i="2"/>
  <c r="K987" i="2" s="1"/>
  <c r="J988" i="2"/>
  <c r="K988" i="2" s="1"/>
  <c r="J989" i="2"/>
  <c r="K989" i="2" s="1"/>
  <c r="J990" i="2"/>
  <c r="K990" i="2" s="1"/>
  <c r="J991" i="2"/>
  <c r="K991" i="2" s="1"/>
  <c r="J992" i="2"/>
  <c r="K992" i="2" s="1"/>
  <c r="J993" i="2"/>
  <c r="K993" i="2" s="1"/>
  <c r="J994" i="2"/>
  <c r="K994" i="2" s="1"/>
  <c r="J995" i="2"/>
  <c r="K995" i="2" s="1"/>
  <c r="J996" i="2"/>
  <c r="K996" i="2" s="1"/>
  <c r="J997" i="2"/>
  <c r="K997" i="2" s="1"/>
  <c r="J998" i="2"/>
  <c r="K998" i="2" s="1"/>
  <c r="J999" i="2"/>
  <c r="K999" i="2" s="1"/>
  <c r="J1000" i="2"/>
  <c r="K1000" i="2" s="1"/>
  <c r="J1001" i="2"/>
  <c r="K1001" i="2" s="1"/>
  <c r="J1002" i="2"/>
  <c r="K1002" i="2" s="1"/>
  <c r="J1003" i="2"/>
  <c r="K1003" i="2" s="1"/>
  <c r="J1004" i="2"/>
  <c r="K1004" i="2" s="1"/>
  <c r="J1005" i="2"/>
  <c r="K1005" i="2" s="1"/>
  <c r="J1006" i="2"/>
  <c r="K1006" i="2" s="1"/>
  <c r="J1007" i="2"/>
  <c r="K1007" i="2" s="1"/>
  <c r="J1008" i="2"/>
  <c r="K1008" i="2" s="1"/>
  <c r="J1009" i="2"/>
  <c r="K1009" i="2" s="1"/>
  <c r="J1010" i="2"/>
  <c r="K1010" i="2" s="1"/>
  <c r="J1011" i="2"/>
  <c r="K1011" i="2" s="1"/>
  <c r="J1012" i="2"/>
  <c r="K1012" i="2" s="1"/>
  <c r="J1013" i="2"/>
  <c r="K1013" i="2" s="1"/>
  <c r="J1014" i="2"/>
  <c r="K1014" i="2" s="1"/>
  <c r="J1015" i="2"/>
  <c r="K1015" i="2" s="1"/>
  <c r="J1016" i="2"/>
  <c r="K1016" i="2" s="1"/>
  <c r="J1017" i="2"/>
  <c r="K1017" i="2" s="1"/>
  <c r="J1018" i="2"/>
  <c r="K1018" i="2" s="1"/>
  <c r="J1019" i="2"/>
  <c r="K1019" i="2" s="1"/>
  <c r="J1020" i="2"/>
  <c r="K1020" i="2" s="1"/>
  <c r="J1021" i="2"/>
  <c r="K1021" i="2" s="1"/>
  <c r="J1022" i="2"/>
  <c r="K1022" i="2" s="1"/>
  <c r="J1023" i="2"/>
  <c r="K1023" i="2" s="1"/>
  <c r="J1024" i="2"/>
  <c r="K1024" i="2" s="1"/>
  <c r="J1025" i="2"/>
  <c r="K1025" i="2" s="1"/>
  <c r="J1026" i="2"/>
  <c r="K1026" i="2" s="1"/>
  <c r="J1027" i="2"/>
  <c r="K1027" i="2" s="1"/>
  <c r="J1028" i="2"/>
  <c r="K1028" i="2" s="1"/>
  <c r="J1029" i="2"/>
  <c r="K1029" i="2" s="1"/>
  <c r="J1030" i="2"/>
  <c r="K1030" i="2" s="1"/>
  <c r="J1031" i="2"/>
  <c r="K1031" i="2" s="1"/>
  <c r="J1032" i="2"/>
  <c r="K1032" i="2" s="1"/>
  <c r="J1033" i="2"/>
  <c r="K1033" i="2" s="1"/>
  <c r="J1034" i="2"/>
  <c r="K1034" i="2" s="1"/>
  <c r="J1035" i="2"/>
  <c r="K1035" i="2" s="1"/>
  <c r="J1036" i="2"/>
  <c r="K1036" i="2" s="1"/>
  <c r="J1037" i="2"/>
  <c r="K1037" i="2" s="1"/>
  <c r="J1038" i="2"/>
  <c r="K1038" i="2" s="1"/>
  <c r="J1039" i="2"/>
  <c r="K1039" i="2" s="1"/>
  <c r="J1040" i="2"/>
  <c r="K1040" i="2" s="1"/>
  <c r="J1041" i="2"/>
  <c r="K1041" i="2" s="1"/>
  <c r="J1042" i="2"/>
  <c r="K1042" i="2" s="1"/>
  <c r="J1043" i="2"/>
  <c r="K1043" i="2" s="1"/>
  <c r="J1044" i="2"/>
  <c r="K1044" i="2" s="1"/>
  <c r="J1045" i="2"/>
  <c r="K1045" i="2" s="1"/>
  <c r="J1046" i="2"/>
  <c r="K1046" i="2" s="1"/>
  <c r="J1047" i="2"/>
  <c r="K1047" i="2" s="1"/>
  <c r="J1048" i="2"/>
  <c r="K1048" i="2" s="1"/>
  <c r="J1049" i="2"/>
  <c r="K1049" i="2" s="1"/>
  <c r="J1050" i="2"/>
  <c r="K1050" i="2" s="1"/>
  <c r="J1051" i="2"/>
  <c r="K1051" i="2" s="1"/>
  <c r="J1052" i="2"/>
  <c r="K1052" i="2" s="1"/>
  <c r="J1053" i="2"/>
  <c r="K1053" i="2" s="1"/>
  <c r="J1054" i="2"/>
  <c r="K1054" i="2" s="1"/>
  <c r="J1055" i="2"/>
  <c r="K1055" i="2" s="1"/>
  <c r="J1056" i="2"/>
  <c r="K1056" i="2" s="1"/>
  <c r="J1057" i="2"/>
  <c r="K1057" i="2" s="1"/>
  <c r="J1058" i="2"/>
  <c r="K1058" i="2" s="1"/>
  <c r="J1059" i="2"/>
  <c r="K1059" i="2" s="1"/>
  <c r="J1060" i="2"/>
  <c r="K1060" i="2" s="1"/>
  <c r="J1061" i="2"/>
  <c r="K1061" i="2" s="1"/>
  <c r="J1062" i="2"/>
  <c r="K1062" i="2" s="1"/>
  <c r="J1063" i="2"/>
  <c r="K1063" i="2" s="1"/>
  <c r="J1064" i="2"/>
  <c r="K1064" i="2" s="1"/>
  <c r="J1065" i="2"/>
  <c r="K1065" i="2" s="1"/>
  <c r="J1066" i="2"/>
  <c r="K1066" i="2" s="1"/>
  <c r="J1067" i="2"/>
  <c r="K1067" i="2" s="1"/>
  <c r="J1068" i="2"/>
  <c r="K1068" i="2" s="1"/>
  <c r="J1069" i="2"/>
  <c r="K1069" i="2" s="1"/>
  <c r="J1070" i="2"/>
  <c r="K1070" i="2" s="1"/>
  <c r="J1071" i="2"/>
  <c r="K1071" i="2" s="1"/>
  <c r="J1072" i="2"/>
  <c r="K1072" i="2" s="1"/>
  <c r="J1073" i="2"/>
  <c r="K1073" i="2" s="1"/>
  <c r="J1074" i="2"/>
  <c r="K1074" i="2" s="1"/>
  <c r="J1075" i="2"/>
  <c r="K1075" i="2" s="1"/>
  <c r="J1076" i="2"/>
  <c r="K1076" i="2" s="1"/>
  <c r="J1077" i="2"/>
  <c r="K1077" i="2" s="1"/>
  <c r="J1078" i="2"/>
  <c r="K1078" i="2" s="1"/>
  <c r="J1079" i="2"/>
  <c r="K1079" i="2" s="1"/>
  <c r="J1080" i="2"/>
  <c r="K1080" i="2" s="1"/>
  <c r="J1081" i="2"/>
  <c r="K1081" i="2" s="1"/>
  <c r="J1082" i="2"/>
  <c r="K1082" i="2" s="1"/>
  <c r="J1083" i="2"/>
  <c r="K1083" i="2" s="1"/>
  <c r="J1084" i="2"/>
  <c r="K1084" i="2" s="1"/>
  <c r="J1085" i="2"/>
  <c r="K1085" i="2" s="1"/>
  <c r="J1086" i="2"/>
  <c r="K1086" i="2" s="1"/>
  <c r="J1087" i="2"/>
  <c r="K1087" i="2" s="1"/>
  <c r="J1088" i="2"/>
  <c r="K1088" i="2" s="1"/>
  <c r="J1089" i="2"/>
  <c r="K1089" i="2" s="1"/>
  <c r="J1090" i="2"/>
  <c r="K1090" i="2" s="1"/>
  <c r="J1091" i="2"/>
  <c r="K1091" i="2" s="1"/>
  <c r="J1092" i="2"/>
  <c r="K1092" i="2" s="1"/>
  <c r="J1093" i="2"/>
  <c r="K1093" i="2" s="1"/>
  <c r="J1094" i="2"/>
  <c r="K1094" i="2" s="1"/>
  <c r="J1095" i="2"/>
  <c r="K1095" i="2" s="1"/>
  <c r="J1096" i="2"/>
  <c r="K1096" i="2" s="1"/>
  <c r="J1097" i="2"/>
  <c r="K1097" i="2" s="1"/>
  <c r="J1098" i="2"/>
  <c r="K1098" i="2" s="1"/>
  <c r="J1099" i="2"/>
  <c r="K1099" i="2" s="1"/>
  <c r="J1100" i="2"/>
  <c r="K1100" i="2" s="1"/>
  <c r="J1101" i="2"/>
  <c r="K1101" i="2" s="1"/>
  <c r="J1102" i="2"/>
  <c r="K1102" i="2" s="1"/>
  <c r="J1103" i="2"/>
  <c r="K1103" i="2" s="1"/>
  <c r="J1104" i="2"/>
  <c r="K1104" i="2" s="1"/>
  <c r="J1105" i="2"/>
  <c r="K1105" i="2" s="1"/>
  <c r="J1106" i="2"/>
  <c r="K1106" i="2" s="1"/>
  <c r="J1107" i="2"/>
  <c r="K1107" i="2" s="1"/>
  <c r="J1108" i="2"/>
  <c r="K1108" i="2" s="1"/>
  <c r="J1109" i="2"/>
  <c r="K1109" i="2" s="1"/>
  <c r="J1110" i="2"/>
  <c r="K1110" i="2" s="1"/>
  <c r="J1111" i="2"/>
  <c r="K1111" i="2" s="1"/>
  <c r="J1112" i="2"/>
  <c r="K1112" i="2" s="1"/>
  <c r="J1113" i="2"/>
  <c r="K1113" i="2" s="1"/>
  <c r="J1114" i="2"/>
  <c r="K1114" i="2" s="1"/>
  <c r="J1115" i="2"/>
  <c r="K1115" i="2" s="1"/>
  <c r="J1116" i="2"/>
  <c r="K1116" i="2" s="1"/>
  <c r="J1117" i="2"/>
  <c r="K1117" i="2" s="1"/>
  <c r="J1118" i="2"/>
  <c r="K1118" i="2" s="1"/>
  <c r="J1119" i="2"/>
  <c r="K1119" i="2" s="1"/>
  <c r="J1120" i="2"/>
  <c r="K1120" i="2" s="1"/>
  <c r="J1121" i="2"/>
  <c r="K1121" i="2" s="1"/>
  <c r="J1122" i="2"/>
  <c r="K1122" i="2" s="1"/>
  <c r="J1123" i="2"/>
  <c r="K1123" i="2" s="1"/>
  <c r="J1124" i="2"/>
  <c r="K1124" i="2" s="1"/>
  <c r="J1125" i="2"/>
  <c r="K1125" i="2" s="1"/>
  <c r="J1126" i="2"/>
  <c r="K1126" i="2" s="1"/>
  <c r="J1127" i="2"/>
  <c r="K1127" i="2" s="1"/>
  <c r="J1128" i="2"/>
  <c r="K1128" i="2" s="1"/>
  <c r="J1129" i="2"/>
  <c r="K1129" i="2" s="1"/>
  <c r="J1130" i="2"/>
  <c r="K1130" i="2" s="1"/>
  <c r="J1131" i="2"/>
  <c r="K1131" i="2" s="1"/>
  <c r="J1132" i="2"/>
  <c r="K1132" i="2" s="1"/>
  <c r="J1133" i="2"/>
  <c r="K1133" i="2" s="1"/>
  <c r="J1134" i="2"/>
  <c r="K1134" i="2" s="1"/>
  <c r="J1135" i="2"/>
  <c r="K1135" i="2" s="1"/>
  <c r="J1136" i="2"/>
  <c r="K1136" i="2" s="1"/>
  <c r="J1137" i="2"/>
  <c r="K1137" i="2" s="1"/>
  <c r="J1138" i="2"/>
  <c r="K1138" i="2" s="1"/>
  <c r="J1139" i="2"/>
  <c r="K1139" i="2" s="1"/>
  <c r="J1140" i="2"/>
  <c r="K1140" i="2" s="1"/>
  <c r="J1141" i="2"/>
  <c r="K1141" i="2" s="1"/>
  <c r="J1142" i="2"/>
  <c r="K1142" i="2" s="1"/>
  <c r="J1143" i="2"/>
  <c r="K1143" i="2" s="1"/>
  <c r="J1144" i="2"/>
  <c r="K1144" i="2" s="1"/>
  <c r="J1145" i="2"/>
  <c r="K1145" i="2" s="1"/>
  <c r="J1146" i="2"/>
  <c r="K1146" i="2" s="1"/>
  <c r="J1147" i="2"/>
  <c r="K1147" i="2" s="1"/>
  <c r="J1148" i="2"/>
  <c r="K1148" i="2" s="1"/>
  <c r="J1149" i="2"/>
  <c r="K1149" i="2" s="1"/>
  <c r="J1150" i="2"/>
  <c r="K1150" i="2" s="1"/>
  <c r="J1151" i="2"/>
  <c r="K1151" i="2" s="1"/>
  <c r="J1152" i="2"/>
  <c r="K1152" i="2" s="1"/>
  <c r="J1153" i="2"/>
  <c r="K1153" i="2" s="1"/>
  <c r="J1154" i="2"/>
  <c r="K1154" i="2" s="1"/>
  <c r="J1155" i="2"/>
  <c r="K1155" i="2" s="1"/>
  <c r="J1156" i="2"/>
  <c r="K1156" i="2" s="1"/>
  <c r="J1157" i="2"/>
  <c r="K1157" i="2" s="1"/>
  <c r="J1158" i="2"/>
  <c r="K1158" i="2" s="1"/>
  <c r="J1159" i="2"/>
  <c r="K1159" i="2" s="1"/>
  <c r="J1160" i="2"/>
  <c r="K1160" i="2" s="1"/>
  <c r="J1161" i="2"/>
  <c r="K1161" i="2" s="1"/>
  <c r="J1162" i="2"/>
  <c r="K1162" i="2" s="1"/>
  <c r="J1163" i="2"/>
  <c r="K1163" i="2" s="1"/>
  <c r="J1164" i="2"/>
  <c r="K1164" i="2" s="1"/>
  <c r="J1165" i="2"/>
  <c r="K1165" i="2" s="1"/>
  <c r="J1166" i="2"/>
  <c r="K1166" i="2" s="1"/>
  <c r="J1167" i="2"/>
  <c r="K1167" i="2" s="1"/>
  <c r="J1168" i="2"/>
  <c r="K1168" i="2" s="1"/>
  <c r="J1169" i="2"/>
  <c r="K1169" i="2" s="1"/>
  <c r="J1170" i="2"/>
  <c r="K1170" i="2" s="1"/>
  <c r="J1171" i="2"/>
  <c r="K1171" i="2" s="1"/>
  <c r="J1172" i="2"/>
  <c r="K1172" i="2" s="1"/>
  <c r="J1173" i="2"/>
  <c r="K1173" i="2" s="1"/>
  <c r="J1174" i="2"/>
  <c r="K1174" i="2" s="1"/>
  <c r="J1175" i="2"/>
  <c r="K1175" i="2" s="1"/>
  <c r="J1176" i="2"/>
  <c r="K1176" i="2" s="1"/>
  <c r="J1177" i="2"/>
  <c r="K1177" i="2" s="1"/>
  <c r="Q28" i="2" l="1"/>
  <c r="Q29" i="2"/>
  <c r="Q27" i="2"/>
  <c r="Q13" i="2"/>
  <c r="Q17" i="2"/>
  <c r="Q4" i="2"/>
  <c r="Q15" i="2"/>
  <c r="Q22" i="2"/>
  <c r="Q23" i="2"/>
  <c r="Q8" i="2"/>
  <c r="Q20" i="2"/>
  <c r="Q6" i="2"/>
  <c r="Q10" i="2"/>
  <c r="Q21" i="2"/>
  <c r="Q2" i="2"/>
  <c r="Q9" i="2"/>
  <c r="Q14" i="2"/>
  <c r="Q1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71331D-9DEF-4D71-9C98-01DC097E048D}"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<sst xmlns="http://schemas.openxmlformats.org/spreadsheetml/2006/main" count="14091" uniqueCount="3176">
  <si>
    <t>Transaction_ID</t>
  </si>
  <si>
    <t>Date</t>
  </si>
  <si>
    <t>Region</t>
  </si>
  <si>
    <t>Category</t>
  </si>
  <si>
    <t>Units_Sold</t>
  </si>
  <si>
    <t>Unit_Price</t>
  </si>
  <si>
    <t>Total_Amount</t>
  </si>
  <si>
    <t>Customer_Email</t>
  </si>
  <si>
    <t>Payment_Method</t>
  </si>
  <si>
    <t>Cleaned_Customer_Email</t>
  </si>
  <si>
    <t>TXN-1000</t>
  </si>
  <si>
    <t>South</t>
  </si>
  <si>
    <t>Office Supplies</t>
  </si>
  <si>
    <t>user_0@company.com</t>
  </si>
  <si>
    <t>Credit Card</t>
  </si>
  <si>
    <t>TXN-1001</t>
  </si>
  <si>
    <t>North</t>
  </si>
  <si>
    <t>user_1@company.com</t>
  </si>
  <si>
    <t>TXN-1002</t>
  </si>
  <si>
    <t>West</t>
  </si>
  <si>
    <t>user_2@company.com</t>
  </si>
  <si>
    <t>Unknown</t>
  </si>
  <si>
    <t>TXN-1003</t>
  </si>
  <si>
    <t>East</t>
  </si>
  <si>
    <t>Electronics</t>
  </si>
  <si>
    <t>user_3@company.com</t>
  </si>
  <si>
    <t>PayPal</t>
  </si>
  <si>
    <t>TXN-1004</t>
  </si>
  <si>
    <t>user_4@company.com</t>
  </si>
  <si>
    <t>TXN-1005</t>
  </si>
  <si>
    <t>user_5@company.com</t>
  </si>
  <si>
    <t>TXN-1006</t>
  </si>
  <si>
    <t xml:space="preserve">Furniture </t>
  </si>
  <si>
    <t>user_6@company.com</t>
  </si>
  <si>
    <t>TXN-1007</t>
  </si>
  <si>
    <t>user_7@company.com</t>
  </si>
  <si>
    <t>TXN-1008</t>
  </si>
  <si>
    <t>user_8@company.com</t>
  </si>
  <si>
    <t>Debit Card</t>
  </si>
  <si>
    <t>TXN-1009</t>
  </si>
  <si>
    <t>user_9@company.com</t>
  </si>
  <si>
    <t>TXN-1010</t>
  </si>
  <si>
    <t>user_10@company.com</t>
  </si>
  <si>
    <t>TXN-1011</t>
  </si>
  <si>
    <t>user_11@company.com</t>
  </si>
  <si>
    <t>TXN-1012</t>
  </si>
  <si>
    <t>Furniture</t>
  </si>
  <si>
    <t>user_12@company.com</t>
  </si>
  <si>
    <t>TXN-1013</t>
  </si>
  <si>
    <t>invalid_email_at_gmail.com</t>
  </si>
  <si>
    <t>Cash</t>
  </si>
  <si>
    <t>invalid_email@gmail.com</t>
  </si>
  <si>
    <t>TXN-1014</t>
  </si>
  <si>
    <t>user_14@company.com</t>
  </si>
  <si>
    <t>TXN-1015</t>
  </si>
  <si>
    <t>user_15@company.com</t>
  </si>
  <si>
    <t>TXN-1016</t>
  </si>
  <si>
    <t>TXN-1017</t>
  </si>
  <si>
    <t>Unknown Region</t>
  </si>
  <si>
    <t>user_17@company.com</t>
  </si>
  <si>
    <t>TXN-1018</t>
  </si>
  <si>
    <t>user_18@company.com</t>
  </si>
  <si>
    <t>TXN-1019</t>
  </si>
  <si>
    <t>user_19@company.com</t>
  </si>
  <si>
    <t>TXN-1020</t>
  </si>
  <si>
    <t>user_20@company.com</t>
  </si>
  <si>
    <t>TXN-1021</t>
  </si>
  <si>
    <t>user_21@company.com</t>
  </si>
  <si>
    <t>TXN-1022</t>
  </si>
  <si>
    <t>user_22@company.com</t>
  </si>
  <si>
    <t>TXN-1023</t>
  </si>
  <si>
    <t>user_23@company.com</t>
  </si>
  <si>
    <t>TXN-1024</t>
  </si>
  <si>
    <t>user_24@company.com</t>
  </si>
  <si>
    <t>TXN-1025</t>
  </si>
  <si>
    <t>user_25@company.com</t>
  </si>
  <si>
    <t>TXN-1026</t>
  </si>
  <si>
    <t>TXN-1027</t>
  </si>
  <si>
    <t>user_27@company.com</t>
  </si>
  <si>
    <t>TXN-1028</t>
  </si>
  <si>
    <t>user_28@company.com</t>
  </si>
  <si>
    <t>TXN-1029</t>
  </si>
  <si>
    <t>user_29@company.com</t>
  </si>
  <si>
    <t>TXN-1030</t>
  </si>
  <si>
    <t>user_at_company</t>
  </si>
  <si>
    <t>user@company</t>
  </si>
  <si>
    <t>TXN-1031</t>
  </si>
  <si>
    <t>TXN-1032</t>
  </si>
  <si>
    <t>user_32@company.com</t>
  </si>
  <si>
    <t>TXN-1033</t>
  </si>
  <si>
    <t>user_33@company.com</t>
  </si>
  <si>
    <t>TXN-1034</t>
  </si>
  <si>
    <t>user_34@company.com</t>
  </si>
  <si>
    <t>TXN-1035</t>
  </si>
  <si>
    <t>user_35@company.com</t>
  </si>
  <si>
    <t>TXN-1036</t>
  </si>
  <si>
    <t>user_36@company.com</t>
  </si>
  <si>
    <t>TXN-1037</t>
  </si>
  <si>
    <t>user_37@company.com</t>
  </si>
  <si>
    <t>TXN-1038</t>
  </si>
  <si>
    <t>user_38@company.com</t>
  </si>
  <si>
    <t>TXN-1039</t>
  </si>
  <si>
    <t>user_39@company.com</t>
  </si>
  <si>
    <t>TXN-1040</t>
  </si>
  <si>
    <t>user_40@company.com</t>
  </si>
  <si>
    <t>TXN-1041</t>
  </si>
  <si>
    <t>TXN-1042</t>
  </si>
  <si>
    <t>user_42@company.com</t>
  </si>
  <si>
    <t>TXN-1043</t>
  </si>
  <si>
    <t>user_43@company.com</t>
  </si>
  <si>
    <t>TXN-1044</t>
  </si>
  <si>
    <t>user_44@company.com</t>
  </si>
  <si>
    <t>TXN-1045</t>
  </si>
  <si>
    <t>user_45@company.com</t>
  </si>
  <si>
    <t>TXN-1046</t>
  </si>
  <si>
    <t>user_46@company.com</t>
  </si>
  <si>
    <t>TXN-1047</t>
  </si>
  <si>
    <t>user_47@company.com</t>
  </si>
  <si>
    <t>TXN-1048</t>
  </si>
  <si>
    <t>user_48@company.com</t>
  </si>
  <si>
    <t>TXN-1049</t>
  </si>
  <si>
    <t>user_49@company.com</t>
  </si>
  <si>
    <t>TXN-1050</t>
  </si>
  <si>
    <t>user_50@company.com</t>
  </si>
  <si>
    <t>TXN-1051</t>
  </si>
  <si>
    <t>user_51@company.com</t>
  </si>
  <si>
    <t>TXN-1052</t>
  </si>
  <si>
    <t>user_52@company.com</t>
  </si>
  <si>
    <t>TXN-1053</t>
  </si>
  <si>
    <t>user_53@company.com</t>
  </si>
  <si>
    <t>TXN-1054</t>
  </si>
  <si>
    <t>unknown@domain.com</t>
  </si>
  <si>
    <t>TXN-1055</t>
  </si>
  <si>
    <t>user_55@company.com</t>
  </si>
  <si>
    <t>TXN-1056</t>
  </si>
  <si>
    <t>user_56@company.com</t>
  </si>
  <si>
    <t>TXN-1057</t>
  </si>
  <si>
    <t>user_57@company.com</t>
  </si>
  <si>
    <t>TXN-1058</t>
  </si>
  <si>
    <t>user_58@company.com</t>
  </si>
  <si>
    <t>TXN-1059</t>
  </si>
  <si>
    <t>user_59@company.com</t>
  </si>
  <si>
    <t>TXN-1060</t>
  </si>
  <si>
    <t>user_60@company.com</t>
  </si>
  <si>
    <t>TXN-1061</t>
  </si>
  <si>
    <t>user_61@company.com</t>
  </si>
  <si>
    <t>TXN-1062</t>
  </si>
  <si>
    <t>user_62@company.com</t>
  </si>
  <si>
    <t>TXN-1063</t>
  </si>
  <si>
    <t>user_63@company.com</t>
  </si>
  <si>
    <t>TXN-1064</t>
  </si>
  <si>
    <t>user_64@company.com</t>
  </si>
  <si>
    <t>TXN-1065</t>
  </si>
  <si>
    <t>user_65@company.com</t>
  </si>
  <si>
    <t>TXN-1066</t>
  </si>
  <si>
    <t>user_66@company.com</t>
  </si>
  <si>
    <t>TXN-1067</t>
  </si>
  <si>
    <t>user_67@company.com</t>
  </si>
  <si>
    <t>TXN-1068</t>
  </si>
  <si>
    <t>user_68@company.com</t>
  </si>
  <si>
    <t>TXN-1069</t>
  </si>
  <si>
    <t>user_69@company.com</t>
  </si>
  <si>
    <t>TXN-1070</t>
  </si>
  <si>
    <t>user_70@company.com</t>
  </si>
  <si>
    <t>TXN-1071</t>
  </si>
  <si>
    <t>user_71@company.com</t>
  </si>
  <si>
    <t>TXN-1072</t>
  </si>
  <si>
    <t>user_72@company.com</t>
  </si>
  <si>
    <t>TXN-1073</t>
  </si>
  <si>
    <t>user_73@company.com</t>
  </si>
  <si>
    <t>TXN-1074</t>
  </si>
  <si>
    <t>user_74@company.com</t>
  </si>
  <si>
    <t>TXN-1075</t>
  </si>
  <si>
    <t>user_75@company.com</t>
  </si>
  <si>
    <t>TXN-1076</t>
  </si>
  <si>
    <t>user_76@company.com</t>
  </si>
  <si>
    <t>TXN-1077</t>
  </si>
  <si>
    <t>TXN-1078</t>
  </si>
  <si>
    <t>user_78@company.com</t>
  </si>
  <si>
    <t>TXN-1079</t>
  </si>
  <si>
    <t>user_79@company.com</t>
  </si>
  <si>
    <t>TXN-1080</t>
  </si>
  <si>
    <t>user_80@company.com</t>
  </si>
  <si>
    <t>TXN-1081</t>
  </si>
  <si>
    <t>user_81@company.com</t>
  </si>
  <si>
    <t>TXN-1082</t>
  </si>
  <si>
    <t>user_82@company.com</t>
  </si>
  <si>
    <t>TXN-1083</t>
  </si>
  <si>
    <t>user_83@company.com</t>
  </si>
  <si>
    <t>TXN-1084</t>
  </si>
  <si>
    <t>user_84@company.com</t>
  </si>
  <si>
    <t>TXN-1085</t>
  </si>
  <si>
    <t>TXN-1086</t>
  </si>
  <si>
    <t>user_86@company.com</t>
  </si>
  <si>
    <t>TXN-1087</t>
  </si>
  <si>
    <t>user_87@company.com</t>
  </si>
  <si>
    <t>TXN-1088</t>
  </si>
  <si>
    <t>user_88@company.com</t>
  </si>
  <si>
    <t>TXN-1089</t>
  </si>
  <si>
    <t>user_89@company.com</t>
  </si>
  <si>
    <t>TXN-1090</t>
  </si>
  <si>
    <t>user_90@company.com</t>
  </si>
  <si>
    <t>TXN-1091</t>
  </si>
  <si>
    <t>user_91@company.com</t>
  </si>
  <si>
    <t>TXN-1092</t>
  </si>
  <si>
    <t>TXN-1093</t>
  </si>
  <si>
    <t>user_93@company.com</t>
  </si>
  <si>
    <t>TXN-1094</t>
  </si>
  <si>
    <t>user_94@company.com</t>
  </si>
  <si>
    <t>TXN-1095</t>
  </si>
  <si>
    <t>user_95@company.com</t>
  </si>
  <si>
    <t>TXN-1096</t>
  </si>
  <si>
    <t>user_96@company.com</t>
  </si>
  <si>
    <t>TXN-1097</t>
  </si>
  <si>
    <t>user_97@company.com</t>
  </si>
  <si>
    <t>TXN-1098</t>
  </si>
  <si>
    <t>user_98@company.com</t>
  </si>
  <si>
    <t>TXN-1099</t>
  </si>
  <si>
    <t>user_99@company.com</t>
  </si>
  <si>
    <t>TXN-1100</t>
  </si>
  <si>
    <t>user_100@company.com</t>
  </si>
  <si>
    <t>TXN-1101</t>
  </si>
  <si>
    <t>user_101@company.com</t>
  </si>
  <si>
    <t>TXN-1102</t>
  </si>
  <si>
    <t>user_102@company.com</t>
  </si>
  <si>
    <t>TXN-1103</t>
  </si>
  <si>
    <t>user_103@company.com</t>
  </si>
  <si>
    <t>TXN-1104</t>
  </si>
  <si>
    <t>TXN-1105</t>
  </si>
  <si>
    <t>user_105@company.com</t>
  </si>
  <si>
    <t>TXN-1106</t>
  </si>
  <si>
    <t>user_106@company.com</t>
  </si>
  <si>
    <t>TXN-1107</t>
  </si>
  <si>
    <t>user_107@company.com</t>
  </si>
  <si>
    <t>TXN-1108</t>
  </si>
  <si>
    <t>user_108@company.com</t>
  </si>
  <si>
    <t>TXN-1109</t>
  </si>
  <si>
    <t>user_109@company.com</t>
  </si>
  <si>
    <t>TXN-1110</t>
  </si>
  <si>
    <t>TXN-1111</t>
  </si>
  <si>
    <t>user_111@company.com</t>
  </si>
  <si>
    <t>TXN-1112</t>
  </si>
  <si>
    <t>user_112@company.com</t>
  </si>
  <si>
    <t>TXN-1113</t>
  </si>
  <si>
    <t>user_113@company.com</t>
  </si>
  <si>
    <t>TXN-1114</t>
  </si>
  <si>
    <t>user_114@company.com</t>
  </si>
  <si>
    <t>TXN-1115</t>
  </si>
  <si>
    <t>user_115@company.com</t>
  </si>
  <si>
    <t>TXN-1116</t>
  </si>
  <si>
    <t>user_116@company.com</t>
  </si>
  <si>
    <t>TXN-1117</t>
  </si>
  <si>
    <t>user_117@company.com</t>
  </si>
  <si>
    <t>TXN-1118</t>
  </si>
  <si>
    <t>user_118@company.com</t>
  </si>
  <si>
    <t>TXN-1119</t>
  </si>
  <si>
    <t>user_119@company.com</t>
  </si>
  <si>
    <t>TXN-1120</t>
  </si>
  <si>
    <t>user_120@company.com</t>
  </si>
  <si>
    <t>TXN-1121</t>
  </si>
  <si>
    <t>user_121@company.com</t>
  </si>
  <si>
    <t>TXN-1122</t>
  </si>
  <si>
    <t>user_122@company.com</t>
  </si>
  <si>
    <t>TXN-1123</t>
  </si>
  <si>
    <t>user_123@company.com</t>
  </si>
  <si>
    <t>TXN-1124</t>
  </si>
  <si>
    <t>TXN-1125</t>
  </si>
  <si>
    <t>user_125@company.com</t>
  </si>
  <si>
    <t>TXN-1126</t>
  </si>
  <si>
    <t>user_126@company.com</t>
  </si>
  <si>
    <t>TXN-1127</t>
  </si>
  <si>
    <t>user_127@company.com</t>
  </si>
  <si>
    <t>TXN-1128</t>
  </si>
  <si>
    <t>user_128@company.com</t>
  </si>
  <si>
    <t>TXN-1129</t>
  </si>
  <si>
    <t>user_129@company.com</t>
  </si>
  <si>
    <t>TXN-1130</t>
  </si>
  <si>
    <t>user_130@company.com</t>
  </si>
  <si>
    <t>TXN-1131</t>
  </si>
  <si>
    <t>user_131@company.com</t>
  </si>
  <si>
    <t>TXN-1132</t>
  </si>
  <si>
    <t>user_132@company.com</t>
  </si>
  <si>
    <t>TXN-1133</t>
  </si>
  <si>
    <t>user_133@company.com</t>
  </si>
  <si>
    <t>TXN-1134</t>
  </si>
  <si>
    <t>TXN-1135</t>
  </si>
  <si>
    <t>user_135@company.com</t>
  </si>
  <si>
    <t>TXN-1136</t>
  </si>
  <si>
    <t>user_136@company.com</t>
  </si>
  <si>
    <t>TXN-1137</t>
  </si>
  <si>
    <t>user_137@company.com</t>
  </si>
  <si>
    <t>TXN-1138</t>
  </si>
  <si>
    <t>user_138@company.com</t>
  </si>
  <si>
    <t>TXN-1139</t>
  </si>
  <si>
    <t>user_139@company.com</t>
  </si>
  <si>
    <t>TXN-1140</t>
  </si>
  <si>
    <t>user_140@company.com</t>
  </si>
  <si>
    <t>TXN-1141</t>
  </si>
  <si>
    <t>user_141@company.com</t>
  </si>
  <si>
    <t>TXN-1142</t>
  </si>
  <si>
    <t>user_142@company.com</t>
  </si>
  <si>
    <t>TXN-1143</t>
  </si>
  <si>
    <t>user_143@company.com</t>
  </si>
  <si>
    <t>TXN-1144</t>
  </si>
  <si>
    <t>user_144@company.com</t>
  </si>
  <si>
    <t>TXN-1145</t>
  </si>
  <si>
    <t>user_145@company.com</t>
  </si>
  <si>
    <t>TXN-1146</t>
  </si>
  <si>
    <t>user_146@company.com</t>
  </si>
  <si>
    <t>TXN-1147</t>
  </si>
  <si>
    <t>user_147@company.com</t>
  </si>
  <si>
    <t>TXN-1148</t>
  </si>
  <si>
    <t>user_148@company.com</t>
  </si>
  <si>
    <t>TXN-1149</t>
  </si>
  <si>
    <t>user_149@company.com</t>
  </si>
  <si>
    <t>TXN-1150</t>
  </si>
  <si>
    <t>user_150@company.com</t>
  </si>
  <si>
    <t>TXN-1151</t>
  </si>
  <si>
    <t>user_151@company.com</t>
  </si>
  <si>
    <t>TXN-1152</t>
  </si>
  <si>
    <t>user_152@company.com</t>
  </si>
  <si>
    <t>TXN-1153</t>
  </si>
  <si>
    <t>TXN-1155</t>
  </si>
  <si>
    <t>TXN-1156</t>
  </si>
  <si>
    <t>user_156@company.com</t>
  </si>
  <si>
    <t>TXN-1157</t>
  </si>
  <si>
    <t>user_157@company.com</t>
  </si>
  <si>
    <t>TXN-1158</t>
  </si>
  <si>
    <t>user_158@company.com</t>
  </si>
  <si>
    <t>TXN-1159</t>
  </si>
  <si>
    <t>user_159@company.com</t>
  </si>
  <si>
    <t>TXN-1160</t>
  </si>
  <si>
    <t>$250.00</t>
  </si>
  <si>
    <t>user_160@company.com</t>
  </si>
  <si>
    <t>TXN-1162</t>
  </si>
  <si>
    <t>user_162@company.com</t>
  </si>
  <si>
    <t>TXN-1163</t>
  </si>
  <si>
    <t>user_163@company.com</t>
  </si>
  <si>
    <t>TXN-1164</t>
  </si>
  <si>
    <t>user_164@company.com</t>
  </si>
  <si>
    <t>TXN-1165</t>
  </si>
  <si>
    <t>user_165@company.com</t>
  </si>
  <si>
    <t>TXN-1166</t>
  </si>
  <si>
    <t>user_166@company.com</t>
  </si>
  <si>
    <t>TXN-1167</t>
  </si>
  <si>
    <t>user_167@company.com</t>
  </si>
  <si>
    <t>TXN-1168</t>
  </si>
  <si>
    <t>user_168@company.com</t>
  </si>
  <si>
    <t>TXN-1169</t>
  </si>
  <si>
    <t>TXN-1170</t>
  </si>
  <si>
    <t>user_170@company.com</t>
  </si>
  <si>
    <t>TXN-1171</t>
  </si>
  <si>
    <t>user_171@company.com</t>
  </si>
  <si>
    <t>TXN-1172</t>
  </si>
  <si>
    <t>user_172@company.com</t>
  </si>
  <si>
    <t>TXN-1173</t>
  </si>
  <si>
    <t>user_173@company.com</t>
  </si>
  <si>
    <t>TXN-1174</t>
  </si>
  <si>
    <t>TXN-1175</t>
  </si>
  <si>
    <t>user_175@company.com</t>
  </si>
  <si>
    <t>TXN-1176</t>
  </si>
  <si>
    <t>TXN-1177</t>
  </si>
  <si>
    <t>user_177@company.com</t>
  </si>
  <si>
    <t>TXN-1178</t>
  </si>
  <si>
    <t>user_178@company.com</t>
  </si>
  <si>
    <t>TXN-1179</t>
  </si>
  <si>
    <t>user_179@company.com</t>
  </si>
  <si>
    <t>TXN-1180</t>
  </si>
  <si>
    <t>user_180@company.com</t>
  </si>
  <si>
    <t>TXN-1181</t>
  </si>
  <si>
    <t>user_181@company.com</t>
  </si>
  <si>
    <t>TXN-1182</t>
  </si>
  <si>
    <t>user_182@company.com</t>
  </si>
  <si>
    <t>TXN-1183</t>
  </si>
  <si>
    <t>user_183@company.com</t>
  </si>
  <si>
    <t>TXN-1184</t>
  </si>
  <si>
    <t>TXN-1185</t>
  </si>
  <si>
    <t>user_185@company.com</t>
  </si>
  <si>
    <t>TXN-1186</t>
  </si>
  <si>
    <t>user_186@company.com</t>
  </si>
  <si>
    <t>TXN-1187</t>
  </si>
  <si>
    <t>user_187@company.com</t>
  </si>
  <si>
    <t>TXN-1188</t>
  </si>
  <si>
    <t>user_188@company.com</t>
  </si>
  <si>
    <t>TXN-1189</t>
  </si>
  <si>
    <t>user_189@company.com</t>
  </si>
  <si>
    <t>TXN-1190</t>
  </si>
  <si>
    <t>user_190@company.com</t>
  </si>
  <si>
    <t>TXN-1191</t>
  </si>
  <si>
    <t>user_191@company.com</t>
  </si>
  <si>
    <t>TXN-1192</t>
  </si>
  <si>
    <t>user_192@company.com</t>
  </si>
  <si>
    <t>TXN-1193</t>
  </si>
  <si>
    <t>TXN-1194</t>
  </si>
  <si>
    <t>user_194@company.com</t>
  </si>
  <si>
    <t>TXN-1195</t>
  </si>
  <si>
    <t>TXN-1196</t>
  </si>
  <si>
    <t>user_196@company.com</t>
  </si>
  <si>
    <t>TXN-1197</t>
  </si>
  <si>
    <t>user_197@company.com</t>
  </si>
  <si>
    <t>TXN-1198</t>
  </si>
  <si>
    <t>user_198@company.com</t>
  </si>
  <si>
    <t>TXN-1199</t>
  </si>
  <si>
    <t>user_199@company.com</t>
  </si>
  <si>
    <t>TXN-1200</t>
  </si>
  <si>
    <t>user_200@company.com</t>
  </si>
  <si>
    <t>TXN-1201</t>
  </si>
  <si>
    <t>user_201@company.com</t>
  </si>
  <si>
    <t>TXN-1202</t>
  </si>
  <si>
    <t>user_202@company.com</t>
  </si>
  <si>
    <t>TXN-1203</t>
  </si>
  <si>
    <t>user_203@company.com</t>
  </si>
  <si>
    <t>TXN-1204</t>
  </si>
  <si>
    <t>user_204@company.com</t>
  </si>
  <si>
    <t>TXN-1205</t>
  </si>
  <si>
    <t>user_205@company.com</t>
  </si>
  <si>
    <t>TXN-1206</t>
  </si>
  <si>
    <t>user_206@company.com</t>
  </si>
  <si>
    <t>TXN-1207</t>
  </si>
  <si>
    <t>user_207@company.com</t>
  </si>
  <si>
    <t>TXN-1208</t>
  </si>
  <si>
    <t>user_208@company.com</t>
  </si>
  <si>
    <t>TXN-1209</t>
  </si>
  <si>
    <t>user_209@company.com</t>
  </si>
  <si>
    <t>TXN-1210</t>
  </si>
  <si>
    <t>user_210@company.com</t>
  </si>
  <si>
    <t>TXN-1211</t>
  </si>
  <si>
    <t>user_211@company.com</t>
  </si>
  <si>
    <t>TXN-1212</t>
  </si>
  <si>
    <t>user_212@company.com</t>
  </si>
  <si>
    <t>TXN-1213</t>
  </si>
  <si>
    <t>user_213@company.com</t>
  </si>
  <si>
    <t>TXN-1214</t>
  </si>
  <si>
    <t>TXN-1215</t>
  </si>
  <si>
    <t>user_215@company.com</t>
  </si>
  <si>
    <t>TXN-1216</t>
  </si>
  <si>
    <t>TXN-1217</t>
  </si>
  <si>
    <t>user_217@company.com</t>
  </si>
  <si>
    <t>TXN-1218</t>
  </si>
  <si>
    <t>user_218@company.com</t>
  </si>
  <si>
    <t>TXN-1219</t>
  </si>
  <si>
    <t>user_219@company.com</t>
  </si>
  <si>
    <t>TXN-1220</t>
  </si>
  <si>
    <t>user_220@company.com</t>
  </si>
  <si>
    <t>TXN-1221</t>
  </si>
  <si>
    <t>user_221@company.com</t>
  </si>
  <si>
    <t>TXN-1222</t>
  </si>
  <si>
    <t>user_222@company.com</t>
  </si>
  <si>
    <t>TXN-1223</t>
  </si>
  <si>
    <t>user_223@company.com</t>
  </si>
  <si>
    <t>TXN-1224</t>
  </si>
  <si>
    <t>user_224@company.com</t>
  </si>
  <si>
    <t>TXN-1225</t>
  </si>
  <si>
    <t>user_225@company.com</t>
  </si>
  <si>
    <t>TXN-1226</t>
  </si>
  <si>
    <t>user_226@company.com</t>
  </si>
  <si>
    <t>TXN-1227</t>
  </si>
  <si>
    <t>user_227@company.com</t>
  </si>
  <si>
    <t>TXN-1228</t>
  </si>
  <si>
    <t>user_228@company.com</t>
  </si>
  <si>
    <t>TXN-1229</t>
  </si>
  <si>
    <t>user_229@company.com</t>
  </si>
  <si>
    <t>TXN-1230</t>
  </si>
  <si>
    <t>user_230@company.com</t>
  </si>
  <si>
    <t>TXN-1231</t>
  </si>
  <si>
    <t>TXN-1232</t>
  </si>
  <si>
    <t>TXN-1233</t>
  </si>
  <si>
    <t>user_233@company.com</t>
  </si>
  <si>
    <t>TXN-1234</t>
  </si>
  <si>
    <t>user_234@company.com</t>
  </si>
  <si>
    <t>TXN-1235</t>
  </si>
  <si>
    <t>user_235@company.com</t>
  </si>
  <si>
    <t>TXN-1236</t>
  </si>
  <si>
    <t>user_236@company.com</t>
  </si>
  <si>
    <t>TXN-1237</t>
  </si>
  <si>
    <t>user_237@company.com</t>
  </si>
  <si>
    <t>TXN-1238</t>
  </si>
  <si>
    <t>user_238@company.com</t>
  </si>
  <si>
    <t>TXN-1239</t>
  </si>
  <si>
    <t>user_239@company.com</t>
  </si>
  <si>
    <t>TXN-1240</t>
  </si>
  <si>
    <t>user_240@company.com</t>
  </si>
  <si>
    <t>TXN-1241</t>
  </si>
  <si>
    <t>user_241@company.com</t>
  </si>
  <si>
    <t>TXN-1242</t>
  </si>
  <si>
    <t>user_242@company.com</t>
  </si>
  <si>
    <t>TXN-1243</t>
  </si>
  <si>
    <t>user_243@company.com</t>
  </si>
  <si>
    <t>TXN-1244</t>
  </si>
  <si>
    <t>user_244@company.com</t>
  </si>
  <si>
    <t>TXN-1245</t>
  </si>
  <si>
    <t>user_245@company.com</t>
  </si>
  <si>
    <t>TXN-1246</t>
  </si>
  <si>
    <t>user_246@company.com</t>
  </si>
  <si>
    <t>TXN-1247</t>
  </si>
  <si>
    <t>user_247@company.com</t>
  </si>
  <si>
    <t>TXN-1248</t>
  </si>
  <si>
    <t>user_248@company.com</t>
  </si>
  <si>
    <t>TXN-1249</t>
  </si>
  <si>
    <t>user_249@company.com</t>
  </si>
  <si>
    <t>TXN-1250</t>
  </si>
  <si>
    <t>user_250@company.com</t>
  </si>
  <si>
    <t>TXN-1251</t>
  </si>
  <si>
    <t>user_251@company.com</t>
  </si>
  <si>
    <t>TXN-1252</t>
  </si>
  <si>
    <t>TXN-1253</t>
  </si>
  <si>
    <t>TXN-1254</t>
  </si>
  <si>
    <t>user_254@company.com</t>
  </si>
  <si>
    <t>TXN-1255</t>
  </si>
  <si>
    <t>user_255@company.com</t>
  </si>
  <si>
    <t>TXN-1256</t>
  </si>
  <si>
    <t>user_256@company.com</t>
  </si>
  <si>
    <t>TXN-1257</t>
  </si>
  <si>
    <t>user_257@company.com</t>
  </si>
  <si>
    <t>TXN-1258</t>
  </si>
  <si>
    <t>user_258@company.com</t>
  </si>
  <si>
    <t>TXN-1259</t>
  </si>
  <si>
    <t>user_259@company.com</t>
  </si>
  <si>
    <t>TXN-1260</t>
  </si>
  <si>
    <t>TXN-1261</t>
  </si>
  <si>
    <t>user_261@company.com</t>
  </si>
  <si>
    <t>TXN-1262</t>
  </si>
  <si>
    <t>user_262@company.com</t>
  </si>
  <si>
    <t>TXN-1263</t>
  </si>
  <si>
    <t>TXN-1264</t>
  </si>
  <si>
    <t>user_264@company.com</t>
  </si>
  <si>
    <t>TXN-1265</t>
  </si>
  <si>
    <t>user_265@company.com</t>
  </si>
  <si>
    <t>TXN-1266</t>
  </si>
  <si>
    <t>user_266@company.com</t>
  </si>
  <si>
    <t>TXN-1267</t>
  </si>
  <si>
    <t>user_267@company.com</t>
  </si>
  <si>
    <t>TXN-1268</t>
  </si>
  <si>
    <t>user_268@company.com</t>
  </si>
  <si>
    <t>TXN-1269</t>
  </si>
  <si>
    <t>user_269@company.com</t>
  </si>
  <si>
    <t>TXN-1270</t>
  </si>
  <si>
    <t>user_270@company.com</t>
  </si>
  <si>
    <t>TXN-1271</t>
  </si>
  <si>
    <t>user_271@company.com</t>
  </si>
  <si>
    <t>TXN-1272</t>
  </si>
  <si>
    <t>user_272@company.com</t>
  </si>
  <si>
    <t>TXN-1273</t>
  </si>
  <si>
    <t>user_273@company.com</t>
  </si>
  <si>
    <t>TXN-1274</t>
  </si>
  <si>
    <t>user_274@company.com</t>
  </si>
  <si>
    <t>TXN-1275</t>
  </si>
  <si>
    <t>user_275@company.com</t>
  </si>
  <si>
    <t>TXN-1276</t>
  </si>
  <si>
    <t>TXN-1277</t>
  </si>
  <si>
    <t>user_277@company.com</t>
  </si>
  <si>
    <t>TXN-1279</t>
  </si>
  <si>
    <t>user_279@company.com</t>
  </si>
  <si>
    <t>TXN-1280</t>
  </si>
  <si>
    <t>user_280@company.com</t>
  </si>
  <si>
    <t>TXN-1281</t>
  </si>
  <si>
    <t>user_281@company.com</t>
  </si>
  <si>
    <t>TXN-1282</t>
  </si>
  <si>
    <t>user_282@company.com</t>
  </si>
  <si>
    <t>TXN-1283</t>
  </si>
  <si>
    <t>user_283@company.com</t>
  </si>
  <si>
    <t>TXN-1284</t>
  </si>
  <si>
    <t>user_284@company.com</t>
  </si>
  <si>
    <t>TXN-1285</t>
  </si>
  <si>
    <t>user_285@company.com</t>
  </si>
  <si>
    <t>TXN-1286</t>
  </si>
  <si>
    <t>user_286@company.com</t>
  </si>
  <si>
    <t>TXN-1287</t>
  </si>
  <si>
    <t>user_287@company.com</t>
  </si>
  <si>
    <t>TXN-1288</t>
  </si>
  <si>
    <t>user_288@company.com</t>
  </si>
  <si>
    <t>TXN-1290</t>
  </si>
  <si>
    <t>user_290@company.com</t>
  </si>
  <si>
    <t>TXN-1291</t>
  </si>
  <si>
    <t>user_291@company.com</t>
  </si>
  <si>
    <t>TXN-1292</t>
  </si>
  <si>
    <t>user_292@company.com</t>
  </si>
  <si>
    <t>TXN-1293</t>
  </si>
  <si>
    <t>user_293@company.com</t>
  </si>
  <si>
    <t>TXN-1294</t>
  </si>
  <si>
    <t>user_294@company.com</t>
  </si>
  <si>
    <t>TXN-1295</t>
  </si>
  <si>
    <t>user_295@company.com</t>
  </si>
  <si>
    <t>TXN-1296</t>
  </si>
  <si>
    <t>user_296@company.com</t>
  </si>
  <si>
    <t>TXN-1297</t>
  </si>
  <si>
    <t>user_297@company.com</t>
  </si>
  <si>
    <t>TXN-1299</t>
  </si>
  <si>
    <t>user_299@company.com</t>
  </si>
  <si>
    <t>TXN-1300</t>
  </si>
  <si>
    <t>user_300@company.com</t>
  </si>
  <si>
    <t>TXN-1301</t>
  </si>
  <si>
    <t>TXN-1302</t>
  </si>
  <si>
    <t>user_302@company.com</t>
  </si>
  <si>
    <t>TXN-1303</t>
  </si>
  <si>
    <t>user_303@company.com</t>
  </si>
  <si>
    <t>TXN-1304</t>
  </si>
  <si>
    <t>user_304@company.com</t>
  </si>
  <si>
    <t>TXN-1305</t>
  </si>
  <si>
    <t>user_305@company.com</t>
  </si>
  <si>
    <t>TXN-1306</t>
  </si>
  <si>
    <t>user_306@company.com</t>
  </si>
  <si>
    <t>TXN-1307</t>
  </si>
  <si>
    <t>user_307@company.com</t>
  </si>
  <si>
    <t>TXN-1308</t>
  </si>
  <si>
    <t>user_308@company.com</t>
  </si>
  <si>
    <t>TXN-1310</t>
  </si>
  <si>
    <t>user_310@company.com</t>
  </si>
  <si>
    <t>TXN-1311</t>
  </si>
  <si>
    <t>user_311@company.com</t>
  </si>
  <si>
    <t>TXN-1312</t>
  </si>
  <si>
    <t>user_312@company.com</t>
  </si>
  <si>
    <t>TXN-1313</t>
  </si>
  <si>
    <t>user_313@company.com</t>
  </si>
  <si>
    <t>TXN-1314</t>
  </si>
  <si>
    <t>user_314@company.com</t>
  </si>
  <si>
    <t>TXN-1315</t>
  </si>
  <si>
    <t>user_315@company.com</t>
  </si>
  <si>
    <t>TXN-1316</t>
  </si>
  <si>
    <t>user_316@company.com</t>
  </si>
  <si>
    <t>TXN-1317</t>
  </si>
  <si>
    <t>user_317@company.com</t>
  </si>
  <si>
    <t>TXN-1318</t>
  </si>
  <si>
    <t>user_318@company.com</t>
  </si>
  <si>
    <t>TXN-1319</t>
  </si>
  <si>
    <t>user_319@company.com</t>
  </si>
  <si>
    <t>TXN-1320</t>
  </si>
  <si>
    <t>TXN-1321</t>
  </si>
  <si>
    <t>TXN-1322</t>
  </si>
  <si>
    <t>user_322@company.com</t>
  </si>
  <si>
    <t>TXN-1323</t>
  </si>
  <si>
    <t>TXN-1324</t>
  </si>
  <si>
    <t>user_324@company.com</t>
  </si>
  <si>
    <t>TXN-1325</t>
  </si>
  <si>
    <t>user_325@company.com</t>
  </si>
  <si>
    <t>TXN-1326</t>
  </si>
  <si>
    <t>user_326@company.com</t>
  </si>
  <si>
    <t>TXN-1327</t>
  </si>
  <si>
    <t>user_327@company.com</t>
  </si>
  <si>
    <t>TXN-1329</t>
  </si>
  <si>
    <t>user_329@company.com</t>
  </si>
  <si>
    <t>TXN-1330</t>
  </si>
  <si>
    <t>user_330@company.com</t>
  </si>
  <si>
    <t>TXN-1331</t>
  </si>
  <si>
    <t>user_331@company.com</t>
  </si>
  <si>
    <t>TXN-1332</t>
  </si>
  <si>
    <t>user_332@company.com</t>
  </si>
  <si>
    <t>TXN-1333</t>
  </si>
  <si>
    <t>user_333@company.com</t>
  </si>
  <si>
    <t>TXN-1334</t>
  </si>
  <si>
    <t>user_334@company.com</t>
  </si>
  <si>
    <t>TXN-1335</t>
  </si>
  <si>
    <t>user_335@company.com</t>
  </si>
  <si>
    <t>TXN-1336</t>
  </si>
  <si>
    <t>user_336@company.com</t>
  </si>
  <si>
    <t>TXN-1337</t>
  </si>
  <si>
    <t>user_337@company.com</t>
  </si>
  <si>
    <t>TXN-1338</t>
  </si>
  <si>
    <t>TXN-1339</t>
  </si>
  <si>
    <t>TXN-1340</t>
  </si>
  <si>
    <t>user_340@company.com</t>
  </si>
  <si>
    <t>TXN-1341</t>
  </si>
  <si>
    <t>user_341@company.com</t>
  </si>
  <si>
    <t>TXN-1342</t>
  </si>
  <si>
    <t>user_342@company.com</t>
  </si>
  <si>
    <t>TXN-1343</t>
  </si>
  <si>
    <t>TXN-1344</t>
  </si>
  <si>
    <t>user_344@company.com</t>
  </si>
  <si>
    <t>TXN-1345</t>
  </si>
  <si>
    <t>user_345@company.com</t>
  </si>
  <si>
    <t>TXN-1346</t>
  </si>
  <si>
    <t>user_346@company.com</t>
  </si>
  <si>
    <t>TXN-1347</t>
  </si>
  <si>
    <t>user_347@company.com</t>
  </si>
  <si>
    <t>TXN-1348</t>
  </si>
  <si>
    <t>user_348@company.com</t>
  </si>
  <si>
    <t>TXN-1349</t>
  </si>
  <si>
    <t>user_349@company.com</t>
  </si>
  <si>
    <t>TXN-1350</t>
  </si>
  <si>
    <t>user_350@company.com</t>
  </si>
  <si>
    <t>TXN-1351</t>
  </si>
  <si>
    <t>user_351@company.com</t>
  </si>
  <si>
    <t>TXN-1352</t>
  </si>
  <si>
    <t>user_352@company.com</t>
  </si>
  <si>
    <t>TXN-1353</t>
  </si>
  <si>
    <t>user_353@company.com</t>
  </si>
  <si>
    <t>TXN-1354</t>
  </si>
  <si>
    <t>TXN-1356</t>
  </si>
  <si>
    <t>user_356@company.com</t>
  </si>
  <si>
    <t>TXN-1357</t>
  </si>
  <si>
    <t>user_357@company.com</t>
  </si>
  <si>
    <t>TXN-1358</t>
  </si>
  <si>
    <t>user_358@company.com</t>
  </si>
  <si>
    <t>TXN-1359</t>
  </si>
  <si>
    <t>user_359@company.com</t>
  </si>
  <si>
    <t>TXN-1360</t>
  </si>
  <si>
    <t>user_360@company.com</t>
  </si>
  <si>
    <t>TXN-1361</t>
  </si>
  <si>
    <t>TXN-1362</t>
  </si>
  <si>
    <t>user_362@company.com</t>
  </si>
  <si>
    <t>TXN-1363</t>
  </si>
  <si>
    <t>user_363@company.com</t>
  </si>
  <si>
    <t>TXN-1364</t>
  </si>
  <si>
    <t>user_364@company.com</t>
  </si>
  <si>
    <t>TXN-1365</t>
  </si>
  <si>
    <t>user_365@company.com</t>
  </si>
  <si>
    <t>TXN-1366</t>
  </si>
  <si>
    <t>user_366@company.com</t>
  </si>
  <si>
    <t>TXN-1367</t>
  </si>
  <si>
    <t>user_367@company.com</t>
  </si>
  <si>
    <t>TXN-1368</t>
  </si>
  <si>
    <t>TXN-1369</t>
  </si>
  <si>
    <t>user_369@company.com</t>
  </si>
  <si>
    <t>TXN-1370</t>
  </si>
  <si>
    <t>user_370@company.com</t>
  </si>
  <si>
    <t>TXN-1371</t>
  </si>
  <si>
    <t>user_371@company.com</t>
  </si>
  <si>
    <t>TXN-1372</t>
  </si>
  <si>
    <t>user_372@company.com</t>
  </si>
  <si>
    <t>TXN-1373</t>
  </si>
  <si>
    <t>TXN-1374</t>
  </si>
  <si>
    <t>user_374@company.com</t>
  </si>
  <si>
    <t>TXN-1375</t>
  </si>
  <si>
    <t>user_375@company.com</t>
  </si>
  <si>
    <t>TXN-1376</t>
  </si>
  <si>
    <t>user_376@company.com</t>
  </si>
  <si>
    <t>TXN-1377</t>
  </si>
  <si>
    <t>user_377@company.com</t>
  </si>
  <si>
    <t>TXN-1378</t>
  </si>
  <si>
    <t>user_378@company.com</t>
  </si>
  <si>
    <t>TXN-1379</t>
  </si>
  <si>
    <t>user_379@company.com</t>
  </si>
  <si>
    <t>TXN-1380</t>
  </si>
  <si>
    <t>user_380@company.com</t>
  </si>
  <si>
    <t>TXN-1381</t>
  </si>
  <si>
    <t>user_381@company.com</t>
  </si>
  <si>
    <t>TXN-1382</t>
  </si>
  <si>
    <t>user_382@company.com</t>
  </si>
  <si>
    <t>TXN-1383</t>
  </si>
  <si>
    <t>user_383@company.com</t>
  </si>
  <si>
    <t>TXN-1384</t>
  </si>
  <si>
    <t>TXN-1385</t>
  </si>
  <si>
    <t>user_385@company.com</t>
  </si>
  <si>
    <t>TXN-1386</t>
  </si>
  <si>
    <t>user_386@company.com</t>
  </si>
  <si>
    <t>TXN-1387</t>
  </si>
  <si>
    <t>user_387@company.com</t>
  </si>
  <si>
    <t>TXN-1388</t>
  </si>
  <si>
    <t>user_388@company.com</t>
  </si>
  <si>
    <t>TXN-1389</t>
  </si>
  <si>
    <t>user_389@company.com</t>
  </si>
  <si>
    <t>TXN-1390</t>
  </si>
  <si>
    <t>user_390@company.com</t>
  </si>
  <si>
    <t>TXN-1391</t>
  </si>
  <si>
    <t>user_391@company.com</t>
  </si>
  <si>
    <t>TXN-1392</t>
  </si>
  <si>
    <t>user_392@company.com</t>
  </si>
  <si>
    <t>TXN-1393</t>
  </si>
  <si>
    <t>user_393@company.com</t>
  </si>
  <si>
    <t>TXN-1394</t>
  </si>
  <si>
    <t>user_394@company.com</t>
  </si>
  <si>
    <t>TXN-1395</t>
  </si>
  <si>
    <t>user_395@company.com</t>
  </si>
  <si>
    <t>TXN-1396</t>
  </si>
  <si>
    <t>user_396@company.com</t>
  </si>
  <si>
    <t>TXN-1397</t>
  </si>
  <si>
    <t>user_397@company.com</t>
  </si>
  <si>
    <t>TXN-1398</t>
  </si>
  <si>
    <t>user_398@company.com</t>
  </si>
  <si>
    <t>TXN-1399</t>
  </si>
  <si>
    <t>user_399@company.com</t>
  </si>
  <si>
    <t>TXN-1400</t>
  </si>
  <si>
    <t>user_400@company.com</t>
  </si>
  <si>
    <t>TXN-1401</t>
  </si>
  <si>
    <t>user_401@company.com</t>
  </si>
  <si>
    <t>TXN-1402</t>
  </si>
  <si>
    <t>user_402@company.com</t>
  </si>
  <si>
    <t>TXN-1403</t>
  </si>
  <si>
    <t>TXN-1404</t>
  </si>
  <si>
    <t>user_404@company.com</t>
  </si>
  <si>
    <t>TXN-1405</t>
  </si>
  <si>
    <t>user_405@company.com</t>
  </si>
  <si>
    <t>TXN-1406</t>
  </si>
  <si>
    <t>user_406@company.com</t>
  </si>
  <si>
    <t>TXN-1407</t>
  </si>
  <si>
    <t>user_407@company.com</t>
  </si>
  <si>
    <t>TXN-1408</t>
  </si>
  <si>
    <t>user_408@company.com</t>
  </si>
  <si>
    <t>TXN-1409</t>
  </si>
  <si>
    <t>user_409@company.com</t>
  </si>
  <si>
    <t>TXN-1410</t>
  </si>
  <si>
    <t>user_410@company.com</t>
  </si>
  <si>
    <t>TXN-1411</t>
  </si>
  <si>
    <t>user_411@company.com</t>
  </si>
  <si>
    <t>TXN-1412</t>
  </si>
  <si>
    <t>user_412@company.com</t>
  </si>
  <si>
    <t>TXN-1413</t>
  </si>
  <si>
    <t>user_413@company.com</t>
  </si>
  <si>
    <t>TXN-1414</t>
  </si>
  <si>
    <t>user_414@company.com</t>
  </si>
  <si>
    <t>TXN-1415</t>
  </si>
  <si>
    <t>TXN-1416</t>
  </si>
  <si>
    <t>TXN-1417</t>
  </si>
  <si>
    <t>user_417@company.com</t>
  </si>
  <si>
    <t>TXN-1418</t>
  </si>
  <si>
    <t>user_418@company.com</t>
  </si>
  <si>
    <t>TXN-1419</t>
  </si>
  <si>
    <t>user_419@company.com</t>
  </si>
  <si>
    <t>TXN-1420</t>
  </si>
  <si>
    <t>user_420@company.com</t>
  </si>
  <si>
    <t>TXN-1421</t>
  </si>
  <si>
    <t>user_421@company.com</t>
  </si>
  <si>
    <t>TXN-1422</t>
  </si>
  <si>
    <t>user_422@company.com</t>
  </si>
  <si>
    <t>TXN-1423</t>
  </si>
  <si>
    <t>user_423@company.com</t>
  </si>
  <si>
    <t>TXN-1424</t>
  </si>
  <si>
    <t>user_424@company.com</t>
  </si>
  <si>
    <t>TXN-1425</t>
  </si>
  <si>
    <t>TXN-1427</t>
  </si>
  <si>
    <t>user_427@company.com</t>
  </si>
  <si>
    <t>TXN-1428</t>
  </si>
  <si>
    <t>user_428@company.com</t>
  </si>
  <si>
    <t>TXN-1429</t>
  </si>
  <si>
    <t>user_429@company.com</t>
  </si>
  <si>
    <t>TXN-1430</t>
  </si>
  <si>
    <t>user_430@company.com</t>
  </si>
  <si>
    <t>TXN-1431</t>
  </si>
  <si>
    <t>user_431@company.com</t>
  </si>
  <si>
    <t>TXN-1432</t>
  </si>
  <si>
    <t>user_432@company.com</t>
  </si>
  <si>
    <t>TXN-1433</t>
  </si>
  <si>
    <t>user_433@company.com</t>
  </si>
  <si>
    <t>TXN-1434</t>
  </si>
  <si>
    <t>user_434@company.com</t>
  </si>
  <si>
    <t>TXN-1435</t>
  </si>
  <si>
    <t>user_435@company.com</t>
  </si>
  <si>
    <t>TXN-1436</t>
  </si>
  <si>
    <t>user_436@company.com</t>
  </si>
  <si>
    <t>TXN-1437</t>
  </si>
  <si>
    <t>user_437@company.com</t>
  </si>
  <si>
    <t>TXN-1438</t>
  </si>
  <si>
    <t>user_438@company.com</t>
  </si>
  <si>
    <t>TXN-1439</t>
  </si>
  <si>
    <t>user_439@company.com</t>
  </si>
  <si>
    <t>TXN-1440</t>
  </si>
  <si>
    <t>user_440@company.com</t>
  </si>
  <si>
    <t>TXN-1441</t>
  </si>
  <si>
    <t>user_441@company.com</t>
  </si>
  <si>
    <t>TXN-1442</t>
  </si>
  <si>
    <t>user_442@company.com</t>
  </si>
  <si>
    <t>TXN-1443</t>
  </si>
  <si>
    <t>user_443@company.com</t>
  </si>
  <si>
    <t>TXN-1444</t>
  </si>
  <si>
    <t>user_444@company.com</t>
  </si>
  <si>
    <t>TXN-1445</t>
  </si>
  <si>
    <t>user_445@company.com</t>
  </si>
  <si>
    <t>TXN-1446</t>
  </si>
  <si>
    <t>user_446@company.com</t>
  </si>
  <si>
    <t>TXN-1447</t>
  </si>
  <si>
    <t>user_447@company.com</t>
  </si>
  <si>
    <t>TXN-1448</t>
  </si>
  <si>
    <t>user_448@company.com</t>
  </si>
  <si>
    <t>TXN-1449</t>
  </si>
  <si>
    <t>user_449@company.com</t>
  </si>
  <si>
    <t>TXN-1450</t>
  </si>
  <si>
    <t>user_450@company.com</t>
  </si>
  <si>
    <t>TXN-1451</t>
  </si>
  <si>
    <t>user_451@company.com</t>
  </si>
  <si>
    <t>TXN-1452</t>
  </si>
  <si>
    <t>user_452@company.com</t>
  </si>
  <si>
    <t>TXN-1453</t>
  </si>
  <si>
    <t>user_453@company.com</t>
  </si>
  <si>
    <t>TXN-1454</t>
  </si>
  <si>
    <t>user_454@company.com</t>
  </si>
  <si>
    <t>TXN-1455</t>
  </si>
  <si>
    <t>user_455@company.com</t>
  </si>
  <si>
    <t>TXN-1456</t>
  </si>
  <si>
    <t>user_456@company.com</t>
  </si>
  <si>
    <t>TXN-1457</t>
  </si>
  <si>
    <t>TXN-1458</t>
  </si>
  <si>
    <t>user_458@company.com</t>
  </si>
  <si>
    <t>TXN-1459</t>
  </si>
  <si>
    <t>user_459@company.com</t>
  </si>
  <si>
    <t>TXN-1460</t>
  </si>
  <si>
    <t>TXN-1461</t>
  </si>
  <si>
    <t>user_461@company.com</t>
  </si>
  <si>
    <t>TXN-1462</t>
  </si>
  <si>
    <t>user_462@company.com</t>
  </si>
  <si>
    <t>TXN-1463</t>
  </si>
  <si>
    <t>user_463@company.com</t>
  </si>
  <si>
    <t>TXN-1464</t>
  </si>
  <si>
    <t>user_464@company.com</t>
  </si>
  <si>
    <t>TXN-1465</t>
  </si>
  <si>
    <t>user_465@company.com</t>
  </si>
  <si>
    <t>TXN-1466</t>
  </si>
  <si>
    <t>user_466@company.com</t>
  </si>
  <si>
    <t>TXN-1467</t>
  </si>
  <si>
    <t>TXN-1468</t>
  </si>
  <si>
    <t>user_468@company.com</t>
  </si>
  <si>
    <t>TXN-1469</t>
  </si>
  <si>
    <t>user_469@company.com</t>
  </si>
  <si>
    <t>TXN-1470</t>
  </si>
  <si>
    <t>user_470@company.com</t>
  </si>
  <si>
    <t>TXN-1471</t>
  </si>
  <si>
    <t>user_471@company.com</t>
  </si>
  <si>
    <t>TXN-1472</t>
  </si>
  <si>
    <t>user_472@company.com</t>
  </si>
  <si>
    <t>TXN-1473</t>
  </si>
  <si>
    <t>user_473@company.com</t>
  </si>
  <si>
    <t>TXN-1474</t>
  </si>
  <si>
    <t>user_474@company.com</t>
  </si>
  <si>
    <t>TXN-1475</t>
  </si>
  <si>
    <t>user_475@company.com</t>
  </si>
  <si>
    <t>TXN-1476</t>
  </si>
  <si>
    <t>user_476@company.com</t>
  </si>
  <si>
    <t>TXN-1477</t>
  </si>
  <si>
    <t>user_477@company.com</t>
  </si>
  <si>
    <t>TXN-1478</t>
  </si>
  <si>
    <t>user_478@company.com</t>
  </si>
  <si>
    <t>TXN-1479</t>
  </si>
  <si>
    <t>user_479@company.com</t>
  </si>
  <si>
    <t>TXN-1480</t>
  </si>
  <si>
    <t>user_480@company.com</t>
  </si>
  <si>
    <t>TXN-1481</t>
  </si>
  <si>
    <t>user_481@company.com</t>
  </si>
  <si>
    <t>TXN-1482</t>
  </si>
  <si>
    <t>user_482@company.com</t>
  </si>
  <si>
    <t>TXN-1483</t>
  </si>
  <si>
    <t>user_483@company.com</t>
  </si>
  <si>
    <t>TXN-1484</t>
  </si>
  <si>
    <t>user_484@company.com</t>
  </si>
  <si>
    <t>TXN-1485</t>
  </si>
  <si>
    <t>TXN-1486</t>
  </si>
  <si>
    <t>user_486@company.com</t>
  </si>
  <si>
    <t>TXN-1487</t>
  </si>
  <si>
    <t>user_487@company.com</t>
  </si>
  <si>
    <t>TXN-1488</t>
  </si>
  <si>
    <t>user_488@company.com</t>
  </si>
  <si>
    <t>TXN-1489</t>
  </si>
  <si>
    <t>user_489@company.com</t>
  </si>
  <si>
    <t>TXN-1490</t>
  </si>
  <si>
    <t>TXN-1491</t>
  </si>
  <si>
    <t>user_491@company.com</t>
  </si>
  <si>
    <t>TXN-1492</t>
  </si>
  <si>
    <t>user_492@company.com</t>
  </si>
  <si>
    <t>TXN-1493</t>
  </si>
  <si>
    <t>user_493@company.com</t>
  </si>
  <si>
    <t>TXN-1494</t>
  </si>
  <si>
    <t>user_494@company.com</t>
  </si>
  <si>
    <t>TXN-1495</t>
  </si>
  <si>
    <t>user_495@company.com</t>
  </si>
  <si>
    <t>TXN-1496</t>
  </si>
  <si>
    <t>user_496@company.com</t>
  </si>
  <si>
    <t>TXN-1497</t>
  </si>
  <si>
    <t>user_497@company.com</t>
  </si>
  <si>
    <t>TXN-1498</t>
  </si>
  <si>
    <t>user_498@company.com</t>
  </si>
  <si>
    <t>TXN-1499</t>
  </si>
  <si>
    <t>user_499@company.com</t>
  </si>
  <si>
    <t>TXN-1500</t>
  </si>
  <si>
    <t>user_500@company.com</t>
  </si>
  <si>
    <t>TXN-1501</t>
  </si>
  <si>
    <t>user_501@company.com</t>
  </si>
  <si>
    <t>TXN-1502</t>
  </si>
  <si>
    <t>user_502@company.com</t>
  </si>
  <si>
    <t>TXN-1503</t>
  </si>
  <si>
    <t>user_503@company.com</t>
  </si>
  <si>
    <t>TXN-1504</t>
  </si>
  <si>
    <t>user_504@company.com</t>
  </si>
  <si>
    <t>TXN-1505</t>
  </si>
  <si>
    <t>TXN-1506</t>
  </si>
  <si>
    <t>user_506@company.com</t>
  </si>
  <si>
    <t>TXN-1508</t>
  </si>
  <si>
    <t>user_508@company.com</t>
  </si>
  <si>
    <t>TXN-1509</t>
  </si>
  <si>
    <t>user_509@company.com</t>
  </si>
  <si>
    <t>TXN-1510</t>
  </si>
  <si>
    <t>user_510@company.com</t>
  </si>
  <si>
    <t>TXN-1511</t>
  </si>
  <si>
    <t>user_511@company.com</t>
  </si>
  <si>
    <t>TXN-1512</t>
  </si>
  <si>
    <t>TXN-1513</t>
  </si>
  <si>
    <t>user_513@company.com</t>
  </si>
  <si>
    <t>TXN-1514</t>
  </si>
  <si>
    <t>user_514@company.com</t>
  </si>
  <si>
    <t>TXN-1515</t>
  </si>
  <si>
    <t>user_515@company.com</t>
  </si>
  <si>
    <t>TXN-1516</t>
  </si>
  <si>
    <t>user_516@company.com</t>
  </si>
  <si>
    <t>TXN-1517</t>
  </si>
  <si>
    <t>user_517@company.com</t>
  </si>
  <si>
    <t>TXN-1518</t>
  </si>
  <si>
    <t>TXN-1519</t>
  </si>
  <si>
    <t>user_519@company.com</t>
  </si>
  <si>
    <t>TXN-1520</t>
  </si>
  <si>
    <t>user_520@company.com</t>
  </si>
  <si>
    <t>TXN-1521</t>
  </si>
  <si>
    <t>user_521@company.com</t>
  </si>
  <si>
    <t>TXN-1522</t>
  </si>
  <si>
    <t>user_522@company.com</t>
  </si>
  <si>
    <t>TXN-1523</t>
  </si>
  <si>
    <t>user_523@company.com</t>
  </si>
  <si>
    <t>TXN-1524</t>
  </si>
  <si>
    <t>user_524@company.com</t>
  </si>
  <si>
    <t>TXN-1525</t>
  </si>
  <si>
    <t>user_525@company.com</t>
  </si>
  <si>
    <t>TXN-1526</t>
  </si>
  <si>
    <t>user_526@company.com</t>
  </si>
  <si>
    <t>TXN-1527</t>
  </si>
  <si>
    <t>user_527@company.com</t>
  </si>
  <si>
    <t>TXN-1528</t>
  </si>
  <si>
    <t>user_528@company.com</t>
  </si>
  <si>
    <t>TXN-1529</t>
  </si>
  <si>
    <t>user_529@company.com</t>
  </si>
  <si>
    <t>TXN-1530</t>
  </si>
  <si>
    <t>user_530@company.com</t>
  </si>
  <si>
    <t>TXN-1531</t>
  </si>
  <si>
    <t>user_531@company.com</t>
  </si>
  <si>
    <t>TXN-1532</t>
  </si>
  <si>
    <t>user_532@company.com</t>
  </si>
  <si>
    <t>TXN-1533</t>
  </si>
  <si>
    <t>user_533@company.com</t>
  </si>
  <si>
    <t>TXN-1534</t>
  </si>
  <si>
    <t>user_534@company.com</t>
  </si>
  <si>
    <t>TXN-1535</t>
  </si>
  <si>
    <t>user_535@company.com</t>
  </si>
  <si>
    <t>TXN-1536</t>
  </si>
  <si>
    <t>user_536@company.com</t>
  </si>
  <si>
    <t>TXN-1537</t>
  </si>
  <si>
    <t>user_537@company.com</t>
  </si>
  <si>
    <t>TXN-1538</t>
  </si>
  <si>
    <t>user_538@company.com</t>
  </si>
  <si>
    <t>TXN-1539</t>
  </si>
  <si>
    <t>user_539@company.com</t>
  </si>
  <si>
    <t>TXN-1541</t>
  </si>
  <si>
    <t>user_541@company.com</t>
  </si>
  <si>
    <t>TXN-1542</t>
  </si>
  <si>
    <t>user_542@company.com</t>
  </si>
  <si>
    <t>TXN-1543</t>
  </si>
  <si>
    <t>user_543@company.com</t>
  </si>
  <si>
    <t>TXN-1544</t>
  </si>
  <si>
    <t>user_544@company.com</t>
  </si>
  <si>
    <t>TXN-1545</t>
  </si>
  <si>
    <t>user_545@company.com</t>
  </si>
  <si>
    <t>TXN-1546</t>
  </si>
  <si>
    <t>user_546@company.com</t>
  </si>
  <si>
    <t>TXN-1548</t>
  </si>
  <si>
    <t>user_548@company.com</t>
  </si>
  <si>
    <t>TXN-1549</t>
  </si>
  <si>
    <t>user_549@company.com</t>
  </si>
  <si>
    <t>TXN-1550</t>
  </si>
  <si>
    <t>user_550@company.com</t>
  </si>
  <si>
    <t>TXN-1551</t>
  </si>
  <si>
    <t>user_551@company.com</t>
  </si>
  <si>
    <t>TXN-1552</t>
  </si>
  <si>
    <t>TXN-1553</t>
  </si>
  <si>
    <t>user_553@company.com</t>
  </si>
  <si>
    <t>TXN-1554</t>
  </si>
  <si>
    <t>user_554@company.com</t>
  </si>
  <si>
    <t>TXN-1555</t>
  </si>
  <si>
    <t>TXN-1556</t>
  </si>
  <si>
    <t>user_556@company.com</t>
  </si>
  <si>
    <t>TXN-1558</t>
  </si>
  <si>
    <t>user_558@company.com</t>
  </si>
  <si>
    <t>TXN-1559</t>
  </si>
  <si>
    <t>user_559@company.com</t>
  </si>
  <si>
    <t>TXN-1560</t>
  </si>
  <si>
    <t>user_560@company.com</t>
  </si>
  <si>
    <t>TXN-1561</t>
  </si>
  <si>
    <t>user_561@company.com</t>
  </si>
  <si>
    <t>TXN-1562</t>
  </si>
  <si>
    <t>TXN-1563</t>
  </si>
  <si>
    <t>user_563@company.com</t>
  </si>
  <si>
    <t>TXN-1564</t>
  </si>
  <si>
    <t>user_564@company.com</t>
  </si>
  <si>
    <t>TXN-1565</t>
  </si>
  <si>
    <t>TXN-1566</t>
  </si>
  <si>
    <t>user_566@company.com</t>
  </si>
  <si>
    <t>TXN-1567</t>
  </si>
  <si>
    <t>user_567@company.com</t>
  </si>
  <si>
    <t>TXN-1568</t>
  </si>
  <si>
    <t>user_568@company.com</t>
  </si>
  <si>
    <t>TXN-1569</t>
  </si>
  <si>
    <t>user_569@company.com</t>
  </si>
  <si>
    <t>TXN-1570</t>
  </si>
  <si>
    <t>user_570@company.com</t>
  </si>
  <si>
    <t>TXN-1571</t>
  </si>
  <si>
    <t>user_571@company.com</t>
  </si>
  <si>
    <t>TXN-1572</t>
  </si>
  <si>
    <t>user_572@company.com</t>
  </si>
  <si>
    <t>TXN-1573</t>
  </si>
  <si>
    <t>user_573@company.com</t>
  </si>
  <si>
    <t>TXN-1574</t>
  </si>
  <si>
    <t>user_574@company.com</t>
  </si>
  <si>
    <t>TXN-1575</t>
  </si>
  <si>
    <t>user_575@company.com</t>
  </si>
  <si>
    <t>TXN-1576</t>
  </si>
  <si>
    <t>user_576@company.com</t>
  </si>
  <si>
    <t>TXN-1577</t>
  </si>
  <si>
    <t>user_577@company.com</t>
  </si>
  <si>
    <t>TXN-1578</t>
  </si>
  <si>
    <t>user_578@company.com</t>
  </si>
  <si>
    <t>TXN-1579</t>
  </si>
  <si>
    <t>user_579@company.com</t>
  </si>
  <si>
    <t>TXN-1580</t>
  </si>
  <si>
    <t>TXN-1581</t>
  </si>
  <si>
    <t>TXN-1582</t>
  </si>
  <si>
    <t>user_582@company.com</t>
  </si>
  <si>
    <t>TXN-1583</t>
  </si>
  <si>
    <t>user_583@company.com</t>
  </si>
  <si>
    <t>TXN-1584</t>
  </si>
  <si>
    <t>user_584@company.com</t>
  </si>
  <si>
    <t>TXN-1585</t>
  </si>
  <si>
    <t>user_585@company.com</t>
  </si>
  <si>
    <t>TXN-1586</t>
  </si>
  <si>
    <t>user_586@company.com</t>
  </si>
  <si>
    <t>TXN-1587</t>
  </si>
  <si>
    <t>user_587@company.com</t>
  </si>
  <si>
    <t>TXN-1588</t>
  </si>
  <si>
    <t>user_588@company.com</t>
  </si>
  <si>
    <t>TXN-1589</t>
  </si>
  <si>
    <t>TXN-1590</t>
  </si>
  <si>
    <t>user_590@company.com</t>
  </si>
  <si>
    <t>TXN-1591</t>
  </si>
  <si>
    <t>TXN-1592</t>
  </si>
  <si>
    <t>TXN-1593</t>
  </si>
  <si>
    <t>user_593@company.com</t>
  </si>
  <si>
    <t>TXN-1594</t>
  </si>
  <si>
    <t>user_594@company.com</t>
  </si>
  <si>
    <t>TXN-1595</t>
  </si>
  <si>
    <t>user_595@company.com</t>
  </si>
  <si>
    <t>TXN-1596</t>
  </si>
  <si>
    <t>user_596@company.com</t>
  </si>
  <si>
    <t>TXN-1597</t>
  </si>
  <si>
    <t>TXN-1598</t>
  </si>
  <si>
    <t>user_598@company.com</t>
  </si>
  <si>
    <t>TXN-1599</t>
  </si>
  <si>
    <t>user_599@company.com</t>
  </si>
  <si>
    <t>TXN-1600</t>
  </si>
  <si>
    <t>user_600@company.com</t>
  </si>
  <si>
    <t>TXN-1601</t>
  </si>
  <si>
    <t>user_601@company.com</t>
  </si>
  <si>
    <t>TXN-1602</t>
  </si>
  <si>
    <t>user_602@company.com</t>
  </si>
  <si>
    <t>TXN-1603</t>
  </si>
  <si>
    <t>user_603@company.com</t>
  </si>
  <si>
    <t>TXN-1604</t>
  </si>
  <si>
    <t>user_604@company.com</t>
  </si>
  <si>
    <t>TXN-1605</t>
  </si>
  <si>
    <t>user_605@company.com</t>
  </si>
  <si>
    <t>TXN-1606</t>
  </si>
  <si>
    <t>user_606@company.com</t>
  </si>
  <si>
    <t>TXN-1607</t>
  </si>
  <si>
    <t>user_607@company.com</t>
  </si>
  <si>
    <t>TXN-1608</t>
  </si>
  <si>
    <t>user_608@company.com</t>
  </si>
  <si>
    <t>TXN-1609</t>
  </si>
  <si>
    <t>user_609@company.com</t>
  </si>
  <si>
    <t>TXN-1610</t>
  </si>
  <si>
    <t>TXN-1611</t>
  </si>
  <si>
    <t>user_611@company.com</t>
  </si>
  <si>
    <t>TXN-1612</t>
  </si>
  <si>
    <t>user_612@company.com</t>
  </si>
  <si>
    <t>TXN-1613</t>
  </si>
  <si>
    <t>user_613@company.com</t>
  </si>
  <si>
    <t>TXN-1614</t>
  </si>
  <si>
    <t>TXN-1615</t>
  </si>
  <si>
    <t>user_615@company.com</t>
  </si>
  <si>
    <t>TXN-1616</t>
  </si>
  <si>
    <t>user_616@company.com</t>
  </si>
  <si>
    <t>TXN-1617</t>
  </si>
  <si>
    <t>user_617@company.com</t>
  </si>
  <si>
    <t>TXN-1618</t>
  </si>
  <si>
    <t>user_618@company.com</t>
  </si>
  <si>
    <t>TXN-1619</t>
  </si>
  <si>
    <t>user_619@company.com</t>
  </si>
  <si>
    <t>TXN-1620</t>
  </si>
  <si>
    <t>user_620@company.com</t>
  </si>
  <si>
    <t>TXN-1621</t>
  </si>
  <si>
    <t>user_621@company.com</t>
  </si>
  <si>
    <t>TXN-1622</t>
  </si>
  <si>
    <t>TXN-1623</t>
  </si>
  <si>
    <t>user_623@company.com</t>
  </si>
  <si>
    <t>TXN-1624</t>
  </si>
  <si>
    <t>user_624@company.com</t>
  </si>
  <si>
    <t>TXN-1625</t>
  </si>
  <si>
    <t>user_625@company.com</t>
  </si>
  <si>
    <t>TXN-1626</t>
  </si>
  <si>
    <t>user_626@company.com</t>
  </si>
  <si>
    <t>TXN-1627</t>
  </si>
  <si>
    <t>user_627@company.com</t>
  </si>
  <si>
    <t>TXN-1628</t>
  </si>
  <si>
    <t>user_628@company.com</t>
  </si>
  <si>
    <t>TXN-1629</t>
  </si>
  <si>
    <t>user_629@company.com</t>
  </si>
  <si>
    <t>TXN-1630</t>
  </si>
  <si>
    <t>TXN-1631</t>
  </si>
  <si>
    <t>TXN-1632</t>
  </si>
  <si>
    <t>user_632@company.com</t>
  </si>
  <si>
    <t>TXN-1633</t>
  </si>
  <si>
    <t>user_633@company.com</t>
  </si>
  <si>
    <t>TXN-1634</t>
  </si>
  <si>
    <t>user_634@company.com</t>
  </si>
  <si>
    <t>TXN-1635</t>
  </si>
  <si>
    <t>user_635@company.com</t>
  </si>
  <si>
    <t>TXN-1636</t>
  </si>
  <si>
    <t>user_636@company.com</t>
  </si>
  <si>
    <t>TXN-1637</t>
  </si>
  <si>
    <t>user_637@company.com</t>
  </si>
  <si>
    <t>TXN-1638</t>
  </si>
  <si>
    <t>user_638@company.com</t>
  </si>
  <si>
    <t>TXN-1639</t>
  </si>
  <si>
    <t>user_639@company.com</t>
  </si>
  <si>
    <t>TXN-1640</t>
  </si>
  <si>
    <t>TXN-1642</t>
  </si>
  <si>
    <t>user_642@company.com</t>
  </si>
  <si>
    <t>TXN-1643</t>
  </si>
  <si>
    <t>user_643@company.com</t>
  </si>
  <si>
    <t>TXN-1644</t>
  </si>
  <si>
    <t>user_644@company.com</t>
  </si>
  <si>
    <t>TXN-1645</t>
  </si>
  <si>
    <t>user_645@company.com</t>
  </si>
  <si>
    <t>TXN-1646</t>
  </si>
  <si>
    <t>user_646@company.com</t>
  </si>
  <si>
    <t>TXN-1647</t>
  </si>
  <si>
    <t>user_647@company.com</t>
  </si>
  <si>
    <t>TXN-1648</t>
  </si>
  <si>
    <t>user_648@company.com</t>
  </si>
  <si>
    <t>TXN-1649</t>
  </si>
  <si>
    <t>TXN-1650</t>
  </si>
  <si>
    <t>user_650@company.com</t>
  </si>
  <si>
    <t>TXN-1651</t>
  </si>
  <si>
    <t>user_651@company.com</t>
  </si>
  <si>
    <t>TXN-1652</t>
  </si>
  <si>
    <t>user_652@company.com</t>
  </si>
  <si>
    <t>TXN-1653</t>
  </si>
  <si>
    <t>user_653@company.com</t>
  </si>
  <si>
    <t>TXN-1654</t>
  </si>
  <si>
    <t>user_654@company.com</t>
  </si>
  <si>
    <t>TXN-1655</t>
  </si>
  <si>
    <t>user_655@company.com</t>
  </si>
  <si>
    <t>TXN-1656</t>
  </si>
  <si>
    <t>user_656@company.com</t>
  </si>
  <si>
    <t>TXN-1657</t>
  </si>
  <si>
    <t>user_657@company.com</t>
  </si>
  <si>
    <t>TXN-1658</t>
  </si>
  <si>
    <t>user_658@company.com</t>
  </si>
  <si>
    <t>TXN-1659</t>
  </si>
  <si>
    <t>user_659@company.com</t>
  </si>
  <si>
    <t>TXN-1660</t>
  </si>
  <si>
    <t>user_660@company.com</t>
  </si>
  <si>
    <t>TXN-1661</t>
  </si>
  <si>
    <t>user_661@company.com</t>
  </si>
  <si>
    <t>TXN-1662</t>
  </si>
  <si>
    <t>user_662@company.com</t>
  </si>
  <si>
    <t>TXN-1664</t>
  </si>
  <si>
    <t>user_664@company.com</t>
  </si>
  <si>
    <t>TXN-1665</t>
  </si>
  <si>
    <t>user_665@company.com</t>
  </si>
  <si>
    <t>TXN-1666</t>
  </si>
  <si>
    <t>user_666@company.com</t>
  </si>
  <si>
    <t>TXN-1667</t>
  </si>
  <si>
    <t>user_667@company.com</t>
  </si>
  <si>
    <t>TXN-1668</t>
  </si>
  <si>
    <t>TXN-1670</t>
  </si>
  <si>
    <t>user_670@company.com</t>
  </si>
  <si>
    <t>TXN-1671</t>
  </si>
  <si>
    <t>user_671@company.com</t>
  </si>
  <si>
    <t>TXN-1672</t>
  </si>
  <si>
    <t>user_672@company.com</t>
  </si>
  <si>
    <t>TXN-1673</t>
  </si>
  <si>
    <t>user_673@company.com</t>
  </si>
  <si>
    <t>TXN-1674</t>
  </si>
  <si>
    <t>user_674@company.com</t>
  </si>
  <si>
    <t>TXN-1675</t>
  </si>
  <si>
    <t>user_675@company.com</t>
  </si>
  <si>
    <t>TXN-1676</t>
  </si>
  <si>
    <t>user_676@company.com</t>
  </si>
  <si>
    <t>TXN-1677</t>
  </si>
  <si>
    <t>user_677@company.com</t>
  </si>
  <si>
    <t>TXN-1678</t>
  </si>
  <si>
    <t>user_678@company.com</t>
  </si>
  <si>
    <t>TXN-1679</t>
  </si>
  <si>
    <t>user_679@company.com</t>
  </si>
  <si>
    <t>TXN-1680</t>
  </si>
  <si>
    <t>user_680@company.com</t>
  </si>
  <si>
    <t>TXN-1681</t>
  </si>
  <si>
    <t>user_681@company.com</t>
  </si>
  <si>
    <t>TXN-1682</t>
  </si>
  <si>
    <t>TXN-1683</t>
  </si>
  <si>
    <t>user_683@company.com</t>
  </si>
  <si>
    <t>TXN-1684</t>
  </si>
  <si>
    <t>user_684@company.com</t>
  </si>
  <si>
    <t>TXN-1685</t>
  </si>
  <si>
    <t>user_685@company.com</t>
  </si>
  <si>
    <t>TXN-1686</t>
  </si>
  <si>
    <t>TXN-1687</t>
  </si>
  <si>
    <t>TXN-1688</t>
  </si>
  <si>
    <t>user_688@company.com</t>
  </si>
  <si>
    <t>TXN-1689</t>
  </si>
  <si>
    <t>user_689@company.com</t>
  </si>
  <si>
    <t>TXN-1690</t>
  </si>
  <si>
    <t>user_690@company.com</t>
  </si>
  <si>
    <t>TXN-1691</t>
  </si>
  <si>
    <t>user_691@company.com</t>
  </si>
  <si>
    <t>TXN-1692</t>
  </si>
  <si>
    <t>user_692@company.com</t>
  </si>
  <si>
    <t>TXN-1693</t>
  </si>
  <si>
    <t>user_693@company.com</t>
  </si>
  <si>
    <t>TXN-1694</t>
  </si>
  <si>
    <t>user_694@company.com</t>
  </si>
  <si>
    <t>TXN-1695</t>
  </si>
  <si>
    <t>TXN-1696</t>
  </si>
  <si>
    <t>user_696@company.com</t>
  </si>
  <si>
    <t>TXN-1697</t>
  </si>
  <si>
    <t>user_697@company.com</t>
  </si>
  <si>
    <t>TXN-1698</t>
  </si>
  <si>
    <t>user_698@company.com</t>
  </si>
  <si>
    <t>TXN-1699</t>
  </si>
  <si>
    <t>TXN-1700</t>
  </si>
  <si>
    <t>user_700@company.com</t>
  </si>
  <si>
    <t>TXN-1701</t>
  </si>
  <si>
    <t>user_701@company.com</t>
  </si>
  <si>
    <t>TXN-1702</t>
  </si>
  <si>
    <t>user_702@company.com</t>
  </si>
  <si>
    <t>TXN-1703</t>
  </si>
  <si>
    <t>TXN-1704</t>
  </si>
  <si>
    <t>user_704@company.com</t>
  </si>
  <si>
    <t>TXN-1705</t>
  </si>
  <si>
    <t>user_705@company.com</t>
  </si>
  <si>
    <t>TXN-1706</t>
  </si>
  <si>
    <t>user_706@company.com</t>
  </si>
  <si>
    <t>TXN-1707</t>
  </si>
  <si>
    <t>user_707@company.com</t>
  </si>
  <si>
    <t>TXN-1708</t>
  </si>
  <si>
    <t>TXN-1709</t>
  </si>
  <si>
    <t>user_709@company.com</t>
  </si>
  <si>
    <t>TXN-1710</t>
  </si>
  <si>
    <t>user_710@company.com</t>
  </si>
  <si>
    <t>TXN-1711</t>
  </si>
  <si>
    <t>user_711@company.com</t>
  </si>
  <si>
    <t>TXN-1712</t>
  </si>
  <si>
    <t>user_712@company.com</t>
  </si>
  <si>
    <t>TXN-1713</t>
  </si>
  <si>
    <t>user_713@company.com</t>
  </si>
  <si>
    <t>TXN-1714</t>
  </si>
  <si>
    <t>user_714@company.com</t>
  </si>
  <si>
    <t>TXN-1715</t>
  </si>
  <si>
    <t>user_715@company.com</t>
  </si>
  <si>
    <t>TXN-1716</t>
  </si>
  <si>
    <t>user_716@company.com</t>
  </si>
  <si>
    <t>TXN-1717</t>
  </si>
  <si>
    <t>user_717@company.com</t>
  </si>
  <si>
    <t>TXN-1718</t>
  </si>
  <si>
    <t>user_718@company.com</t>
  </si>
  <si>
    <t>TXN-1719</t>
  </si>
  <si>
    <t>user_719@company.com</t>
  </si>
  <si>
    <t>TXN-1720</t>
  </si>
  <si>
    <t>user_720@company.com</t>
  </si>
  <si>
    <t>TXN-1721</t>
  </si>
  <si>
    <t>user_721@company.com</t>
  </si>
  <si>
    <t>TXN-1722</t>
  </si>
  <si>
    <t>user_722@company.com</t>
  </si>
  <si>
    <t>TXN-1723</t>
  </si>
  <si>
    <t>user_723@company.com</t>
  </si>
  <si>
    <t>TXN-1724</t>
  </si>
  <si>
    <t>user_724@company.com</t>
  </si>
  <si>
    <t>TXN-1725</t>
  </si>
  <si>
    <t>user_725@company.com</t>
  </si>
  <si>
    <t>TXN-1726</t>
  </si>
  <si>
    <t>user_726@company.com</t>
  </si>
  <si>
    <t>TXN-1727</t>
  </si>
  <si>
    <t>user_727@company.com</t>
  </si>
  <si>
    <t>TXN-1728</t>
  </si>
  <si>
    <t>user_728@company.com</t>
  </si>
  <si>
    <t>TXN-1729</t>
  </si>
  <si>
    <t>TXN-1730</t>
  </si>
  <si>
    <t>user_730@company.com</t>
  </si>
  <si>
    <t>TXN-1731</t>
  </si>
  <si>
    <t>user_731@company.com</t>
  </si>
  <si>
    <t>TXN-1732</t>
  </si>
  <si>
    <t>user_732@company.com</t>
  </si>
  <si>
    <t>TXN-1733</t>
  </si>
  <si>
    <t>user_733@company.com</t>
  </si>
  <si>
    <t>TXN-1734</t>
  </si>
  <si>
    <t>user_734@company.com</t>
  </si>
  <si>
    <t>TXN-1735</t>
  </si>
  <si>
    <t>user_735@company.com</t>
  </si>
  <si>
    <t>TXN-1736</t>
  </si>
  <si>
    <t>user_736@company.com</t>
  </si>
  <si>
    <t>TXN-1737</t>
  </si>
  <si>
    <t>user_737@company.com</t>
  </si>
  <si>
    <t>TXN-1738</t>
  </si>
  <si>
    <t>user_738@company.com</t>
  </si>
  <si>
    <t>TXN-1739</t>
  </si>
  <si>
    <t>user_739@company.com</t>
  </si>
  <si>
    <t>TXN-1740</t>
  </si>
  <si>
    <t>user_740@company.com</t>
  </si>
  <si>
    <t>TXN-1741</t>
  </si>
  <si>
    <t>user_741@company.com</t>
  </si>
  <si>
    <t>TXN-1742</t>
  </si>
  <si>
    <t>user_742@company.com</t>
  </si>
  <si>
    <t>TXN-1743</t>
  </si>
  <si>
    <t>user_743@company.com</t>
  </si>
  <si>
    <t>TXN-1744</t>
  </si>
  <si>
    <t>user_744@company.com</t>
  </si>
  <si>
    <t>TXN-1745</t>
  </si>
  <si>
    <t>user_745@company.com</t>
  </si>
  <si>
    <t>TXN-1746</t>
  </si>
  <si>
    <t>user_746@company.com</t>
  </si>
  <si>
    <t>TXN-1747</t>
  </si>
  <si>
    <t>TXN-1748</t>
  </si>
  <si>
    <t>user_748@company.com</t>
  </si>
  <si>
    <t>TXN-1749</t>
  </si>
  <si>
    <t>user_749@company.com</t>
  </si>
  <si>
    <t>TXN-1750</t>
  </si>
  <si>
    <t>user_750@company.com</t>
  </si>
  <si>
    <t>TXN-1751</t>
  </si>
  <si>
    <t>TXN-1752</t>
  </si>
  <si>
    <t>user_752@company.com</t>
  </si>
  <si>
    <t>TXN-1753</t>
  </si>
  <si>
    <t>user_753@company.com</t>
  </si>
  <si>
    <t>TXN-1754</t>
  </si>
  <si>
    <t>TXN-1755</t>
  </si>
  <si>
    <t>user_755@company.com</t>
  </si>
  <si>
    <t>TXN-1756</t>
  </si>
  <si>
    <t>user_756@company.com</t>
  </si>
  <si>
    <t>TXN-1757</t>
  </si>
  <si>
    <t>user_757@company.com</t>
  </si>
  <si>
    <t>TXN-1758</t>
  </si>
  <si>
    <t>user_758@company.com</t>
  </si>
  <si>
    <t>TXN-1759</t>
  </si>
  <si>
    <t>user_759@company.com</t>
  </si>
  <si>
    <t>TXN-1760</t>
  </si>
  <si>
    <t>user_760@company.com</t>
  </si>
  <si>
    <t>TXN-1761</t>
  </si>
  <si>
    <t>user_761@company.com</t>
  </si>
  <si>
    <t>TXN-1762</t>
  </si>
  <si>
    <t>user_762@company.com</t>
  </si>
  <si>
    <t>TXN-1763</t>
  </si>
  <si>
    <t>user_763@company.com</t>
  </si>
  <si>
    <t>TXN-1764</t>
  </si>
  <si>
    <t>user_764@company.com</t>
  </si>
  <si>
    <t>TXN-1765</t>
  </si>
  <si>
    <t>user_765@company.com</t>
  </si>
  <si>
    <t>TXN-1766</t>
  </si>
  <si>
    <t>user_766@company.com</t>
  </si>
  <si>
    <t>TXN-1767</t>
  </si>
  <si>
    <t>user_767@company.com</t>
  </si>
  <si>
    <t>TXN-1768</t>
  </si>
  <si>
    <t>user_768@company.com</t>
  </si>
  <si>
    <t>TXN-1769</t>
  </si>
  <si>
    <t>TXN-1770</t>
  </si>
  <si>
    <t>user_770@company.com</t>
  </si>
  <si>
    <t>TXN-1771</t>
  </si>
  <si>
    <t>user_771@company.com</t>
  </si>
  <si>
    <t>TXN-1772</t>
  </si>
  <si>
    <t>user_772@company.com</t>
  </si>
  <si>
    <t>TXN-1773</t>
  </si>
  <si>
    <t>user_773@company.com</t>
  </si>
  <si>
    <t>TXN-1774</t>
  </si>
  <si>
    <t>user_774@company.com</t>
  </si>
  <si>
    <t>TXN-1775</t>
  </si>
  <si>
    <t>user_775@company.com</t>
  </si>
  <si>
    <t>TXN-1776</t>
  </si>
  <si>
    <t>user_776@company.com</t>
  </si>
  <si>
    <t>TXN-1777</t>
  </si>
  <si>
    <t>user_777@company.com</t>
  </si>
  <si>
    <t>TXN-1778</t>
  </si>
  <si>
    <t>user_778@company.com</t>
  </si>
  <si>
    <t>TXN-1779</t>
  </si>
  <si>
    <t>TXN-1780</t>
  </si>
  <si>
    <t>user_780@company.com</t>
  </si>
  <si>
    <t>TXN-1781</t>
  </si>
  <si>
    <t>user_781@company.com</t>
  </si>
  <si>
    <t>TXN-1782</t>
  </si>
  <si>
    <t>user_782@company.com</t>
  </si>
  <si>
    <t>TXN-1783</t>
  </si>
  <si>
    <t>user_783@company.com</t>
  </si>
  <si>
    <t>TXN-1784</t>
  </si>
  <si>
    <t>user_784@company.com</t>
  </si>
  <si>
    <t>TXN-1785</t>
  </si>
  <si>
    <t>user_785@company.com</t>
  </si>
  <si>
    <t>TXN-1786</t>
  </si>
  <si>
    <t>user_786@company.com</t>
  </si>
  <si>
    <t>TXN-1787</t>
  </si>
  <si>
    <t>user_787@company.com</t>
  </si>
  <si>
    <t>TXN-1788</t>
  </si>
  <si>
    <t>user_788@company.com</t>
  </si>
  <si>
    <t>TXN-1790</t>
  </si>
  <si>
    <t>user_790@company.com</t>
  </si>
  <si>
    <t>TXN-1791</t>
  </si>
  <si>
    <t>user_791@company.com</t>
  </si>
  <si>
    <t>TXN-1792</t>
  </si>
  <si>
    <t>user_792@company.com</t>
  </si>
  <si>
    <t>TXN-1793</t>
  </si>
  <si>
    <t>user_793@company.com</t>
  </si>
  <si>
    <t>TXN-1794</t>
  </si>
  <si>
    <t>user_794@company.com</t>
  </si>
  <si>
    <t>TXN-1795</t>
  </si>
  <si>
    <t>user_795@company.com</t>
  </si>
  <si>
    <t>TXN-1796</t>
  </si>
  <si>
    <t>user_796@company.com</t>
  </si>
  <si>
    <t>TXN-1797</t>
  </si>
  <si>
    <t>user_797@company.com</t>
  </si>
  <si>
    <t>TXN-1798</t>
  </si>
  <si>
    <t>user_798@company.com</t>
  </si>
  <si>
    <t>TXN-1799</t>
  </si>
  <si>
    <t>user_799@company.com</t>
  </si>
  <si>
    <t>TXN-1800</t>
  </si>
  <si>
    <t>user_800@company.com</t>
  </si>
  <si>
    <t>TXN-1801</t>
  </si>
  <si>
    <t>user_801@company.com</t>
  </si>
  <si>
    <t>TXN-1802</t>
  </si>
  <si>
    <t>user_802@company.com</t>
  </si>
  <si>
    <t>TXN-1803</t>
  </si>
  <si>
    <t>TXN-1805</t>
  </si>
  <si>
    <t>user_805@company.com</t>
  </si>
  <si>
    <t>TXN-1806</t>
  </si>
  <si>
    <t>user_806@company.com</t>
  </si>
  <si>
    <t>TXN-1807</t>
  </si>
  <si>
    <t>user_807@company.com</t>
  </si>
  <si>
    <t>TXN-1808</t>
  </si>
  <si>
    <t>user_808@company.com</t>
  </si>
  <si>
    <t>TXN-1809</t>
  </si>
  <si>
    <t>user_809@company.com</t>
  </si>
  <si>
    <t>TXN-1810</t>
  </si>
  <si>
    <t>TXN-1811</t>
  </si>
  <si>
    <t>user_811@company.com</t>
  </si>
  <si>
    <t>TXN-1812</t>
  </si>
  <si>
    <t>TXN-1813</t>
  </si>
  <si>
    <t>user_813@company.com</t>
  </si>
  <si>
    <t>TXN-1814</t>
  </si>
  <si>
    <t>user_814@company.com</t>
  </si>
  <si>
    <t>TXN-1815</t>
  </si>
  <si>
    <t>TXN-1816</t>
  </si>
  <si>
    <t>user_816@company.com</t>
  </si>
  <si>
    <t>TXN-1817</t>
  </si>
  <si>
    <t>user_817@company.com</t>
  </si>
  <si>
    <t>TXN-1818</t>
  </si>
  <si>
    <t>user_818@company.com</t>
  </si>
  <si>
    <t>TXN-1819</t>
  </si>
  <si>
    <t>user_819@company.com</t>
  </si>
  <si>
    <t>TXN-1820</t>
  </si>
  <si>
    <t>user_820@company.com</t>
  </si>
  <si>
    <t>TXN-1821</t>
  </si>
  <si>
    <t>user_821@company.com</t>
  </si>
  <si>
    <t>TXN-1822</t>
  </si>
  <si>
    <t>user_822@company.com</t>
  </si>
  <si>
    <t>TXN-1823</t>
  </si>
  <si>
    <t>user_823@company.com</t>
  </si>
  <si>
    <t>TXN-1824</t>
  </si>
  <si>
    <t>user_824@company.com</t>
  </si>
  <si>
    <t>TXN-1825</t>
  </si>
  <si>
    <t>user_825@company.com</t>
  </si>
  <si>
    <t>TXN-1826</t>
  </si>
  <si>
    <t>user_826@company.com</t>
  </si>
  <si>
    <t>TXN-1827</t>
  </si>
  <si>
    <t>user_827@company.com</t>
  </si>
  <si>
    <t>TXN-1828</t>
  </si>
  <si>
    <t>user_828@company.com</t>
  </si>
  <si>
    <t>TXN-1829</t>
  </si>
  <si>
    <t>user_829@company.com</t>
  </si>
  <si>
    <t>TXN-1830</t>
  </si>
  <si>
    <t>user_830@company.com</t>
  </si>
  <si>
    <t>TXN-1831</t>
  </si>
  <si>
    <t>user_831@company.com</t>
  </si>
  <si>
    <t>TXN-1832</t>
  </si>
  <si>
    <t>user_832@company.com</t>
  </si>
  <si>
    <t>TXN-1833</t>
  </si>
  <si>
    <t>user_833@company.com</t>
  </si>
  <si>
    <t>TXN-1834</t>
  </si>
  <si>
    <t>user_834@company.com</t>
  </si>
  <si>
    <t>TXN-1835</t>
  </si>
  <si>
    <t>user_835@company.com</t>
  </si>
  <si>
    <t>TXN-1836</t>
  </si>
  <si>
    <t>user_836@company.com</t>
  </si>
  <si>
    <t>TXN-1837</t>
  </si>
  <si>
    <t>user_837@company.com</t>
  </si>
  <si>
    <t>TXN-1838</t>
  </si>
  <si>
    <t>user_838@company.com</t>
  </si>
  <si>
    <t>TXN-1839</t>
  </si>
  <si>
    <t>user_839@company.com</t>
  </si>
  <si>
    <t>TXN-1840</t>
  </si>
  <si>
    <t>user_840@company.com</t>
  </si>
  <si>
    <t>TXN-1841</t>
  </si>
  <si>
    <t>user_841@company.com</t>
  </si>
  <si>
    <t>TXN-1842</t>
  </si>
  <si>
    <t>user_842@company.com</t>
  </si>
  <si>
    <t>TXN-1843</t>
  </si>
  <si>
    <t>user_843@company.com</t>
  </si>
  <si>
    <t>TXN-1844</t>
  </si>
  <si>
    <t>user_844@company.com</t>
  </si>
  <si>
    <t>TXN-1845</t>
  </si>
  <si>
    <t>user_845@company.com</t>
  </si>
  <si>
    <t>TXN-1846</t>
  </si>
  <si>
    <t>user_846@company.com</t>
  </si>
  <si>
    <t>TXN-1847</t>
  </si>
  <si>
    <t>user_847@company.com</t>
  </si>
  <si>
    <t>TXN-1848</t>
  </si>
  <si>
    <t>TXN-1849</t>
  </si>
  <si>
    <t>user_849@company.com</t>
  </si>
  <si>
    <t>TXN-1850</t>
  </si>
  <si>
    <t>user_850@company.com</t>
  </si>
  <si>
    <t>TXN-1851</t>
  </si>
  <si>
    <t>user_851@company.com</t>
  </si>
  <si>
    <t>TXN-1852</t>
  </si>
  <si>
    <t>user_852@company.com</t>
  </si>
  <si>
    <t>TXN-1853</t>
  </si>
  <si>
    <t>user_853@company.com</t>
  </si>
  <si>
    <t>TXN-1854</t>
  </si>
  <si>
    <t>user_854@company.com</t>
  </si>
  <si>
    <t>TXN-1855</t>
  </si>
  <si>
    <t>user_855@company.com</t>
  </si>
  <si>
    <t>TXN-1856</t>
  </si>
  <si>
    <t>user_856@company.com</t>
  </si>
  <si>
    <t>TXN-1857</t>
  </si>
  <si>
    <t>user_857@company.com</t>
  </si>
  <si>
    <t>TXN-1858</t>
  </si>
  <si>
    <t>user_858@company.com</t>
  </si>
  <si>
    <t>TXN-1859</t>
  </si>
  <si>
    <t>user_859@company.com</t>
  </si>
  <si>
    <t>TXN-1860</t>
  </si>
  <si>
    <t>user_860@company.com</t>
  </si>
  <si>
    <t>TXN-1861</t>
  </si>
  <si>
    <t>user_861@company.com</t>
  </si>
  <si>
    <t>TXN-1862</t>
  </si>
  <si>
    <t>TXN-1863</t>
  </si>
  <si>
    <t>user_863@company.com</t>
  </si>
  <si>
    <t>TXN-1864</t>
  </si>
  <si>
    <t>user_864@company.com</t>
  </si>
  <si>
    <t>TXN-1865</t>
  </si>
  <si>
    <t>user_865@company.com</t>
  </si>
  <si>
    <t>TXN-1866</t>
  </si>
  <si>
    <t>user_866@company.com</t>
  </si>
  <si>
    <t>TXN-1867</t>
  </si>
  <si>
    <t>TXN-1868</t>
  </si>
  <si>
    <t>user_868@company.com</t>
  </si>
  <si>
    <t>TXN-1869</t>
  </si>
  <si>
    <t>user_869@company.com</t>
  </si>
  <si>
    <t>TXN-1870</t>
  </si>
  <si>
    <t>TXN-1871</t>
  </si>
  <si>
    <t>TXN-1872</t>
  </si>
  <si>
    <t>user_872@company.com</t>
  </si>
  <si>
    <t>TXN-1873</t>
  </si>
  <si>
    <t>user_873@company.com</t>
  </si>
  <si>
    <t>TXN-1874</t>
  </si>
  <si>
    <t>user_874@company.com</t>
  </si>
  <si>
    <t>TXN-1875</t>
  </si>
  <si>
    <t>user_875@company.com</t>
  </si>
  <si>
    <t>TXN-1876</t>
  </si>
  <si>
    <t>user_876@company.com</t>
  </si>
  <si>
    <t>TXN-1877</t>
  </si>
  <si>
    <t>user_877@company.com</t>
  </si>
  <si>
    <t>TXN-1878</t>
  </si>
  <si>
    <t>user_878@company.com</t>
  </si>
  <si>
    <t>TXN-1879</t>
  </si>
  <si>
    <t>user_879@company.com</t>
  </si>
  <si>
    <t>TXN-1880</t>
  </si>
  <si>
    <t>user_880@company.com</t>
  </si>
  <si>
    <t>TXN-1881</t>
  </si>
  <si>
    <t>user_881@company.com</t>
  </si>
  <si>
    <t>TXN-1882</t>
  </si>
  <si>
    <t>user_882@company.com</t>
  </si>
  <si>
    <t>TXN-1883</t>
  </si>
  <si>
    <t>user_883@company.com</t>
  </si>
  <si>
    <t>TXN-1884</t>
  </si>
  <si>
    <t>TXN-1885</t>
  </si>
  <si>
    <t>user_885@company.com</t>
  </si>
  <si>
    <t>TXN-1886</t>
  </si>
  <si>
    <t>user_886@company.com</t>
  </si>
  <si>
    <t>TXN-1887</t>
  </si>
  <si>
    <t>user_887@company.com</t>
  </si>
  <si>
    <t>TXN-1888</t>
  </si>
  <si>
    <t>user_888@company.com</t>
  </si>
  <si>
    <t>TXN-1889</t>
  </si>
  <si>
    <t>user_889@company.com</t>
  </si>
  <si>
    <t>TXN-1890</t>
  </si>
  <si>
    <t>user_890@company.com</t>
  </si>
  <si>
    <t>TXN-1891</t>
  </si>
  <si>
    <t>user_891@company.com</t>
  </si>
  <si>
    <t>TXN-1892</t>
  </si>
  <si>
    <t>TXN-1893</t>
  </si>
  <si>
    <t>user_893@company.com</t>
  </si>
  <si>
    <t>TXN-1894</t>
  </si>
  <si>
    <t>user_894@company.com</t>
  </si>
  <si>
    <t>TXN-1895</t>
  </si>
  <si>
    <t>user_895@company.com</t>
  </si>
  <si>
    <t>TXN-1896</t>
  </si>
  <si>
    <t>TXN-1897</t>
  </si>
  <si>
    <t>user_897@company.com</t>
  </si>
  <si>
    <t>TXN-1898</t>
  </si>
  <si>
    <t>user_898@company.com</t>
  </si>
  <si>
    <t>TXN-1899</t>
  </si>
  <si>
    <t>user_899@company.com</t>
  </si>
  <si>
    <t>TXN-1900</t>
  </si>
  <si>
    <t>user_900@company.com</t>
  </si>
  <si>
    <t>TXN-1901</t>
  </si>
  <si>
    <t>user_901@company.com</t>
  </si>
  <si>
    <t>TXN-1902</t>
  </si>
  <si>
    <t>user_902@company.com</t>
  </si>
  <si>
    <t>TXN-1903</t>
  </si>
  <si>
    <t>TXN-1904</t>
  </si>
  <si>
    <t>user_904@company.com</t>
  </si>
  <si>
    <t>TXN-1905</t>
  </si>
  <si>
    <t>user_905@company.com</t>
  </si>
  <si>
    <t>TXN-1906</t>
  </si>
  <si>
    <t>user_906@company.com</t>
  </si>
  <si>
    <t>TXN-1907</t>
  </si>
  <si>
    <t>user_907@company.com</t>
  </si>
  <si>
    <t>TXN-1908</t>
  </si>
  <si>
    <t>user_908@company.com</t>
  </si>
  <si>
    <t>TXN-1909</t>
  </si>
  <si>
    <t>user_909@company.com</t>
  </si>
  <si>
    <t>TXN-1910</t>
  </si>
  <si>
    <t>user_910@company.com</t>
  </si>
  <si>
    <t>TXN-1911</t>
  </si>
  <si>
    <t>user_911@company.com</t>
  </si>
  <si>
    <t>TXN-1912</t>
  </si>
  <si>
    <t>user_912@company.com</t>
  </si>
  <si>
    <t>TXN-1913</t>
  </si>
  <si>
    <t>user_913@company.com</t>
  </si>
  <si>
    <t>TXN-1914</t>
  </si>
  <si>
    <t>user_914@company.com</t>
  </si>
  <si>
    <t>TXN-1915</t>
  </si>
  <si>
    <t>user_915@company.com</t>
  </si>
  <si>
    <t>TXN-1916</t>
  </si>
  <si>
    <t>user_916@company.com</t>
  </si>
  <si>
    <t>TXN-1917</t>
  </si>
  <si>
    <t>user_917@company.com</t>
  </si>
  <si>
    <t>TXN-1918</t>
  </si>
  <si>
    <t>user_918@company.com</t>
  </si>
  <si>
    <t>TXN-1919</t>
  </si>
  <si>
    <t>user_919@company.com</t>
  </si>
  <si>
    <t>TXN-1920</t>
  </si>
  <si>
    <t>user_920@company.com</t>
  </si>
  <si>
    <t>TXN-1921</t>
  </si>
  <si>
    <t>user_921@company.com</t>
  </si>
  <si>
    <t>TXN-1922</t>
  </si>
  <si>
    <t>user_922@company.com</t>
  </si>
  <si>
    <t>TXN-1923</t>
  </si>
  <si>
    <t>user_923@company.com</t>
  </si>
  <si>
    <t>TXN-1924</t>
  </si>
  <si>
    <t>TXN-1925</t>
  </si>
  <si>
    <t>user_925@company.com</t>
  </si>
  <si>
    <t>TXN-1926</t>
  </si>
  <si>
    <t>user_926@company.com</t>
  </si>
  <si>
    <t>TXN-1927</t>
  </si>
  <si>
    <t>user_927@company.com</t>
  </si>
  <si>
    <t>TXN-1928</t>
  </si>
  <si>
    <t>user_928@company.com</t>
  </si>
  <si>
    <t>TXN-1929</t>
  </si>
  <si>
    <t>user_929@company.com</t>
  </si>
  <si>
    <t>TXN-1930</t>
  </si>
  <si>
    <t>user_930@company.com</t>
  </si>
  <si>
    <t>TXN-1931</t>
  </si>
  <si>
    <t>user_931@company.com</t>
  </si>
  <si>
    <t>TXN-1932</t>
  </si>
  <si>
    <t>TXN-1933</t>
  </si>
  <si>
    <t>user_933@company.com</t>
  </si>
  <si>
    <t>TXN-1934</t>
  </si>
  <si>
    <t>TXN-1935</t>
  </si>
  <si>
    <t>user_935@company.com</t>
  </si>
  <si>
    <t>TXN-1936</t>
  </si>
  <si>
    <t>user_936@company.com</t>
  </si>
  <si>
    <t>TXN-1937</t>
  </si>
  <si>
    <t>user_937@company.com</t>
  </si>
  <si>
    <t>TXN-1938</t>
  </si>
  <si>
    <t>user_938@company.com</t>
  </si>
  <si>
    <t>TXN-1939</t>
  </si>
  <si>
    <t>user_939@company.com</t>
  </si>
  <si>
    <t>TXN-1940</t>
  </si>
  <si>
    <t>user_940@company.com</t>
  </si>
  <si>
    <t>TXN-1941</t>
  </si>
  <si>
    <t>user_941@company.com</t>
  </si>
  <si>
    <t>TXN-1942</t>
  </si>
  <si>
    <t>user_942@company.com</t>
  </si>
  <si>
    <t>TXN-1943</t>
  </si>
  <si>
    <t>TXN-1944</t>
  </si>
  <si>
    <t>user_944@company.com</t>
  </si>
  <si>
    <t>TXN-1945</t>
  </si>
  <si>
    <t>user_945@company.com</t>
  </si>
  <si>
    <t>TXN-1946</t>
  </si>
  <si>
    <t>user_946@company.com</t>
  </si>
  <si>
    <t>TXN-1947</t>
  </si>
  <si>
    <t>user_947@company.com</t>
  </si>
  <si>
    <t>TXN-1948</t>
  </si>
  <si>
    <t>user_948@company.com</t>
  </si>
  <si>
    <t>TXN-1949</t>
  </si>
  <si>
    <t>user_949@company.com</t>
  </si>
  <si>
    <t>TXN-1950</t>
  </si>
  <si>
    <t>user_950@company.com</t>
  </si>
  <si>
    <t>TXN-1951</t>
  </si>
  <si>
    <t>user_951@company.com</t>
  </si>
  <si>
    <t>TXN-1952</t>
  </si>
  <si>
    <t>user_952@company.com</t>
  </si>
  <si>
    <t>TXN-1953</t>
  </si>
  <si>
    <t>TXN-1954</t>
  </si>
  <si>
    <t>user_954@company.com</t>
  </si>
  <si>
    <t>TXN-1955</t>
  </si>
  <si>
    <t>user_955@company.com</t>
  </si>
  <si>
    <t>TXN-1956</t>
  </si>
  <si>
    <t>user_956@company.com</t>
  </si>
  <si>
    <t>TXN-1957</t>
  </si>
  <si>
    <t>user_957@company.com</t>
  </si>
  <si>
    <t>TXN-1958</t>
  </si>
  <si>
    <t>user_958@company.com</t>
  </si>
  <si>
    <t>TXN-1960</t>
  </si>
  <si>
    <t>user_960@company.com</t>
  </si>
  <si>
    <t>TXN-1961</t>
  </si>
  <si>
    <t>user_961@company.com</t>
  </si>
  <si>
    <t>TXN-1962</t>
  </si>
  <si>
    <t>user_962@company.com</t>
  </si>
  <si>
    <t>TXN-1963</t>
  </si>
  <si>
    <t>user_963@company.com</t>
  </si>
  <si>
    <t>TXN-1966</t>
  </si>
  <si>
    <t>user_966@company.com</t>
  </si>
  <si>
    <t>TXN-1967</t>
  </si>
  <si>
    <t>user_967@company.com</t>
  </si>
  <si>
    <t>TXN-1968</t>
  </si>
  <si>
    <t>user_968@company.com</t>
  </si>
  <si>
    <t>TXN-1969</t>
  </si>
  <si>
    <t>user_969@company.com</t>
  </si>
  <si>
    <t>TXN-1970</t>
  </si>
  <si>
    <t>user_970@company.com</t>
  </si>
  <si>
    <t>TXN-1971</t>
  </si>
  <si>
    <t>TXN-1972</t>
  </si>
  <si>
    <t>user_972@company.com</t>
  </si>
  <si>
    <t>TXN-1973</t>
  </si>
  <si>
    <t>user_973@company.com</t>
  </si>
  <si>
    <t>TXN-1974</t>
  </si>
  <si>
    <t>user_974@company.com</t>
  </si>
  <si>
    <t>TXN-1975</t>
  </si>
  <si>
    <t>user_975@company.com</t>
  </si>
  <si>
    <t>TXN-1976</t>
  </si>
  <si>
    <t>user_976@company.com</t>
  </si>
  <si>
    <t>TXN-1977</t>
  </si>
  <si>
    <t>user_977@company.com</t>
  </si>
  <si>
    <t>TXN-1978</t>
  </si>
  <si>
    <t>user_978@company.com</t>
  </si>
  <si>
    <t>TXN-1979</t>
  </si>
  <si>
    <t>user_979@company.com</t>
  </si>
  <si>
    <t>TXN-1980</t>
  </si>
  <si>
    <t>TXN-1981</t>
  </si>
  <si>
    <t>user_981@company.com</t>
  </si>
  <si>
    <t>TXN-1982</t>
  </si>
  <si>
    <t>user_982@company.com</t>
  </si>
  <si>
    <t>TXN-1983</t>
  </si>
  <si>
    <t>user_983@company.com</t>
  </si>
  <si>
    <t>TXN-1984</t>
  </si>
  <si>
    <t>user_984@company.com</t>
  </si>
  <si>
    <t>TXN-1985</t>
  </si>
  <si>
    <t>user_985@company.com</t>
  </si>
  <si>
    <t>TXN-1986</t>
  </si>
  <si>
    <t>user_986@company.com</t>
  </si>
  <si>
    <t>TXN-1987</t>
  </si>
  <si>
    <t>user_987@company.com</t>
  </si>
  <si>
    <t>TXN-1988</t>
  </si>
  <si>
    <t>user_988@company.com</t>
  </si>
  <si>
    <t>TXN-1989</t>
  </si>
  <si>
    <t>user_989@company.com</t>
  </si>
  <si>
    <t>TXN-1990</t>
  </si>
  <si>
    <t>user_990@company.com</t>
  </si>
  <si>
    <t>TXN-1991</t>
  </si>
  <si>
    <t>user_991@company.com</t>
  </si>
  <si>
    <t>TXN-1992</t>
  </si>
  <si>
    <t>user_992@company.com</t>
  </si>
  <si>
    <t>TXN-1993</t>
  </si>
  <si>
    <t>user_993@company.com</t>
  </si>
  <si>
    <t>TXN-1994</t>
  </si>
  <si>
    <t>user_994@company.com</t>
  </si>
  <si>
    <t>TXN-1995</t>
  </si>
  <si>
    <t>TXN-1996</t>
  </si>
  <si>
    <t>user_996@company.com</t>
  </si>
  <si>
    <t>TXN-1997</t>
  </si>
  <si>
    <t>user_997@company.com</t>
  </si>
  <si>
    <t>TXN-1998</t>
  </si>
  <si>
    <t>user_998@company.com</t>
  </si>
  <si>
    <t>TXN-1999</t>
  </si>
  <si>
    <t>user_999@company.com</t>
  </si>
  <si>
    <t>TXN-2000</t>
  </si>
  <si>
    <t>user_1000@company.com</t>
  </si>
  <si>
    <t>TXN-2001</t>
  </si>
  <si>
    <t>user_1001@company.com</t>
  </si>
  <si>
    <t>TXN-2002</t>
  </si>
  <si>
    <t>user_1002@company.com</t>
  </si>
  <si>
    <t>TXN-2003</t>
  </si>
  <si>
    <t>user_1003@company.com</t>
  </si>
  <si>
    <t>TXN-2004</t>
  </si>
  <si>
    <t>user_1004@company.com</t>
  </si>
  <si>
    <t>TXN-2005</t>
  </si>
  <si>
    <t>user_1005@company.com</t>
  </si>
  <si>
    <t>TXN-2006</t>
  </si>
  <si>
    <t>user_1006@company.com</t>
  </si>
  <si>
    <t>TXN-2007</t>
  </si>
  <si>
    <t>user_1007@company.com</t>
  </si>
  <si>
    <t>TXN-2008</t>
  </si>
  <si>
    <t>user_1008@company.com</t>
  </si>
  <si>
    <t>TXN-2009</t>
  </si>
  <si>
    <t>user_1009@company.com</t>
  </si>
  <si>
    <t>TXN-2010</t>
  </si>
  <si>
    <t>user_1010@company.com</t>
  </si>
  <si>
    <t>TXN-2011</t>
  </si>
  <si>
    <t>user_1011@company.com</t>
  </si>
  <si>
    <t>TXN-2012</t>
  </si>
  <si>
    <t>user_1012@company.com</t>
  </si>
  <si>
    <t>TXN-2013</t>
  </si>
  <si>
    <t>user_1013@company.com</t>
  </si>
  <si>
    <t>TXN-2014</t>
  </si>
  <si>
    <t>user_1014@company.com</t>
  </si>
  <si>
    <t>TXN-2015</t>
  </si>
  <si>
    <t>user_1015@company.com</t>
  </si>
  <si>
    <t>TXN-2016</t>
  </si>
  <si>
    <t>user_1016@company.com</t>
  </si>
  <si>
    <t>TXN-2017</t>
  </si>
  <si>
    <t>user_1017@company.com</t>
  </si>
  <si>
    <t>TXN-2018</t>
  </si>
  <si>
    <t>user_1018@company.com</t>
  </si>
  <si>
    <t>TXN-2020</t>
  </si>
  <si>
    <t>user_1020@company.com</t>
  </si>
  <si>
    <t>TXN-2021</t>
  </si>
  <si>
    <t>user_1021@company.com</t>
  </si>
  <si>
    <t>TXN-2022</t>
  </si>
  <si>
    <t>user_1022@company.com</t>
  </si>
  <si>
    <t>TXN-2023</t>
  </si>
  <si>
    <t>user_1023@company.com</t>
  </si>
  <si>
    <t>TXN-2024</t>
  </si>
  <si>
    <t>user_1024@company.com</t>
  </si>
  <si>
    <t>TXN-2025</t>
  </si>
  <si>
    <t>user_1025@company.com</t>
  </si>
  <si>
    <t>TXN-2026</t>
  </si>
  <si>
    <t>user_1026@company.com</t>
  </si>
  <si>
    <t>TXN-2027</t>
  </si>
  <si>
    <t>user_1027@company.com</t>
  </si>
  <si>
    <t>TXN-2028</t>
  </si>
  <si>
    <t>user_1028@company.com</t>
  </si>
  <si>
    <t>TXN-2029</t>
  </si>
  <si>
    <t>user_1029@company.com</t>
  </si>
  <si>
    <t>TXN-2030</t>
  </si>
  <si>
    <t>user_1030@company.com</t>
  </si>
  <si>
    <t>TXN-2031</t>
  </si>
  <si>
    <t>TXN-2032</t>
  </si>
  <si>
    <t>user_1032@company.com</t>
  </si>
  <si>
    <t>TXN-2033</t>
  </si>
  <si>
    <t>user_1033@company.com</t>
  </si>
  <si>
    <t>TXN-2034</t>
  </si>
  <si>
    <t>user_1034@company.com</t>
  </si>
  <si>
    <t>TXN-2035</t>
  </si>
  <si>
    <t>user_1035@company.com</t>
  </si>
  <si>
    <t>TXN-2036</t>
  </si>
  <si>
    <t>user_1036@company.com</t>
  </si>
  <si>
    <t>TXN-2037</t>
  </si>
  <si>
    <t>user_1037@company.com</t>
  </si>
  <si>
    <t>TXN-2038</t>
  </si>
  <si>
    <t>user_1038@company.com</t>
  </si>
  <si>
    <t>TXN-2039</t>
  </si>
  <si>
    <t>user_1039@company.com</t>
  </si>
  <si>
    <t>TXN-2041</t>
  </si>
  <si>
    <t>user_1041@company.com</t>
  </si>
  <si>
    <t>TXN-2042</t>
  </si>
  <si>
    <t>user_1042@company.com</t>
  </si>
  <si>
    <t>TXN-2043</t>
  </si>
  <si>
    <t>user_1043@company.com</t>
  </si>
  <si>
    <t>TXN-2044</t>
  </si>
  <si>
    <t>user_1044@company.com</t>
  </si>
  <si>
    <t>TXN-2045</t>
  </si>
  <si>
    <t>user_1045@company.com</t>
  </si>
  <si>
    <t>TXN-2046</t>
  </si>
  <si>
    <t>user_1046@company.com</t>
  </si>
  <si>
    <t>TXN-2047</t>
  </si>
  <si>
    <t>user_1047@company.com</t>
  </si>
  <si>
    <t>TXN-2048</t>
  </si>
  <si>
    <t>user_1048@company.com</t>
  </si>
  <si>
    <t>TXN-2049</t>
  </si>
  <si>
    <t>user_1049@company.com</t>
  </si>
  <si>
    <t>TXN-2050</t>
  </si>
  <si>
    <t>user_1050@company.com</t>
  </si>
  <si>
    <t>TXN-2051</t>
  </si>
  <si>
    <t>user_1051@company.com</t>
  </si>
  <si>
    <t>TXN-2052</t>
  </si>
  <si>
    <t>user_1052@company.com</t>
  </si>
  <si>
    <t>TXN-2053</t>
  </si>
  <si>
    <t>user_1053@company.com</t>
  </si>
  <si>
    <t>TXN-2054</t>
  </si>
  <si>
    <t>user_1054@company.com</t>
  </si>
  <si>
    <t>TXN-2055</t>
  </si>
  <si>
    <t>user_1055@company.com</t>
  </si>
  <si>
    <t>TXN-2056</t>
  </si>
  <si>
    <t>TXN-2057</t>
  </si>
  <si>
    <t>user_1057@company.com</t>
  </si>
  <si>
    <t>TXN-2058</t>
  </si>
  <si>
    <t>user_1058@company.com</t>
  </si>
  <si>
    <t>TXN-2059</t>
  </si>
  <si>
    <t>user_1059@company.com</t>
  </si>
  <si>
    <t>TXN-2060</t>
  </si>
  <si>
    <t>user_1060@company.com</t>
  </si>
  <si>
    <t>TXN-2061</t>
  </si>
  <si>
    <t>user_1061@company.com</t>
  </si>
  <si>
    <t>TXN-2062</t>
  </si>
  <si>
    <t>user_1062@company.com</t>
  </si>
  <si>
    <t>TXN-2063</t>
  </si>
  <si>
    <t>TXN-2064</t>
  </si>
  <si>
    <t>TXN-2065</t>
  </si>
  <si>
    <t>user_1065@company.com</t>
  </si>
  <si>
    <t>TXN-2066</t>
  </si>
  <si>
    <t>user_1066@company.com</t>
  </si>
  <si>
    <t>TXN-2067</t>
  </si>
  <si>
    <t>user_1067@company.com</t>
  </si>
  <si>
    <t>TXN-2068</t>
  </si>
  <si>
    <t>user_1068@company.com</t>
  </si>
  <si>
    <t>TXN-2069</t>
  </si>
  <si>
    <t>TXN-2070</t>
  </si>
  <si>
    <t>user_1070@company.com</t>
  </si>
  <si>
    <t>TXN-2071</t>
  </si>
  <si>
    <t>user_1071@company.com</t>
  </si>
  <si>
    <t>TXN-2072</t>
  </si>
  <si>
    <t>user_1072@company.com</t>
  </si>
  <si>
    <t>TXN-2073</t>
  </si>
  <si>
    <t>user_1073@company.com</t>
  </si>
  <si>
    <t>TXN-2074</t>
  </si>
  <si>
    <t>user_1074@company.com</t>
  </si>
  <si>
    <t>TXN-2075</t>
  </si>
  <si>
    <t>user_1075@company.com</t>
  </si>
  <si>
    <t>TXN-2076</t>
  </si>
  <si>
    <t>user_1076@company.com</t>
  </si>
  <si>
    <t>TXN-2077</t>
  </si>
  <si>
    <t>TXN-2078</t>
  </si>
  <si>
    <t>user_1078@company.com</t>
  </si>
  <si>
    <t>TXN-2079</t>
  </si>
  <si>
    <t>user_1079@company.com</t>
  </si>
  <si>
    <t>TXN-2080</t>
  </si>
  <si>
    <t>user_1080@company.com</t>
  </si>
  <si>
    <t>TXN-2081</t>
  </si>
  <si>
    <t>user_1081@company.com</t>
  </si>
  <si>
    <t>TXN-2082</t>
  </si>
  <si>
    <t>user_1082@company.com</t>
  </si>
  <si>
    <t>TXN-2083</t>
  </si>
  <si>
    <t>user_1083@company.com</t>
  </si>
  <si>
    <t>TXN-2084</t>
  </si>
  <si>
    <t>user_1084@company.com</t>
  </si>
  <si>
    <t>TXN-2085</t>
  </si>
  <si>
    <t>user_1085@company.com</t>
  </si>
  <si>
    <t>TXN-2086</t>
  </si>
  <si>
    <t>user_1086@company.com</t>
  </si>
  <si>
    <t>TXN-2087</t>
  </si>
  <si>
    <t>user_1087@company.com</t>
  </si>
  <si>
    <t>TXN-2088</t>
  </si>
  <si>
    <t>user_1088@company.com</t>
  </si>
  <si>
    <t>TXN-2089</t>
  </si>
  <si>
    <t>user_1089@company.com</t>
  </si>
  <si>
    <t>TXN-2090</t>
  </si>
  <si>
    <t>user_1090@company.com</t>
  </si>
  <si>
    <t>TXN-2091</t>
  </si>
  <si>
    <t>user_1091@company.com</t>
  </si>
  <si>
    <t>TXN-2092</t>
  </si>
  <si>
    <t>user_1092@company.com</t>
  </si>
  <si>
    <t>TXN-2093</t>
  </si>
  <si>
    <t>user_1093@company.com</t>
  </si>
  <si>
    <t>TXN-2094</t>
  </si>
  <si>
    <t>TXN-2095</t>
  </si>
  <si>
    <t>user_1095@company.com</t>
  </si>
  <si>
    <t>TXN-2096</t>
  </si>
  <si>
    <t>user_1096@company.com</t>
  </si>
  <si>
    <t>TXN-2097</t>
  </si>
  <si>
    <t>user_1097@company.com</t>
  </si>
  <si>
    <t>TXN-2098</t>
  </si>
  <si>
    <t>user_1098@company.com</t>
  </si>
  <si>
    <t>TXN-2099</t>
  </si>
  <si>
    <t>user_1099@company.com</t>
  </si>
  <si>
    <t>TXN-2100</t>
  </si>
  <si>
    <t>user_1100@company.com</t>
  </si>
  <si>
    <t>TXN-2101</t>
  </si>
  <si>
    <t>TXN-2102</t>
  </si>
  <si>
    <t>user_1102@company.com</t>
  </si>
  <si>
    <t>TXN-2103</t>
  </si>
  <si>
    <t>TXN-2104</t>
  </si>
  <si>
    <t>user_1104@company.com</t>
  </si>
  <si>
    <t>TXN-2105</t>
  </si>
  <si>
    <t>user_1105@company.com</t>
  </si>
  <si>
    <t>TXN-2106</t>
  </si>
  <si>
    <t>user_1106@company.com</t>
  </si>
  <si>
    <t>TXN-2107</t>
  </si>
  <si>
    <t>user_1107@company.com</t>
  </si>
  <si>
    <t>TXN-2108</t>
  </si>
  <si>
    <t>user_1108@company.com</t>
  </si>
  <si>
    <t>TXN-2109</t>
  </si>
  <si>
    <t>user_1109@company.com</t>
  </si>
  <si>
    <t>TXN-2110</t>
  </si>
  <si>
    <t>user_1110@company.com</t>
  </si>
  <si>
    <t>TXN-2111</t>
  </si>
  <si>
    <t>user_1111@company.com</t>
  </si>
  <si>
    <t>TXN-2112</t>
  </si>
  <si>
    <t>user_1112@company.com</t>
  </si>
  <si>
    <t>TXN-2113</t>
  </si>
  <si>
    <t>user_1113@company.com</t>
  </si>
  <si>
    <t>TXN-2114</t>
  </si>
  <si>
    <t>user_1114@company.com</t>
  </si>
  <si>
    <t>TXN-2115</t>
  </si>
  <si>
    <t>user_1115@company.com</t>
  </si>
  <si>
    <t>TXN-2116</t>
  </si>
  <si>
    <t>user_1116@company.com</t>
  </si>
  <si>
    <t>TXN-2117</t>
  </si>
  <si>
    <t>user_1117@company.com</t>
  </si>
  <si>
    <t>TXN-2118</t>
  </si>
  <si>
    <t>user_1118@company.com</t>
  </si>
  <si>
    <t>TXN-2119</t>
  </si>
  <si>
    <t>user_1119@company.com</t>
  </si>
  <si>
    <t>TXN-2120</t>
  </si>
  <si>
    <t>user_1120@company.com</t>
  </si>
  <si>
    <t>TXN-2121</t>
  </si>
  <si>
    <t>user_1121@company.com</t>
  </si>
  <si>
    <t>TXN-2122</t>
  </si>
  <si>
    <t>user_1122@company.com</t>
  </si>
  <si>
    <t>TXN-2123</t>
  </si>
  <si>
    <t>user_1123@company.com</t>
  </si>
  <si>
    <t>TXN-2124</t>
  </si>
  <si>
    <t>user_1124@company.com</t>
  </si>
  <si>
    <t>TXN-2125</t>
  </si>
  <si>
    <t>user_1125@company.com</t>
  </si>
  <si>
    <t>TXN-2126</t>
  </si>
  <si>
    <t>user_1126@company.com</t>
  </si>
  <si>
    <t>TXN-2127</t>
  </si>
  <si>
    <t>user_1127@company.com</t>
  </si>
  <si>
    <t>TXN-2128</t>
  </si>
  <si>
    <t>user_1128@company.com</t>
  </si>
  <si>
    <t>TXN-2129</t>
  </si>
  <si>
    <t>user_1129@company.com</t>
  </si>
  <si>
    <t>TXN-2130</t>
  </si>
  <si>
    <t>user_1130@company.com</t>
  </si>
  <si>
    <t>TXN-2131</t>
  </si>
  <si>
    <t>user_1131@company.com</t>
  </si>
  <si>
    <t>TXN-2132</t>
  </si>
  <si>
    <t>user_1132@company.com</t>
  </si>
  <si>
    <t>TXN-2133</t>
  </si>
  <si>
    <t>TXN-2135</t>
  </si>
  <si>
    <t>user_1135@company.com</t>
  </si>
  <si>
    <t>TXN-2136</t>
  </si>
  <si>
    <t>user_1136@company.com</t>
  </si>
  <si>
    <t>TXN-2137</t>
  </si>
  <si>
    <t>user_1137@company.com</t>
  </si>
  <si>
    <t>TXN-2138</t>
  </si>
  <si>
    <t>user_1138@company.com</t>
  </si>
  <si>
    <t>TXN-2139</t>
  </si>
  <si>
    <t>user_1139@company.com</t>
  </si>
  <si>
    <t>TXN-2140</t>
  </si>
  <si>
    <t>user_1140@company.com</t>
  </si>
  <si>
    <t>TXN-2141</t>
  </si>
  <si>
    <t>user_1141@company.com</t>
  </si>
  <si>
    <t>TXN-2142</t>
  </si>
  <si>
    <t>user_1142@company.com</t>
  </si>
  <si>
    <t>TXN-2143</t>
  </si>
  <si>
    <t>user_1143@company.com</t>
  </si>
  <si>
    <t>TXN-2144</t>
  </si>
  <si>
    <t>user_1144@company.com</t>
  </si>
  <si>
    <t>TXN-2145</t>
  </si>
  <si>
    <t>user_1145@company.com</t>
  </si>
  <si>
    <t>TXN-2146</t>
  </si>
  <si>
    <t>user_1146@company.com</t>
  </si>
  <si>
    <t>TXN-2147</t>
  </si>
  <si>
    <t>user_1147@company.com</t>
  </si>
  <si>
    <t>TXN-2148</t>
  </si>
  <si>
    <t>user_1148@company.com</t>
  </si>
  <si>
    <t>TXN-2149</t>
  </si>
  <si>
    <t>user_1149@company.com</t>
  </si>
  <si>
    <t>TXN-2150</t>
  </si>
  <si>
    <t>user_1150@company.com</t>
  </si>
  <si>
    <t>TXN-2151</t>
  </si>
  <si>
    <t>user_1151@company.com</t>
  </si>
  <si>
    <t>TXN-2152</t>
  </si>
  <si>
    <t>user_1152@company.com</t>
  </si>
  <si>
    <t>TXN-2153</t>
  </si>
  <si>
    <t>user_1153@company.com</t>
  </si>
  <si>
    <t>TXN-2154</t>
  </si>
  <si>
    <t>user_1154@company.com</t>
  </si>
  <si>
    <t>TXN-2155</t>
  </si>
  <si>
    <t>TXN-2156</t>
  </si>
  <si>
    <t>user_1156@company.com</t>
  </si>
  <si>
    <t>TXN-2157</t>
  </si>
  <si>
    <t>user_1157@company.com</t>
  </si>
  <si>
    <t>TXN-2158</t>
  </si>
  <si>
    <t>user_1158@company.com</t>
  </si>
  <si>
    <t>TXN-2159</t>
  </si>
  <si>
    <t>user_1159@company.com</t>
  </si>
  <si>
    <t>TXN-2160</t>
  </si>
  <si>
    <t>user_1160@company.com</t>
  </si>
  <si>
    <t>TXN-2161</t>
  </si>
  <si>
    <t>user_1161@company.com</t>
  </si>
  <si>
    <t>TXN-2162</t>
  </si>
  <si>
    <t>user_1162@company.com</t>
  </si>
  <si>
    <t>TXN-2163</t>
  </si>
  <si>
    <t>user_1163@company.com</t>
  </si>
  <si>
    <t>TXN-2164</t>
  </si>
  <si>
    <t>user_1164@company.com</t>
  </si>
  <si>
    <t>TXN-2165</t>
  </si>
  <si>
    <t>user_1165@company.com</t>
  </si>
  <si>
    <t>TXN-2166</t>
  </si>
  <si>
    <t>user_1166@company.com</t>
  </si>
  <si>
    <t>TXN-2167</t>
  </si>
  <si>
    <t>user_1167@company.com</t>
  </si>
  <si>
    <t>TXN-2168</t>
  </si>
  <si>
    <t>user_1168@company.com</t>
  </si>
  <si>
    <t>TXN-2169</t>
  </si>
  <si>
    <t>user_1169@company.com</t>
  </si>
  <si>
    <t>TXN-2170</t>
  </si>
  <si>
    <t>user_1170@company.com</t>
  </si>
  <si>
    <t>TXN-2171</t>
  </si>
  <si>
    <t>user_1171@company.com</t>
  </si>
  <si>
    <t>TXN-2172</t>
  </si>
  <si>
    <t>user_1172@company.com</t>
  </si>
  <si>
    <t>TXN-2173</t>
  </si>
  <si>
    <t>user_1173@company.com</t>
  </si>
  <si>
    <t>TXN-2174</t>
  </si>
  <si>
    <t>user_1174@company.com</t>
  </si>
  <si>
    <t>TXN-2175</t>
  </si>
  <si>
    <t>user_1175@company.com</t>
  </si>
  <si>
    <t>TXN-2176</t>
  </si>
  <si>
    <t>TXN-2177</t>
  </si>
  <si>
    <t>user_1177@company.com</t>
  </si>
  <si>
    <t>TXN-2178</t>
  </si>
  <si>
    <t>TXN-2179</t>
  </si>
  <si>
    <t>user_1179@company.com</t>
  </si>
  <si>
    <t>TXN-2180</t>
  </si>
  <si>
    <t>user_1180@company.com</t>
  </si>
  <si>
    <t>TXN-2181</t>
  </si>
  <si>
    <t>user_1181@company.com</t>
  </si>
  <si>
    <t>TXN-2182</t>
  </si>
  <si>
    <t>user_1182@company.com</t>
  </si>
  <si>
    <t>TXN-2183</t>
  </si>
  <si>
    <t>user_1183@company.com</t>
  </si>
  <si>
    <t>TXN-2184</t>
  </si>
  <si>
    <t>TXN-2185</t>
  </si>
  <si>
    <t>user_1185@company.com</t>
  </si>
  <si>
    <t>TXN-2186</t>
  </si>
  <si>
    <t>user_1186@company.com</t>
  </si>
  <si>
    <t>TXN-2187</t>
  </si>
  <si>
    <t>user_1187@company.com</t>
  </si>
  <si>
    <t>TXN-2188</t>
  </si>
  <si>
    <t>user_1188@company.com</t>
  </si>
  <si>
    <t>TXN-2189</t>
  </si>
  <si>
    <t>user_1189@company.com</t>
  </si>
  <si>
    <t>TXN-2190</t>
  </si>
  <si>
    <t>user_1190@company.com</t>
  </si>
  <si>
    <t>TXN-2191</t>
  </si>
  <si>
    <t>user_1191@company.com</t>
  </si>
  <si>
    <t>TXN-2192</t>
  </si>
  <si>
    <t>user_1192@company.com</t>
  </si>
  <si>
    <t>TXN-2193</t>
  </si>
  <si>
    <t>user_1193@company.com</t>
  </si>
  <si>
    <t>TXN-2194</t>
  </si>
  <si>
    <t>TXN-2195</t>
  </si>
  <si>
    <t>user_1195@company.com</t>
  </si>
  <si>
    <t>TXN-2196</t>
  </si>
  <si>
    <t>user_1196@company.com</t>
  </si>
  <si>
    <t>TXN-2197</t>
  </si>
  <si>
    <t>TXN-2198</t>
  </si>
  <si>
    <t>user_1198@company.com</t>
  </si>
  <si>
    <t>TXN-2199</t>
  </si>
  <si>
    <t>user_1199@company.com</t>
  </si>
  <si>
    <t>CleanedUnits_sold</t>
  </si>
  <si>
    <t>Cleaned_Unit_Price</t>
  </si>
  <si>
    <t>Cleaned_total_amount</t>
  </si>
  <si>
    <t>Row Labels</t>
  </si>
  <si>
    <t>Grand Total</t>
  </si>
  <si>
    <t>Cleaned_Category</t>
  </si>
  <si>
    <t>Office suppliers</t>
  </si>
  <si>
    <t>Furniture is lagging because far fewer orders are placed</t>
  </si>
  <si>
    <r>
      <t>Office Supplies ($547444.41)</t>
    </r>
    <r>
      <rPr>
        <sz val="11"/>
        <color theme="1"/>
        <rFont val="Aptos Narrow"/>
        <family val="2"/>
        <scheme val="minor"/>
      </rPr>
      <t xml:space="preserve"> and </t>
    </r>
    <r>
      <rPr>
        <b/>
        <sz val="11"/>
        <color theme="1"/>
        <rFont val="Aptos Narrow"/>
        <family val="2"/>
        <scheme val="minor"/>
      </rPr>
      <t>Electronics ($518708.38)</t>
    </r>
    <r>
      <rPr>
        <sz val="11"/>
        <color theme="1"/>
        <rFont val="Aptos Narrow"/>
        <family val="2"/>
        <scheme val="minor"/>
      </rPr>
      <t xml:space="preserve"> generate over </t>
    </r>
    <r>
      <rPr>
        <b/>
        <sz val="11"/>
        <color theme="1"/>
        <rFont val="Aptos Narrow"/>
        <family val="2"/>
        <scheme val="minor"/>
      </rPr>
      <t>75.01% of total revenue</t>
    </r>
    <r>
      <rPr>
        <sz val="11"/>
        <color theme="1"/>
        <rFont val="Aptos Narrow"/>
        <family val="2"/>
        <scheme val="minor"/>
      </rPr>
      <t>.</t>
    </r>
  </si>
  <si>
    <t>Average value per order</t>
  </si>
  <si>
    <t>Count of orders placed</t>
  </si>
  <si>
    <t>Because Furniture's average per order value  ($1146.88) is already near to electronic and office supplies, there is  no need to convince customers to spend more money per order . Only there is need to increase the number of transactions.</t>
  </si>
  <si>
    <t>Objective</t>
  </si>
  <si>
    <t>Objective:Which product categories drive have highest revenue  and where are our margin/volume growth opportunities?"</t>
  </si>
  <si>
    <r>
      <t xml:space="preserve"> Question:</t>
    </r>
    <r>
      <rPr>
        <sz val="11"/>
        <color theme="1"/>
        <rFont val="Aptos Narrow"/>
        <family val="2"/>
        <scheme val="minor"/>
      </rPr>
      <t xml:space="preserve"> </t>
    </r>
    <r>
      <rPr>
        <i/>
        <sz val="11"/>
        <color theme="1"/>
        <rFont val="Aptos Narrow"/>
        <family val="2"/>
        <scheme val="minor"/>
      </rPr>
      <t>Which sales region are outperforming, and where are we underpenetrated?</t>
    </r>
  </si>
  <si>
    <t>Scenario 3: Payment Method Preference &amp; Transaction Friction</t>
  </si>
  <si>
    <r>
      <t>Executive Question:</t>
    </r>
    <r>
      <rPr>
        <sz val="11"/>
        <color theme="1"/>
        <rFont val="Aptos Narrow"/>
        <family val="2"/>
        <scheme val="minor"/>
      </rPr>
      <t xml:space="preserve"> </t>
    </r>
    <r>
      <rPr>
        <i/>
        <sz val="11"/>
        <color theme="1"/>
        <rFont val="Aptos Narrow"/>
        <family val="2"/>
        <scheme val="minor"/>
      </rPr>
      <t>"How do customer payment behaviors impact transaction sizes, and what are processing risks?"</t>
    </r>
  </si>
  <si>
    <t>Order Count</t>
  </si>
  <si>
    <t>Total revenue</t>
  </si>
  <si>
    <t>category wise</t>
  </si>
  <si>
    <t>WEST</t>
  </si>
  <si>
    <t>REGION wise average value</t>
  </si>
  <si>
    <t xml:space="preserve">North </t>
  </si>
  <si>
    <t xml:space="preserve">South </t>
  </si>
  <si>
    <t>Percentage</t>
  </si>
  <si>
    <t>Unkown region</t>
  </si>
  <si>
    <t>Conclusion:</t>
  </si>
  <si>
    <r>
      <rPr>
        <b/>
        <sz val="11"/>
        <color theme="1"/>
        <rFont val="Aptos Narrow"/>
        <family val="2"/>
        <scheme val="minor"/>
      </rPr>
      <t>North Region</t>
    </r>
    <r>
      <rPr>
        <sz val="11"/>
        <color theme="1"/>
        <rFont val="Aptos Narrow"/>
        <family val="2"/>
        <scheme val="minor"/>
      </rPr>
      <t xml:space="preserve"> generates higher revenue($441091.61) i.e</t>
    </r>
    <r>
      <rPr>
        <b/>
        <sz val="11"/>
        <color theme="1"/>
        <rFont val="Aptos Narrow"/>
        <family val="2"/>
        <scheme val="minor"/>
      </rPr>
      <t xml:space="preserve"> 31%</t>
    </r>
    <r>
      <rPr>
        <sz val="11"/>
        <color theme="1"/>
        <rFont val="Aptos Narrow"/>
        <family val="2"/>
        <scheme val="minor"/>
      </rPr>
      <t xml:space="preserve"> of total revenue with an order count 354 which is higher than other regions</t>
    </r>
  </si>
  <si>
    <r>
      <rPr>
        <b/>
        <sz val="11"/>
        <color theme="1"/>
        <rFont val="Aptos Narrow"/>
        <family val="2"/>
        <scheme val="minor"/>
      </rPr>
      <t>South Region</t>
    </r>
    <r>
      <rPr>
        <sz val="11"/>
        <color theme="1"/>
        <rFont val="Aptos Narrow"/>
        <family val="2"/>
        <scheme val="minor"/>
      </rPr>
      <t xml:space="preserve"> suffers a decline in revenue(235341.18) i.e</t>
    </r>
    <r>
      <rPr>
        <b/>
        <sz val="11"/>
        <color theme="1"/>
        <rFont val="Aptos Narrow"/>
        <family val="2"/>
        <scheme val="minor"/>
      </rPr>
      <t xml:space="preserve"> 16.78%</t>
    </r>
    <r>
      <rPr>
        <sz val="11"/>
        <color theme="1"/>
        <rFont val="Aptos Narrow"/>
        <family val="2"/>
        <scheme val="minor"/>
      </rPr>
      <t xml:space="preserve"> of total revenue with a lower transactions of 222 orders and lower average value per order 1060.09 as compared to other regions</t>
    </r>
  </si>
  <si>
    <r>
      <rPr>
        <b/>
        <sz val="11"/>
        <color theme="1"/>
        <rFont val="Aptos Narrow"/>
        <family val="2"/>
        <scheme val="minor"/>
      </rPr>
      <t xml:space="preserve">West region </t>
    </r>
    <r>
      <rPr>
        <sz val="11"/>
        <color theme="1"/>
        <rFont val="Aptos Narrow"/>
        <family val="2"/>
        <scheme val="minor"/>
      </rPr>
      <t>has order count less than North but its average order value (1249.9) slightly above then North value(1246.02)</t>
    </r>
  </si>
  <si>
    <t>Recommendation:</t>
  </si>
  <si>
    <t>South Region should increase transaction count of orders which could increase revenue</t>
  </si>
  <si>
    <t>Increasing marketing spend in the West to generate higher order volume yields the highest revenue return per new customer acquired.</t>
  </si>
  <si>
    <t>Unknown region has 10% of revenue which could impact gegraphical location for salesrep and territory planning</t>
  </si>
  <si>
    <t>rategic Recommendations for Slide Deck</t>
  </si>
  <si>
    <r>
      <t>1. Replicate North's Playbook in the South:</t>
    </r>
    <r>
      <rPr>
        <sz val="11"/>
        <color theme="1"/>
        <rFont val="Arial"/>
        <family val="2"/>
      </rPr>
      <t xml:space="preserve"> Deploy targeted regional marketing campaigns and sales incentives in the South to raise both order frequency and average basket size ($1,096 $\rightarrow$ $1,250).</t>
    </r>
  </si>
  <si>
    <r>
      <t>2. Scale Volume in the West:</t>
    </r>
    <r>
      <rPr>
        <sz val="11"/>
        <color theme="1"/>
        <rFont val="Arial"/>
        <family val="2"/>
      </rPr>
      <t xml:space="preserve"> Invest customer acquisition budget in the West territory to capitalize on their high purchasing power ($1,289 AOV).</t>
    </r>
  </si>
  <si>
    <r>
      <t>3. Enforce Mandatory POS Region Tagging:</t>
    </r>
    <r>
      <rPr>
        <sz val="11"/>
        <color theme="1"/>
        <rFont val="Arial"/>
        <family val="2"/>
      </rPr>
      <t xml:space="preserve"> Update point-of-sale validation rules in Power Query/CRM to eliminate unassigned sales tags and recover full visibility on the $150.5K in unmapped revenue.</t>
    </r>
  </si>
  <si>
    <t>Payment wise average order value</t>
  </si>
  <si>
    <t>Paypal</t>
  </si>
  <si>
    <t>AOV</t>
  </si>
  <si>
    <t xml:space="preserve">Payment Mode </t>
  </si>
  <si>
    <t>Credit Card and Paypal have Average order value as 1203.55 and 1291.433 respectively because offer credit lines or flexibility, allowing buyers to make large, premium purchases without worrying about their liquid checking balance right at checkout.</t>
  </si>
  <si>
    <t>Debit Card AOV drops to 1128.42 because debit cards pull money directly and instantly from the customer's personal checking account. Customers are naturally more cautious or constrained by available account balances compared to buying on a credit card line.</t>
  </si>
  <si>
    <t>Credit Cards has 33% of total reevenue covered and  is highlyused by customers</t>
  </si>
  <si>
    <t>Cash accounts for 23% of total revenue and it has security risks, bank deposit delays, manual counting errors, and theft risks.</t>
  </si>
  <si>
    <t>Recommendation</t>
  </si>
  <si>
    <t>Provide more offers for digital payments over cash which helps to avoid cash store handling risk</t>
  </si>
  <si>
    <t>Target debit card users to use Pay later/Credit card options</t>
  </si>
  <si>
    <t xml:space="preserve">Payment mode should be logged by correcting any issue the api payment gateway to avoid 151403.7 amount gap </t>
  </si>
  <si>
    <t>Market Tier</t>
  </si>
  <si>
    <t>1. Retail (1-3 Units)</t>
  </si>
  <si>
    <t>2. Mid-Market (4-7 Units)</t>
  </si>
  <si>
    <t>3. Wholesale / Bulk (8+ Units)</t>
  </si>
  <si>
    <t>Non-Billable / Zero</t>
  </si>
  <si>
    <t>Executive Question: "What size orders are driving our business, and should we introduce tiered pricing or bulk discounts to grow large accounts?"</t>
  </si>
  <si>
    <t>Tier wise AOV</t>
  </si>
  <si>
    <t>Mid tier</t>
  </si>
  <si>
    <t>Retail</t>
  </si>
  <si>
    <t>Wholesale</t>
  </si>
  <si>
    <t>Non-Billable</t>
  </si>
  <si>
    <t xml:space="preserve"> Retail (1-3 Units)</t>
  </si>
  <si>
    <t xml:space="preserve"> Mid-Market (4-7 Units)</t>
  </si>
  <si>
    <t xml:space="preserve"> Wholesale / Bulk (8+ Units)</t>
  </si>
  <si>
    <t>Objective:</t>
  </si>
  <si>
    <t>65.2% of company revenue comes from mid-sized commercial orders purchasing 4 to 7 units with an AOV of 2227.06</t>
  </si>
  <si>
    <t>Tier wise Count</t>
  </si>
  <si>
    <t>Count of transactions</t>
  </si>
  <si>
    <t>For Wholesle units (8+units) which  is higher,the AOV is alos higher(2227.06)</t>
  </si>
  <si>
    <t>Unit price of order iWholesale</t>
  </si>
  <si>
    <t>Unit price of retail</t>
  </si>
  <si>
    <t>Unit prices for wholesale orders ($251.62/unit) are actually higher than small retail orders ($22463/unit) which means there no discounts applied to wholesale unit</t>
  </si>
  <si>
    <t>Retail units has 541.62 AOV .It means this category has less units with less aov which doesn’t make great profit</t>
  </si>
  <si>
    <t>Recommendations:</t>
  </si>
  <si>
    <t>Implement discount offers for wholesale units which can encourage cutomersto place bulk orders</t>
  </si>
  <si>
    <t>Total Revenue</t>
  </si>
  <si>
    <t>percentage</t>
  </si>
  <si>
    <t>To eliminate low-margin retail orders and increase customer spend per transaction need to set Minimum Order Thresholds or Free Shipping Minimums:</t>
  </si>
  <si>
    <t>total Revenue</t>
  </si>
  <si>
    <t>Percent of Total Revenue</t>
  </si>
  <si>
    <t>2023-07-13</t>
  </si>
  <si>
    <t>cc</t>
  </si>
  <si>
    <t>18-Nov-2023</t>
  </si>
  <si>
    <t xml:space="preserve"> north</t>
  </si>
  <si>
    <t>Office-Supplies</t>
  </si>
  <si>
    <t>CREDIT CARD</t>
  </si>
  <si>
    <t>2023-12-27</t>
  </si>
  <si>
    <t xml:space="preserve">EAST </t>
  </si>
  <si>
    <t>electronics</t>
  </si>
  <si>
    <t>2023-05-29</t>
  </si>
  <si>
    <t>NORTH</t>
  </si>
  <si>
    <t>Elec.</t>
  </si>
  <si>
    <t>5 pcs</t>
  </si>
  <si>
    <t>2023/02/21 00:00</t>
  </si>
  <si>
    <t>22-Nov-2023</t>
  </si>
  <si>
    <t>07/01/2023</t>
  </si>
  <si>
    <t>2023-12-26</t>
  </si>
  <si>
    <t>Debit</t>
  </si>
  <si>
    <t>03/29/2023</t>
  </si>
  <si>
    <t xml:space="preserve"> West</t>
  </si>
  <si>
    <t>14-Jul-2023</t>
  </si>
  <si>
    <t>11/24/2023</t>
  </si>
  <si>
    <t>01/29/2023</t>
  </si>
  <si>
    <t>2023/06/11 00:00</t>
  </si>
  <si>
    <t>19-Apr-2023</t>
  </si>
  <si>
    <t>OFFICE SUPPLIES</t>
  </si>
  <si>
    <t>2023/09/13 00:00</t>
  </si>
  <si>
    <t>2023/11/26 00:00</t>
  </si>
  <si>
    <t>03/13/2023</t>
  </si>
  <si>
    <t>03-Oct-2023</t>
  </si>
  <si>
    <t>2023/08/08 00:00</t>
  </si>
  <si>
    <t>2023/03/12 00:00</t>
  </si>
  <si>
    <t>31/11/2023</t>
  </si>
  <si>
    <t>11/18/2023</t>
  </si>
  <si>
    <t>2023-08-05</t>
  </si>
  <si>
    <t>2023/11/02 00:00</t>
  </si>
  <si>
    <t>2023-10-11</t>
  </si>
  <si>
    <t>28-Feb-2023</t>
  </si>
  <si>
    <t>2023-06-24</t>
  </si>
  <si>
    <t>CASH</t>
  </si>
  <si>
    <t>2023/03/22 00:00</t>
  </si>
  <si>
    <t>05/15/2023</t>
  </si>
  <si>
    <t>24-Feb-2023</t>
  </si>
  <si>
    <t>09/17/2023</t>
  </si>
  <si>
    <t>2023-03-24</t>
  </si>
  <si>
    <t>2023-09-08</t>
  </si>
  <si>
    <t>05-Jul-2023</t>
  </si>
  <si>
    <t>2023-05-04</t>
  </si>
  <si>
    <t>02/05/2023</t>
  </si>
  <si>
    <t>09/01/2023</t>
  </si>
  <si>
    <t>2023/11/07 00:00</t>
  </si>
  <si>
    <t>10/04/2023</t>
  </si>
  <si>
    <t>24-Jul-2023</t>
  </si>
  <si>
    <t>2023/09/22 00:00</t>
  </si>
  <si>
    <t>2023-04-26</t>
  </si>
  <si>
    <t>10/29/2023</t>
  </si>
  <si>
    <t>2023-01-04</t>
  </si>
  <si>
    <t>01/31/2023</t>
  </si>
  <si>
    <t>2023-02-30</t>
  </si>
  <si>
    <t>09/21/2023</t>
  </si>
  <si>
    <t>09/06/2023</t>
  </si>
  <si>
    <t>2023/10/20 00:00</t>
  </si>
  <si>
    <t>2023/08/31 00:00</t>
  </si>
  <si>
    <t>2023/02/19 00:00</t>
  </si>
  <si>
    <t>2023/07/30 00:00</t>
  </si>
  <si>
    <t>2023-01-28</t>
  </si>
  <si>
    <t>02/25/2023</t>
  </si>
  <si>
    <t>2023/10/02 00:00</t>
  </si>
  <si>
    <t>04-Apr-2023</t>
  </si>
  <si>
    <t>2023/02/08 00:00</t>
  </si>
  <si>
    <t>2023-10-09</t>
  </si>
  <si>
    <t>2023-01-08</t>
  </si>
  <si>
    <t>05/02/2023</t>
  </si>
  <si>
    <t>09/04/2023</t>
  </si>
  <si>
    <t>19-Jul-2023</t>
  </si>
  <si>
    <t>21-Aug-2023</t>
  </si>
  <si>
    <t>2023/10/12 00:00</t>
  </si>
  <si>
    <t>06/01/2023</t>
  </si>
  <si>
    <t>2023-10-24</t>
  </si>
  <si>
    <t>2023-01-30</t>
  </si>
  <si>
    <t>09/15/2023</t>
  </si>
  <si>
    <t>2023-04-06</t>
  </si>
  <si>
    <t>12/12/2023</t>
  </si>
  <si>
    <t>10/19/2023</t>
  </si>
  <si>
    <t>2023-01-21</t>
  </si>
  <si>
    <t>26-Oct-2023</t>
  </si>
  <si>
    <t>15-Apr-2023</t>
  </si>
  <si>
    <t>07/22/2023</t>
  </si>
  <si>
    <t>2023/06/03 00:00</t>
  </si>
  <si>
    <t>2023-02-07</t>
  </si>
  <si>
    <t>2023-10-16</t>
  </si>
  <si>
    <t>05/16/2023</t>
  </si>
  <si>
    <t>27-Dec-2023</t>
  </si>
  <si>
    <t>2023-12-01</t>
  </si>
  <si>
    <t>11-Oct-2023</t>
  </si>
  <si>
    <t>02/23/2023</t>
  </si>
  <si>
    <t>02/24/2023</t>
  </si>
  <si>
    <t>11/06/2023</t>
  </si>
  <si>
    <t>2023-05-09</t>
  </si>
  <si>
    <t>2023-05-22</t>
  </si>
  <si>
    <t>23-Nov-2023</t>
  </si>
  <si>
    <t>2023/08/15 00:00</t>
  </si>
  <si>
    <t>2023-02-27</t>
  </si>
  <si>
    <t>12/20/2023</t>
  </si>
  <si>
    <t>07/09/2023</t>
  </si>
  <si>
    <t>22-Jan-2023</t>
  </si>
  <si>
    <t>21-Jan-2023</t>
  </si>
  <si>
    <t>2023-05-08</t>
  </si>
  <si>
    <t>2023/10/14 00:00</t>
  </si>
  <si>
    <t>03/21/2023</t>
  </si>
  <si>
    <t>2023/04/01 00:00</t>
  </si>
  <si>
    <t>2023/06/20 00:00</t>
  </si>
  <si>
    <t>08-May-2023</t>
  </si>
  <si>
    <t>2023/01/20 00:00</t>
  </si>
  <si>
    <t>24-Aug-2023</t>
  </si>
  <si>
    <t>04/27/2023</t>
  </si>
  <si>
    <t>18-Jun-2023</t>
  </si>
  <si>
    <t>23-May-2023</t>
  </si>
  <si>
    <t>01-Mar-2023</t>
  </si>
  <si>
    <t>2023-05-16</t>
  </si>
  <si>
    <t>11-Aug-2023</t>
  </si>
  <si>
    <t>2023/06/10 00:00</t>
  </si>
  <si>
    <t>2023-09-19</t>
  </si>
  <si>
    <t>10/23/2023</t>
  </si>
  <si>
    <t>2023/12/29 00:00</t>
  </si>
  <si>
    <t>10/03/2023</t>
  </si>
  <si>
    <t>05-Feb-2023</t>
  </si>
  <si>
    <t>2023-12-06</t>
  </si>
  <si>
    <t>03-Jun-2023</t>
  </si>
  <si>
    <t>2023/06/17 00:00</t>
  </si>
  <si>
    <t>10/11/2023</t>
  </si>
  <si>
    <t>2023/12/07 00:00</t>
  </si>
  <si>
    <t>31-Mar-2023</t>
  </si>
  <si>
    <t>01-Jan-2023</t>
  </si>
  <si>
    <t>09-Aug-2023</t>
  </si>
  <si>
    <t>08/15/2023</t>
  </si>
  <si>
    <t>2023-03-28</t>
  </si>
  <si>
    <t>06-Dec-2023</t>
  </si>
  <si>
    <t>01-May-2023</t>
  </si>
  <si>
    <t>04/12/2023</t>
  </si>
  <si>
    <t>2023-09-01</t>
  </si>
  <si>
    <t>11/19/2023</t>
  </si>
  <si>
    <t>2023/07/16 00:00</t>
  </si>
  <si>
    <t>2023-03-17</t>
  </si>
  <si>
    <t>2023/02/24 00:00</t>
  </si>
  <si>
    <t>2023/12/23 00:00</t>
  </si>
  <si>
    <t>user_154@company.com</t>
  </si>
  <si>
    <t>2023/03/04 00:00</t>
  </si>
  <si>
    <t>26-Aug-2023</t>
  </si>
  <si>
    <t>2023/10/08 00:00</t>
  </si>
  <si>
    <t>2023/09/01 00:00</t>
  </si>
  <si>
    <t>07-May-2023</t>
  </si>
  <si>
    <t>user_161@company.com</t>
  </si>
  <si>
    <t>2023/09/24 00:00</t>
  </si>
  <si>
    <t>2023/05/21 00:00</t>
  </si>
  <si>
    <t>20-May-2023</t>
  </si>
  <si>
    <t>2023-10-04</t>
  </si>
  <si>
    <t>2023/04/29 00:00</t>
  </si>
  <si>
    <t>12/28/2023</t>
  </si>
  <si>
    <t>2023/10/05 00:00</t>
  </si>
  <si>
    <t>2023/04/16 00:00</t>
  </si>
  <si>
    <t>2023-10-27</t>
  </si>
  <si>
    <t>2023/10/22 00:00</t>
  </si>
  <si>
    <t>30-Jun-2023</t>
  </si>
  <si>
    <t>08/03/2023</t>
  </si>
  <si>
    <t>2023/05/20 00:00</t>
  </si>
  <si>
    <t>07/27/2023</t>
  </si>
  <si>
    <t>2023-03-07</t>
  </si>
  <si>
    <t>2023-10-31</t>
  </si>
  <si>
    <t>08/25/2023</t>
  </si>
  <si>
    <t>2023/04/19 00:00</t>
  </si>
  <si>
    <t>04-Aug-2023</t>
  </si>
  <si>
    <t>2023-08-29</t>
  </si>
  <si>
    <t>27-Jan-2023</t>
  </si>
  <si>
    <t>2023-02-05</t>
  </si>
  <si>
    <t>05/07/2023</t>
  </si>
  <si>
    <t>11/15/2023</t>
  </si>
  <si>
    <t>2023-08-31</t>
  </si>
  <si>
    <t>2023/04/22 00:00</t>
  </si>
  <si>
    <t>07/08/2023</t>
  </si>
  <si>
    <t>02/28/2023</t>
  </si>
  <si>
    <t>2023-02-25</t>
  </si>
  <si>
    <t>2023-04-12</t>
  </si>
  <si>
    <t>2023-06-04</t>
  </si>
  <si>
    <t>2023-10-17</t>
  </si>
  <si>
    <t>08-Aug-2023</t>
  </si>
  <si>
    <t>2023/01/07 00:00</t>
  </si>
  <si>
    <t>2023/11/22 00:00</t>
  </si>
  <si>
    <t>08/11/2023</t>
  </si>
  <si>
    <t>30-Nov-2023</t>
  </si>
  <si>
    <t>2023/10/03 00:00</t>
  </si>
  <si>
    <t>31-Oct-2023</t>
  </si>
  <si>
    <t>2023-05-06</t>
  </si>
  <si>
    <t>08/19/2023</t>
  </si>
  <si>
    <t>2023/10/19 00:00</t>
  </si>
  <si>
    <t>11-Sep-2023</t>
  </si>
  <si>
    <t>24-Jun-2023</t>
  </si>
  <si>
    <t>26-Dec-2023</t>
  </si>
  <si>
    <t>09/22/2023</t>
  </si>
  <si>
    <t>09/08/2023</t>
  </si>
  <si>
    <t>2023/11/27 00:00</t>
  </si>
  <si>
    <t>2023-01-09</t>
  </si>
  <si>
    <t>25-Oct-2023</t>
  </si>
  <si>
    <t>29-Sep-2023</t>
  </si>
  <si>
    <t>09-Oct-2023</t>
  </si>
  <si>
    <t>2023-04-29</t>
  </si>
  <si>
    <t>2023-06-11</t>
  </si>
  <si>
    <t>05-Sep-2023</t>
  </si>
  <si>
    <t>26-Sep-2023</t>
  </si>
  <si>
    <t>10-Apr-2023</t>
  </si>
  <si>
    <t>02-Apr-2023</t>
  </si>
  <si>
    <t>2023-05-21</t>
  </si>
  <si>
    <t>2023/03/06 00:00</t>
  </si>
  <si>
    <t>07-Jan-2023</t>
  </si>
  <si>
    <t>14-Aug-2023</t>
  </si>
  <si>
    <t>2023-09-02</t>
  </si>
  <si>
    <t>2023/07/25 00:00</t>
  </si>
  <si>
    <t>01/28/2023</t>
  </si>
  <si>
    <t>16-Oct-2023</t>
  </si>
  <si>
    <t>2023/10/13 00:00</t>
  </si>
  <si>
    <t>11/13/2023</t>
  </si>
  <si>
    <t>2023/07/14 00:00</t>
  </si>
  <si>
    <t>2023/06/02 00:00</t>
  </si>
  <si>
    <t>2023-11-14</t>
  </si>
  <si>
    <t>02/20/2023</t>
  </si>
  <si>
    <t>2023-03-30</t>
  </si>
  <si>
    <t>2023/07/29 00:00</t>
  </si>
  <si>
    <t>29-Aug-2023</t>
  </si>
  <si>
    <t>2023/05/25 00:00</t>
  </si>
  <si>
    <t>10/06/2023</t>
  </si>
  <si>
    <t>05/17/2023</t>
  </si>
  <si>
    <t>07-Jun-2023</t>
  </si>
  <si>
    <t>28-Aug-2023</t>
  </si>
  <si>
    <t>2023-11-03</t>
  </si>
  <si>
    <t>15-Jun-2023</t>
  </si>
  <si>
    <t>2023-12-12</t>
  </si>
  <si>
    <t>11-Dec-2023</t>
  </si>
  <si>
    <t>2023/03/31 00:00</t>
  </si>
  <si>
    <t>15-Aug-2023</t>
  </si>
  <si>
    <t>2023/10/27 00:00</t>
  </si>
  <si>
    <t>2023-09-09</t>
  </si>
  <si>
    <t>29-Jul-2023</t>
  </si>
  <si>
    <t>user_278@company.com</t>
  </si>
  <si>
    <t>2023/12/22 00:00</t>
  </si>
  <si>
    <t>2023-07-25</t>
  </si>
  <si>
    <t>11-Jun-2023</t>
  </si>
  <si>
    <t>2023-07-26</t>
  </si>
  <si>
    <t>07-Apr-2023</t>
  </si>
  <si>
    <t>2023/05/28 00:00</t>
  </si>
  <si>
    <t>2023-09-06</t>
  </si>
  <si>
    <t>user_289@company.com</t>
  </si>
  <si>
    <t>05/03/2023</t>
  </si>
  <si>
    <t>2023/01/08 00:00</t>
  </si>
  <si>
    <t>2023/02/28 00:00</t>
  </si>
  <si>
    <t>11/28/2023</t>
  </si>
  <si>
    <t>30-May-2023</t>
  </si>
  <si>
    <t>2023/09/05 00:00</t>
  </si>
  <si>
    <t>10/10/2023</t>
  </si>
  <si>
    <t>11/03/2023</t>
  </si>
  <si>
    <t>2023/05/22 00:00</t>
  </si>
  <si>
    <t>17-Sep-2023</t>
  </si>
  <si>
    <t>25-May-2023</t>
  </si>
  <si>
    <t>2023/10/24 00:00</t>
  </si>
  <si>
    <t>2023/08/17 00:00</t>
  </si>
  <si>
    <t>2023/10/10 00:00</t>
  </si>
  <si>
    <t>06/14/2023</t>
  </si>
  <si>
    <t>2023/05/03 00:00</t>
  </si>
  <si>
    <t>2023-07-30</t>
  </si>
  <si>
    <t>12/06/2023</t>
  </si>
  <si>
    <t>user_309@company.com</t>
  </si>
  <si>
    <t>01/19/2023</t>
  </si>
  <si>
    <t>30-Oct-2023</t>
  </si>
  <si>
    <t>2023-08-14</t>
  </si>
  <si>
    <t>2023-08-22</t>
  </si>
  <si>
    <t>07/29/2023</t>
  </si>
  <si>
    <t>16-May-2023</t>
  </si>
  <si>
    <t>2023-07-23</t>
  </si>
  <si>
    <t>2023/12/12 00:00</t>
  </si>
  <si>
    <t>2023/11/17 00:00</t>
  </si>
  <si>
    <t>2023-01-19</t>
  </si>
  <si>
    <t>17-Dec-2023</t>
  </si>
  <si>
    <t>2023/02/16 00:00</t>
  </si>
  <si>
    <t>2023-11-21</t>
  </si>
  <si>
    <t>22-Dec-2023</t>
  </si>
  <si>
    <t>24-Jan-2023</t>
  </si>
  <si>
    <t>31-May-2023</t>
  </si>
  <si>
    <t>03/16/2023</t>
  </si>
  <si>
    <t>10/17/2023</t>
  </si>
  <si>
    <t>user_328@company.com</t>
  </si>
  <si>
    <t>2023/02/10 00:00</t>
  </si>
  <si>
    <t>2023/05/04 00:00</t>
  </si>
  <si>
    <t>03/15/2023</t>
  </si>
  <si>
    <t>2023/05/11 00:00</t>
  </si>
  <si>
    <t>2023/01/05 00:00</t>
  </si>
  <si>
    <t>12/13/2023</t>
  </si>
  <si>
    <t>28-Oct-2023</t>
  </si>
  <si>
    <t>06-Aug-2023</t>
  </si>
  <si>
    <t>06/04/2023</t>
  </si>
  <si>
    <t>2023-09-05</t>
  </si>
  <si>
    <t>20-Oct-2023</t>
  </si>
  <si>
    <t>25-Dec-2023</t>
  </si>
  <si>
    <t>22-Jul-2023</t>
  </si>
  <si>
    <t>2023/01/26 00:00</t>
  </si>
  <si>
    <t>05/27/2023</t>
  </si>
  <si>
    <t>06/30/2023</t>
  </si>
  <si>
    <t>14-Nov-2023</t>
  </si>
  <si>
    <t>12/04/2023</t>
  </si>
  <si>
    <t>2023-11-18</t>
  </si>
  <si>
    <t>2023-03-09</t>
  </si>
  <si>
    <t>09-Mar-2023</t>
  </si>
  <si>
    <t>05/20/2023</t>
  </si>
  <si>
    <t>user_355@company.com</t>
  </si>
  <si>
    <t>04-Sep-2023</t>
  </si>
  <si>
    <t>2023-06-23</t>
  </si>
  <si>
    <t>02/08/2023</t>
  </si>
  <si>
    <t>2023/04/26 00:00</t>
  </si>
  <si>
    <t>13-Oct-2023</t>
  </si>
  <si>
    <t>2023/04/30 00:00</t>
  </si>
  <si>
    <t>15-Oct-2023</t>
  </si>
  <si>
    <t>2023-04-24</t>
  </si>
  <si>
    <t>03/01/2023</t>
  </si>
  <si>
    <t>2023-03-01</t>
  </si>
  <si>
    <t>2023/07/09 00:00</t>
  </si>
  <si>
    <t>2023/03/21 00:00</t>
  </si>
  <si>
    <t>2023/09/08 00:00</t>
  </si>
  <si>
    <t>2023-05-24</t>
  </si>
  <si>
    <t>06-Oct-2023</t>
  </si>
  <si>
    <t>2023-11-24</t>
  </si>
  <si>
    <t>03/06/2023</t>
  </si>
  <si>
    <t>04/17/2023</t>
  </si>
  <si>
    <t>30-Apr-2023</t>
  </si>
  <si>
    <t>2023-11-02</t>
  </si>
  <si>
    <t>2023-03-31</t>
  </si>
  <si>
    <t>01/14/2023</t>
  </si>
  <si>
    <t>02-May-2023</t>
  </si>
  <si>
    <t>2023/02/02 00:00</t>
  </si>
  <si>
    <t>2023-07-05</t>
  </si>
  <si>
    <t>04-Dec-2023</t>
  </si>
  <si>
    <t>2023-01-16</t>
  </si>
  <si>
    <t>2023/09/09 00:00</t>
  </si>
  <si>
    <t>02/03/2023</t>
  </si>
  <si>
    <t>21-Nov-2023</t>
  </si>
  <si>
    <t>02-Nov-2023</t>
  </si>
  <si>
    <t>2023/11/06 00:00</t>
  </si>
  <si>
    <t>12/02/2023</t>
  </si>
  <si>
    <t>2023/04/27 00:00</t>
  </si>
  <si>
    <t>2023/08/21 00:00</t>
  </si>
  <si>
    <t>18-Feb-2023</t>
  </si>
  <si>
    <t>07-Dec-2023</t>
  </si>
  <si>
    <t>2023/03/20 00:00</t>
  </si>
  <si>
    <t>2023/02/17 00:00</t>
  </si>
  <si>
    <t>2023-03-08</t>
  </si>
  <si>
    <t>30-Jul-2023</t>
  </si>
  <si>
    <t>user_426@company.com</t>
  </si>
  <si>
    <t>04-Nov-2023</t>
  </si>
  <si>
    <t>29-Jun-2023</t>
  </si>
  <si>
    <t>05/23/2023</t>
  </si>
  <si>
    <t>2023-10-15</t>
  </si>
  <si>
    <t>03-Dec-2023</t>
  </si>
  <si>
    <t>08-Jun-2023</t>
  </si>
  <si>
    <t>04/03/2023</t>
  </si>
  <si>
    <t>2023/07/12 00:00</t>
  </si>
  <si>
    <t>22-Mar-2023</t>
  </si>
  <si>
    <t>2023-06-16</t>
  </si>
  <si>
    <t>2023-01-26</t>
  </si>
  <si>
    <t>2023/12/05 00:00</t>
  </si>
  <si>
    <t>2023-09-20</t>
  </si>
  <si>
    <t>26-Feb-2023</t>
  </si>
  <si>
    <t>2023/10/31 00:00</t>
  </si>
  <si>
    <t>2023-06-07</t>
  </si>
  <si>
    <t>04/19/2023</t>
  </si>
  <si>
    <t>29-May-2023</t>
  </si>
  <si>
    <t>2023/09/12 00:00</t>
  </si>
  <si>
    <t>07/14/2023</t>
  </si>
  <si>
    <t>09-Dec-2023</t>
  </si>
  <si>
    <t>2023/01/22 00:00</t>
  </si>
  <si>
    <t>2023/12/30 00:00</t>
  </si>
  <si>
    <t>2023-07-27</t>
  </si>
  <si>
    <t>2023/03/29 00:00</t>
  </si>
  <si>
    <t>28-Jun-2023</t>
  </si>
  <si>
    <t>11/27/2023</t>
  </si>
  <si>
    <t>16-Mar-2023</t>
  </si>
  <si>
    <t>11/05/2023</t>
  </si>
  <si>
    <t>2023-12-02</t>
  </si>
  <si>
    <t>2023/11/18 00:00</t>
  </si>
  <si>
    <t>2023/10/16 00:00</t>
  </si>
  <si>
    <t>17-Oct-2023</t>
  </si>
  <si>
    <t>2023/02/04 00:00</t>
  </si>
  <si>
    <t>05-Jun-2023</t>
  </si>
  <si>
    <t>2023-06-30</t>
  </si>
  <si>
    <t>2023-08-20</t>
  </si>
  <si>
    <t>2023-02-09</t>
  </si>
  <si>
    <t>2023/09/17 00:00</t>
  </si>
  <si>
    <t>10/20/2023</t>
  </si>
  <si>
    <t>2023-08-19</t>
  </si>
  <si>
    <t>2023-06-25</t>
  </si>
  <si>
    <t>2023/08/13 00:00</t>
  </si>
  <si>
    <t>11/09/2023</t>
  </si>
  <si>
    <t>28-Nov-2023</t>
  </si>
  <si>
    <t>26-May-2023</t>
  </si>
  <si>
    <t>12/03/2023</t>
  </si>
  <si>
    <t>10/26/2023</t>
  </si>
  <si>
    <t>2023/06/08 00:00</t>
  </si>
  <si>
    <t>2023-12-29</t>
  </si>
  <si>
    <t>12-Jul-2023</t>
  </si>
  <si>
    <t>2023-12-10</t>
  </si>
  <si>
    <t>05-Aug-2023</t>
  </si>
  <si>
    <t>user_507@company.com</t>
  </si>
  <si>
    <t>20-Apr-2023</t>
  </si>
  <si>
    <t>03/12/2023</t>
  </si>
  <si>
    <t>2023-02-21</t>
  </si>
  <si>
    <t>03/20/2023</t>
  </si>
  <si>
    <t>12/21/2023</t>
  </si>
  <si>
    <t>2023/01/23 00:00</t>
  </si>
  <si>
    <t>2023/05/02 00:00</t>
  </si>
  <si>
    <t>08/18/2023</t>
  </si>
  <si>
    <t>2023/01/27 00:00</t>
  </si>
  <si>
    <t>2023-09-22</t>
  </si>
  <si>
    <t>24-Mar-2023</t>
  </si>
  <si>
    <t>09/20/2023</t>
  </si>
  <si>
    <t>02/16/2023</t>
  </si>
  <si>
    <t>2023-06-28</t>
  </si>
  <si>
    <t>11-Feb-2023</t>
  </si>
  <si>
    <t>2023-06-13</t>
  </si>
  <si>
    <t>29-Nov-2023</t>
  </si>
  <si>
    <t>2023-03-12</t>
  </si>
  <si>
    <t>08/30/2023</t>
  </si>
  <si>
    <t>2023/08/29 00:00</t>
  </si>
  <si>
    <t>2023-02-10</t>
  </si>
  <si>
    <t>2023/03/18 00:00</t>
  </si>
  <si>
    <t>05/28/2023</t>
  </si>
  <si>
    <t>01/25/2023</t>
  </si>
  <si>
    <t>2023/11/15 00:00</t>
  </si>
  <si>
    <t>2023-09-13</t>
  </si>
  <si>
    <t>10/22/2023</t>
  </si>
  <si>
    <t>user_547@company.com</t>
  </si>
  <si>
    <t>2023/05/30 00:00</t>
  </si>
  <si>
    <t>2023-12-09</t>
  </si>
  <si>
    <t>2023-07-04</t>
  </si>
  <si>
    <t>2023-10-06</t>
  </si>
  <si>
    <t>11-Jul-2023</t>
  </si>
  <si>
    <t>2023-07-02</t>
  </si>
  <si>
    <t>2023-12-03</t>
  </si>
  <si>
    <t>06/20/2023</t>
  </si>
  <si>
    <t>11/26/2023</t>
  </si>
  <si>
    <t>2023/12/17 00:00</t>
  </si>
  <si>
    <t>09/03/2023</t>
  </si>
  <si>
    <t>2023-04-13</t>
  </si>
  <si>
    <t>2023/10/06 00:00</t>
  </si>
  <si>
    <t>25-Jan-2023</t>
  </si>
  <si>
    <t>2023/07/08 00:00</t>
  </si>
  <si>
    <t>2023/08/14 00:00</t>
  </si>
  <si>
    <t>2023/04/06 00:00</t>
  </si>
  <si>
    <t>08-Jul-2023</t>
  </si>
  <si>
    <t>2023-08-06</t>
  </si>
  <si>
    <t>03-Apr-2023</t>
  </si>
  <si>
    <t>10-Feb-2023</t>
  </si>
  <si>
    <t>2023/06/06 00:00</t>
  </si>
  <si>
    <t>08/07/2023</t>
  </si>
  <si>
    <t>2023/06/29 00:00</t>
  </si>
  <si>
    <t>2023/06/30 00:00</t>
  </si>
  <si>
    <t>27-Jul-2023</t>
  </si>
  <si>
    <t>12/14/2023</t>
  </si>
  <si>
    <t>2023/03/15 00:00</t>
  </si>
  <si>
    <t>07-Jul-2023</t>
  </si>
  <si>
    <t>2023-10-18</t>
  </si>
  <si>
    <t>2023/12/14 00:00</t>
  </si>
  <si>
    <t>2023/07/10 00:00</t>
  </si>
  <si>
    <t>10/21/2023</t>
  </si>
  <si>
    <t>23-Jul-2023</t>
  </si>
  <si>
    <t>2023/09/23 00:00</t>
  </si>
  <si>
    <t>02-Mar-2023</t>
  </si>
  <si>
    <t>2023/12/27 00:00</t>
  </si>
  <si>
    <t>10-Nov-2023</t>
  </si>
  <si>
    <t>09/09/2023</t>
  </si>
  <si>
    <t>2023/02/07 00:00</t>
  </si>
  <si>
    <t>2024/01/01 00:00</t>
  </si>
  <si>
    <t>16-Dec-2023</t>
  </si>
  <si>
    <t>2023-12-30</t>
  </si>
  <si>
    <t>12/31/2023</t>
  </si>
  <si>
    <t>09/18/2023</t>
  </si>
  <si>
    <t>04/13/2023</t>
  </si>
  <si>
    <t>2023-09-10</t>
  </si>
  <si>
    <t>21-Oct-2023</t>
  </si>
  <si>
    <t>2023-02-14</t>
  </si>
  <si>
    <t>2023/09/03 00:00</t>
  </si>
  <si>
    <t>2023-10-22</t>
  </si>
  <si>
    <t>2023-06-12</t>
  </si>
  <si>
    <t>15-Dec-2023</t>
  </si>
  <si>
    <t>2023/03/08 00:00</t>
  </si>
  <si>
    <t>2023-01-29</t>
  </si>
  <si>
    <t>06/05/2023</t>
  </si>
  <si>
    <t>12/30/2023</t>
  </si>
  <si>
    <t>23-Sep-2023</t>
  </si>
  <si>
    <t>05/09/2023</t>
  </si>
  <si>
    <t>10-Oct-2023</t>
  </si>
  <si>
    <t>2023-06-05</t>
  </si>
  <si>
    <t>03/28/2023</t>
  </si>
  <si>
    <t>16-Nov-2023</t>
  </si>
  <si>
    <t>2023-01-15</t>
  </si>
  <si>
    <t>23-Oct-2023</t>
  </si>
  <si>
    <t>2023/01/16 00:00</t>
  </si>
  <si>
    <t>07-Oct-2023</t>
  </si>
  <si>
    <t>2023/06/04 00:00</t>
  </si>
  <si>
    <t>2023/08/01 00:00</t>
  </si>
  <si>
    <t>06/24/2023</t>
  </si>
  <si>
    <t>13-Jun-2023</t>
  </si>
  <si>
    <t>08-Mar-2023</t>
  </si>
  <si>
    <t>user_641@company.com</t>
  </si>
  <si>
    <t>04-Mar-2023</t>
  </si>
  <si>
    <t>2023-03-14</t>
  </si>
  <si>
    <t>2023/11/12 00:00</t>
  </si>
  <si>
    <t>23-Mar-2023</t>
  </si>
  <si>
    <t>06/10/2023</t>
  </si>
  <si>
    <t>2023/06/07 00:00</t>
  </si>
  <si>
    <t>2023/09/16 00:00</t>
  </si>
  <si>
    <t>21-Apr-2023</t>
  </si>
  <si>
    <t>2023-01-05</t>
  </si>
  <si>
    <t>2023-07-07</t>
  </si>
  <si>
    <t>2023-05-28</t>
  </si>
  <si>
    <t>19-Aug-2023</t>
  </si>
  <si>
    <t>2023-11-16</t>
  </si>
  <si>
    <t>user_663@company.com</t>
  </si>
  <si>
    <t>23-Jun-2023</t>
  </si>
  <si>
    <t>2023/04/12 00:00</t>
  </si>
  <si>
    <t>2023-01-24</t>
  </si>
  <si>
    <t>03/18/2023</t>
  </si>
  <si>
    <t>user_669@company.com</t>
  </si>
  <si>
    <t>12-Nov-2023</t>
  </si>
  <si>
    <t>02-Aug-2023</t>
  </si>
  <si>
    <t>2023-12-19</t>
  </si>
  <si>
    <t>2023/10/26 00:00</t>
  </si>
  <si>
    <t>2023/11/19 00:00</t>
  </si>
  <si>
    <t>12/15/2023</t>
  </si>
  <si>
    <t>02/26/2023</t>
  </si>
  <si>
    <t>2023/03/19 00:00</t>
  </si>
  <si>
    <t>02/01/2023</t>
  </si>
  <si>
    <t>2023/09/02 00:00</t>
  </si>
  <si>
    <t>2023/03/30 00:00</t>
  </si>
  <si>
    <t>25-Jun-2023</t>
  </si>
  <si>
    <t>04/09/2023</t>
  </si>
  <si>
    <t>06/02/2023</t>
  </si>
  <si>
    <t>02-Jun-2023</t>
  </si>
  <si>
    <t>2023/12/20 00:00</t>
  </si>
  <si>
    <t>2023/10/21 00:00</t>
  </si>
  <si>
    <t>02-Dec-2023</t>
  </si>
  <si>
    <t>04/20/2023</t>
  </si>
  <si>
    <t>19-May-2023</t>
  </si>
  <si>
    <t>11/12/2023</t>
  </si>
  <si>
    <t>12/09/2023</t>
  </si>
  <si>
    <t>2023-01-27</t>
  </si>
  <si>
    <t>2023-08-30</t>
  </si>
  <si>
    <t>28-May-2023</t>
  </si>
  <si>
    <t>2023-01-31</t>
  </si>
  <si>
    <t>2023-04-01</t>
  </si>
  <si>
    <t>2023/07/23 00:00</t>
  </si>
  <si>
    <t>2023/11/25 00:00</t>
  </si>
  <si>
    <t>2023/03/10 00:00</t>
  </si>
  <si>
    <t>27-Feb-2023</t>
  </si>
  <si>
    <t>23-Aug-2023</t>
  </si>
  <si>
    <t>08-Jan-2023</t>
  </si>
  <si>
    <t>10/18/2023</t>
  </si>
  <si>
    <t>2023/11/24 00:00</t>
  </si>
  <si>
    <t>21-Sep-2023</t>
  </si>
  <si>
    <t>04/05/2023</t>
  </si>
  <si>
    <t>2023/05/01 00:00</t>
  </si>
  <si>
    <t>2023-10-21</t>
  </si>
  <si>
    <t>07/04/2023</t>
  </si>
  <si>
    <t>06/07/2023</t>
  </si>
  <si>
    <t>15-Sep-2023</t>
  </si>
  <si>
    <t>24-Nov-2023</t>
  </si>
  <si>
    <t>04/24/2023</t>
  </si>
  <si>
    <t>09/02/2023</t>
  </si>
  <si>
    <t>07-Nov-2023</t>
  </si>
  <si>
    <t>2023/10/09 00:00</t>
  </si>
  <si>
    <t>12/07/2023</t>
  </si>
  <si>
    <t>2023-12-15</t>
  </si>
  <si>
    <t>28-Sep-2023</t>
  </si>
  <si>
    <t>2023/01/29 00:00</t>
  </si>
  <si>
    <t>01/02/2023</t>
  </si>
  <si>
    <t>2023/01/24 00:00</t>
  </si>
  <si>
    <t>2023-02-02</t>
  </si>
  <si>
    <t>2023/02/05 00:00</t>
  </si>
  <si>
    <t>2023/03/11 00:00</t>
  </si>
  <si>
    <t>2023/07/15 00:00</t>
  </si>
  <si>
    <t>2023/07/13 00:00</t>
  </si>
  <si>
    <t>2023-04-25</t>
  </si>
  <si>
    <t>04/28/2023</t>
  </si>
  <si>
    <t>21-Mar-2023</t>
  </si>
  <si>
    <t>2023-08-03</t>
  </si>
  <si>
    <t>2023-02-04</t>
  </si>
  <si>
    <t>2023-08-17</t>
  </si>
  <si>
    <t>05/29/2023</t>
  </si>
  <si>
    <t>22-Oct-2023</t>
  </si>
  <si>
    <t>10/30/2023</t>
  </si>
  <si>
    <t>2023/08/07 00:00</t>
  </si>
  <si>
    <t>2023/06/13 00:00</t>
  </si>
  <si>
    <t>user_789@company.com</t>
  </si>
  <si>
    <t>26-Apr-2023</t>
  </si>
  <si>
    <t>2023/10/15 00:00</t>
  </si>
  <si>
    <t>10/13/2023</t>
  </si>
  <si>
    <t>05/11/2023</t>
  </si>
  <si>
    <t>02/17/2023</t>
  </si>
  <si>
    <t>2023-11-06</t>
  </si>
  <si>
    <t>04/07/2023</t>
  </si>
  <si>
    <t>20-Jun-2023</t>
  </si>
  <si>
    <t>01/08/2023</t>
  </si>
  <si>
    <t>2023/03/02 00:00</t>
  </si>
  <si>
    <t>user_804@company.com</t>
  </si>
  <si>
    <t>12/23/2023</t>
  </si>
  <si>
    <t>03-May-2023</t>
  </si>
  <si>
    <t>03-Jul-2023</t>
  </si>
  <si>
    <t>2023/09/20 00:00</t>
  </si>
  <si>
    <t>09-Jul-2023</t>
  </si>
  <si>
    <t>10/16/2023</t>
  </si>
  <si>
    <t>09-Jan-2023</t>
  </si>
  <si>
    <t>11-Apr-2023</t>
  </si>
  <si>
    <t>2023/10/07 00:00</t>
  </si>
  <si>
    <t>2023-10-05</t>
  </si>
  <si>
    <t>2023-02-08</t>
  </si>
  <si>
    <t>07/31/2023</t>
  </si>
  <si>
    <t>01/05/2023</t>
  </si>
  <si>
    <t>2023-07-11</t>
  </si>
  <si>
    <t>2023/12/08 00:00</t>
  </si>
  <si>
    <t>02-Oct-2023</t>
  </si>
  <si>
    <t>2023-04-02</t>
  </si>
  <si>
    <t>09/26/2023</t>
  </si>
  <si>
    <t>2023/05/17 00:00</t>
  </si>
  <si>
    <t>08/24/2023</t>
  </si>
  <si>
    <t>2023-02-11</t>
  </si>
  <si>
    <t>2023-06-19</t>
  </si>
  <si>
    <t>01/22/2023</t>
  </si>
  <si>
    <t>2023/12/21 00:00</t>
  </si>
  <si>
    <t>08-Feb-2023</t>
  </si>
  <si>
    <t>10/28/2023</t>
  </si>
  <si>
    <t>2023/12/31 00:00</t>
  </si>
  <si>
    <t>06/03/2023</t>
  </si>
  <si>
    <t>2023/10/18 00:00</t>
  </si>
  <si>
    <t>04-Oct-2023</t>
  </si>
  <si>
    <t>2023-03-13</t>
  </si>
  <si>
    <t>2023-06-27</t>
  </si>
  <si>
    <t>2023/11/11 00:00</t>
  </si>
  <si>
    <t>2023-06-17</t>
  </si>
  <si>
    <t>2023/08/19 00:00</t>
  </si>
  <si>
    <t>2023/10/11 00:00</t>
  </si>
  <si>
    <t>2023/12/15 00:00</t>
  </si>
  <si>
    <t>2023-05-07</t>
  </si>
  <si>
    <t>12-Jun-2023</t>
  </si>
  <si>
    <t>03-Jan-2023</t>
  </si>
  <si>
    <t>2023-05-19</t>
  </si>
  <si>
    <t>15-Feb-2023</t>
  </si>
  <si>
    <t>02/13/2023</t>
  </si>
  <si>
    <t>2023/03/28 00:00</t>
  </si>
  <si>
    <t>18-May-2023</t>
  </si>
  <si>
    <t>2023-03-16</t>
  </si>
  <si>
    <t>09-Feb-2023</t>
  </si>
  <si>
    <t>2023/05/07 00:00</t>
  </si>
  <si>
    <t>2023/04/11 00:00</t>
  </si>
  <si>
    <t>2023/06/18 00:00</t>
  </si>
  <si>
    <t>11/30/2023</t>
  </si>
  <si>
    <t>05-May-2023</t>
  </si>
  <si>
    <t>21-Jul-2023</t>
  </si>
  <si>
    <t>10/07/2023</t>
  </si>
  <si>
    <t>2023-05-30</t>
  </si>
  <si>
    <t>2023-11-10</t>
  </si>
  <si>
    <t>2023/06/19 00:00</t>
  </si>
  <si>
    <t>20-Feb-2023</t>
  </si>
  <si>
    <t>09/23/2023</t>
  </si>
  <si>
    <t>2023/07/20 00:00</t>
  </si>
  <si>
    <t>2023/01/13 00:00</t>
  </si>
  <si>
    <t>2023-08-01</t>
  </si>
  <si>
    <t>14-Mar-2023</t>
  </si>
  <si>
    <t>08/22/2023</t>
  </si>
  <si>
    <t>2023/06/28 00:00</t>
  </si>
  <si>
    <t>20-Aug-2023</t>
  </si>
  <si>
    <t>12-Jan-2023</t>
  </si>
  <si>
    <t>05/05/2023</t>
  </si>
  <si>
    <t>11/11/2023</t>
  </si>
  <si>
    <t>2023-05-23</t>
  </si>
  <si>
    <t>10/02/2023</t>
  </si>
  <si>
    <t>2023/12/10 00:00</t>
  </si>
  <si>
    <t>2023/11/09 00:00</t>
  </si>
  <si>
    <t>28-Dec-2023</t>
  </si>
  <si>
    <t>2023-10-30</t>
  </si>
  <si>
    <t>2023-06-10</t>
  </si>
  <si>
    <t>2023/03/14 00:00</t>
  </si>
  <si>
    <t>09/07/2023</t>
  </si>
  <si>
    <t>08-Sep-2023</t>
  </si>
  <si>
    <t>2023-07-03</t>
  </si>
  <si>
    <t>2023/04/10 00:00</t>
  </si>
  <si>
    <t>2023/08/16 00:00</t>
  </si>
  <si>
    <t>23-Apr-2023</t>
  </si>
  <si>
    <t>user_959@company.com</t>
  </si>
  <si>
    <t>2023/10/17 00:00</t>
  </si>
  <si>
    <t>user_964@company.com</t>
  </si>
  <si>
    <t>12/01/2023</t>
  </si>
  <si>
    <t>2023/01/17 00:00</t>
  </si>
  <si>
    <t>2023/02/14 00:00</t>
  </si>
  <si>
    <t>03/02/2023</t>
  </si>
  <si>
    <t>29-Oct-2023</t>
  </si>
  <si>
    <t>31-Jan-2023</t>
  </si>
  <si>
    <t>11/02/2023</t>
  </si>
  <si>
    <t>2023-05-17</t>
  </si>
  <si>
    <t>03/09/2023</t>
  </si>
  <si>
    <t>2023/12/13 00:00</t>
  </si>
  <si>
    <t>07-Sep-2023</t>
  </si>
  <si>
    <t>24-Dec-2023</t>
  </si>
  <si>
    <t>2023/10/01 00:00</t>
  </si>
  <si>
    <t>08/08/2023</t>
  </si>
  <si>
    <t>06-Sep-2023</t>
  </si>
  <si>
    <t>2023-01-25</t>
  </si>
  <si>
    <t>2023-08-24</t>
  </si>
  <si>
    <t>11/29/2023</t>
  </si>
  <si>
    <t>12/25/2023</t>
  </si>
  <si>
    <t>2023-02-16</t>
  </si>
  <si>
    <t>2023-08-16</t>
  </si>
  <si>
    <t>2023/03/03 00:00</t>
  </si>
  <si>
    <t>2023-02-15</t>
  </si>
  <si>
    <t>03/10/2023</t>
  </si>
  <si>
    <t>user_1019@company.com</t>
  </si>
  <si>
    <t>2023/03/05 00:00</t>
  </si>
  <si>
    <t>2023-12-20</t>
  </si>
  <si>
    <t>11/07/2023</t>
  </si>
  <si>
    <t>2023-06-01</t>
  </si>
  <si>
    <t>2023-02-06</t>
  </si>
  <si>
    <t>06/12/2023</t>
  </si>
  <si>
    <t>12/16/2023</t>
  </si>
  <si>
    <t>2023/01/31 00:00</t>
  </si>
  <si>
    <t>2023-06-08</t>
  </si>
  <si>
    <t>user_1040@company.com</t>
  </si>
  <si>
    <t>04/15/2023</t>
  </si>
  <si>
    <t>2023-07-20</t>
  </si>
  <si>
    <t>08/12/2023</t>
  </si>
  <si>
    <t>2023-08-21</t>
  </si>
  <si>
    <t>12/29/2023</t>
  </si>
  <si>
    <t>2023/03/25 00:00</t>
  </si>
  <si>
    <t>25-Sep-2023</t>
  </si>
  <si>
    <t>06-Mar-2023</t>
  </si>
  <si>
    <t>2023-03-02</t>
  </si>
  <si>
    <t>2023-05-15</t>
  </si>
  <si>
    <t>19-Sep-2023</t>
  </si>
  <si>
    <t>27-Mar-2023</t>
  </si>
  <si>
    <t>2023-02-22</t>
  </si>
  <si>
    <t>2023-09-18</t>
  </si>
  <si>
    <t>07/16/2023</t>
  </si>
  <si>
    <t>2023/01/19 00:00</t>
  </si>
  <si>
    <t>2023/05/08 00:00</t>
  </si>
  <si>
    <t>2023-12-11</t>
  </si>
  <si>
    <t>09-Jun-2023</t>
  </si>
  <si>
    <t>2023/10/30 00:00</t>
  </si>
  <si>
    <t>04/11/2023</t>
  </si>
  <si>
    <t>2023-07-29</t>
  </si>
  <si>
    <t>2023/01/01 00:00</t>
  </si>
  <si>
    <t>2023-02-17</t>
  </si>
  <si>
    <t>2023-02-13</t>
  </si>
  <si>
    <t>2023/11/23 00:00</t>
  </si>
  <si>
    <t>14-May-2023</t>
  </si>
  <si>
    <t>2023/03/26 00:00</t>
  </si>
  <si>
    <t>2023-07-28</t>
  </si>
  <si>
    <t>2023/04/17 00:00</t>
  </si>
  <si>
    <t>06/17/2023</t>
  </si>
  <si>
    <t>2023/07/02 00:00</t>
  </si>
  <si>
    <t>13-Dec-2023</t>
  </si>
  <si>
    <t>08/20/2023</t>
  </si>
  <si>
    <t>25-Jul-2023</t>
  </si>
  <si>
    <t>2023-11-27</t>
  </si>
  <si>
    <t>2023-05-13</t>
  </si>
  <si>
    <t>08/16/2023</t>
  </si>
  <si>
    <t>2023/07/22 00:00</t>
  </si>
  <si>
    <t>30-Mar-2023</t>
  </si>
  <si>
    <t>06-Apr-2023</t>
  </si>
  <si>
    <t>2023-03-18</t>
  </si>
  <si>
    <t>2023-09-03</t>
  </si>
  <si>
    <t>09/27/2023</t>
  </si>
  <si>
    <t>01-Jan-2024</t>
  </si>
  <si>
    <t>user_1134@company.com</t>
  </si>
  <si>
    <t>2023-04-03</t>
  </si>
  <si>
    <t>2023-04-23</t>
  </si>
  <si>
    <t>30-Aug-2023</t>
  </si>
  <si>
    <t>04/30/2023</t>
  </si>
  <si>
    <t>18-Jul-2023</t>
  </si>
  <si>
    <t>03/30/2023</t>
  </si>
  <si>
    <t>15-Jan-2023</t>
  </si>
  <si>
    <t>2023/04/07 00:00</t>
  </si>
  <si>
    <t>2023/01/11 00:00</t>
  </si>
  <si>
    <t>04/14/2023</t>
  </si>
  <si>
    <t>01-Apr-2023</t>
  </si>
  <si>
    <t>12/27/2023</t>
  </si>
  <si>
    <t>27-Sep-2023</t>
  </si>
  <si>
    <t>2023/07/11 00:00</t>
  </si>
  <si>
    <t>22-Jun-2023</t>
  </si>
  <si>
    <t>19-Dec-2023</t>
  </si>
  <si>
    <t>2023/02/23 00:00</t>
  </si>
  <si>
    <t>02/09/2023</t>
  </si>
  <si>
    <t>06/13/2023</t>
  </si>
  <si>
    <t>04-Feb-2023</t>
  </si>
  <si>
    <t>2023/09/10 00:00</t>
  </si>
  <si>
    <t>2023-07-12</t>
  </si>
  <si>
    <t>07-Feb-2023</t>
  </si>
  <si>
    <t>07/12/2023</t>
  </si>
  <si>
    <t>2023-10-08</t>
  </si>
  <si>
    <t>08/09/2023</t>
  </si>
  <si>
    <t>2023/04/08 00:00</t>
  </si>
  <si>
    <t>2023/05/31 00:00</t>
  </si>
  <si>
    <t>2023/08/30 00:00</t>
  </si>
  <si>
    <t>Issue Category</t>
  </si>
  <si>
    <t>Description</t>
  </si>
  <si>
    <t>Examples in Dataset</t>
  </si>
  <si>
    <t>Analytical Impact</t>
  </si>
  <si>
    <t>Duplicates</t>
  </si>
  <si>
    <t>Repeated transaction IDs with identical or conflicting records.</t>
  </si>
  <si>
    <t>Multiple rows with 'TXN-1012'</t>
  </si>
  <si>
    <t>Overstates revenue and volume metrics if unhandled.</t>
  </si>
  <si>
    <t>Date Inconsistencies</t>
  </si>
  <si>
    <t>Mixed date formats, impossible dates, missing values.</t>
  </si>
  <si>
    <t>2023-08-14, 03/22/2023, 2023-02-30, blank cells</t>
  </si>
  <si>
    <t>Breaks time-series aggregations, month-over-month analysis.</t>
  </si>
  <si>
    <t>Text Inconsistencies</t>
  </si>
  <si>
    <t>Mixed casing, leading/trailing whitespace, non-standard naming.</t>
  </si>
  <si>
    <t>'North' vs ' north', 'Electronics' vs 'Elec.'</t>
  </si>
  <si>
    <t>Splits category/region groupings into duplicate buckets.</t>
  </si>
  <si>
    <t>Data Type Pollution</t>
  </si>
  <si>
    <t>Mixed string/numeric values in numeric fields.</t>
  </si>
  <si>
    <t>'5 pcs' or '$250.00' in quantity/price fields</t>
  </si>
  <si>
    <t>Causes errors during math calculations or database loads.</t>
  </si>
  <si>
    <t>Anomalies &amp; Outliers</t>
  </si>
  <si>
    <t>Unrealistic numbers, negative quantities or prices.</t>
  </si>
  <si>
    <t>Units_Sold = 9999 or -5, Unit_Price = -150.00</t>
  </si>
  <si>
    <t>Distorts mean, variance, and totals significantly.</t>
  </si>
  <si>
    <t>Mathematical Errors</t>
  </si>
  <si>
    <t>Total Amount does not match Units Sold * Unit Price.</t>
  </si>
  <si>
    <t>Total_Amount = $1,550.50 when 5 * $210 = $1,050</t>
  </si>
  <si>
    <t>Lead to incorrect financial reporting to stakeholders.</t>
  </si>
  <si>
    <t>Invalid / Missing Data</t>
  </si>
  <si>
    <t>Malformed email formats and empty cells across attributes.</t>
  </si>
  <si>
    <t>'invalid_email_at_gmail.com', missing regions/payments</t>
  </si>
  <si>
    <t>Impacts customer reachability analysis and completeness.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</si>
</sst>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00"/>
  </numFmts>
  <fonts count="10" x14ac:knownFonts="1">
    <font>
      <sz val="11"/>
      <color theme="1"/>
      <name val="Aptos Narrow"/>
      <family val="2"/>
      <scheme val="minor"/>
    </font>
    <font>
      <b/>
      <sz val="11"/>
      <color theme="0"/>
      <name val="Aptos Narrow"/>
      <family val="2"/>
      <scheme val="minor"/>
    </font>
    <font>
      <b/>
      <sz val="11"/>
      <color theme="1"/>
      <name val="Aptos Narrow"/>
      <family val="2"/>
      <scheme val="minor"/>
    </font>
    <font>
      <i/>
      <sz val="11"/>
      <color theme="1"/>
      <name val="Aptos Narrow"/>
      <family val="2"/>
      <scheme val="minor"/>
    </font>
    <font>
      <b/>
      <sz val="13.5"/>
      <color theme="1"/>
      <name val="Aptos Narrow"/>
      <family val="2"/>
      <scheme val="minor"/>
    </font>
    <font>
      <b/>
      <sz val="13.5"/>
      <color theme="1"/>
      <name val="Arial"/>
      <family val="2"/>
    </font>
    <font>
      <sz val="11"/>
      <color theme="1"/>
      <name val="Arial"/>
      <family val="2"/>
    </font>
    <font>
      <b/>
      <sz val="11"/>
      <color theme="1"/>
      <name val="Arial"/>
      <family val="2"/>
    </font>
    <font>
      <b/>
      <sz val="11"/>
      <color rgb="FFFFFFFF"/>
      <name val="Calibri"/>
      <family val="2"/>
    </font>
    <font>
      <sz val="10"/>
      <name val="Calibri"/>
      <family val="2"/>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0"/>
        <bgColor theme="4"/>
      </patternFill>
    </fill>
    <fill>
      <patternFill patternType="solid">
        <fgColor rgb="FF2F5597"/>
        <bgColor rgb="FF2F5597"/>
      </patternFill>
    </fill>
    <fill>
      <patternFill patternType="solid">
        <fgColor rgb="FF1F4E79"/>
        <bgColor rgb="FF1F4E79"/>
      </patternFill>
    </fill>
  </fills>
  <borders count="6">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2" fillId="0" borderId="0" xfId="0" applyFont="1"/>
    <xf numFmtId="0" fontId="0" fillId="0" borderId="0" xfId="0" applyFont="1"/>
    <xf numFmtId="0" fontId="4"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170" fontId="0" fillId="0" borderId="0" xfId="0" applyNumberFormat="1"/>
    <xf numFmtId="0" fontId="1" fillId="3" borderId="3" xfId="0" applyFont="1" applyFill="1" applyBorder="1"/>
    <xf numFmtId="0" fontId="1" fillId="3" borderId="4" xfId="0" applyFont="1" applyFill="1" applyBorder="1"/>
    <xf numFmtId="0" fontId="1" fillId="4" borderId="1" xfId="0" applyFont="1" applyFill="1" applyBorder="1"/>
    <xf numFmtId="0" fontId="1" fillId="4" borderId="2" xfId="0" applyFont="1" applyFill="1" applyBorder="1"/>
    <xf numFmtId="2" fontId="0" fillId="0" borderId="0" xfId="0" applyNumberFormat="1"/>
    <xf numFmtId="0" fontId="5" fillId="0" borderId="0" xfId="0" applyFont="1" applyAlignment="1">
      <alignment vertical="center"/>
    </xf>
    <xf numFmtId="0" fontId="7" fillId="0" borderId="0" xfId="0" applyFont="1" applyAlignment="1">
      <alignment horizontal="left" vertical="center" indent="1"/>
    </xf>
    <xf numFmtId="1" fontId="0" fillId="0" borderId="0" xfId="0" applyNumberFormat="1"/>
    <xf numFmtId="1" fontId="0" fillId="2" borderId="2" xfId="0" applyNumberFormat="1" applyFont="1" applyFill="1" applyBorder="1"/>
    <xf numFmtId="0" fontId="8" fillId="5" borderId="0" xfId="0" applyFont="1" applyFill="1" applyAlignment="1">
      <alignment horizontal="center" vertical="center" wrapText="1"/>
    </xf>
    <xf numFmtId="0" fontId="9" fillId="0" borderId="5" xfId="0" applyFont="1" applyBorder="1" applyAlignment="1">
      <alignment horizontal="left"/>
    </xf>
    <xf numFmtId="0" fontId="9" fillId="0" borderId="5" xfId="0" applyFont="1" applyBorder="1" applyAlignment="1">
      <alignment horizontal="right"/>
    </xf>
    <xf numFmtId="0" fontId="8" fillId="6" borderId="0" xfId="0" applyFont="1" applyFill="1" applyAlignment="1">
      <alignment horizontal="center" vertical="center"/>
    </xf>
    <xf numFmtId="0" fontId="9" fillId="0" borderId="5" xfId="0" applyFont="1" applyBorder="1" applyAlignment="1">
      <alignment vertical="top" wrapText="1"/>
    </xf>
  </cellXfs>
  <cellStyles count="1">
    <cellStyle name="Normal" xfId="0" builtinId="0"/>
  </cellStyles>
  <dxfs count="21">
    <dxf>
      <numFmt numFmtId="1" formatCode="0"/>
    </dxf>
    <dxf>
      <alignment horizontal="left" vertical="bottom" textRotation="0" wrapText="0" indent="0" justifyLastLine="0" shrinkToFit="0" readingOrder="0"/>
    </dxf>
    <dxf>
      <numFmt numFmtId="2" formatCode="0.00"/>
    </dxf>
    <dxf>
      <alignment horizontal="left" vertical="bottom" textRotation="0" wrapText="0" indent="0" justifyLastLine="0" shrinkToFit="0" readingOrder="0"/>
    </dxf>
    <dxf>
      <numFmt numFmtId="0" formatCode="General"/>
    </dxf>
    <dxf>
      <alignment horizontal="left" vertical="bottom" textRotation="0" wrapText="0" indent="0" justifyLastLine="0" shrinkToFit="0" readingOrder="0"/>
    </dxf>
    <dxf>
      <numFmt numFmtId="2" formatCode="0.00"/>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border outline="0">
        <bottom style="thin">
          <color theme="4" tint="0.39997558519241921"/>
        </bottom>
      </border>
    </dxf>
    <dxf>
      <border outline="0">
        <top style="thin">
          <color theme="4" tint="0.39997558519241921"/>
        </top>
      </border>
    </dxf>
    <dxf>
      <numFmt numFmtId="170" formatCode="0.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[githubsalesoverview.xlsx]Q1!PivotTable3</c:name>
    <c:fmtId val="6"/>
  </c:pivotSource>
  <c:chart>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3"/>
        <c:spPr>
          <a:solidFill>
            <a:srgbClr val="00B0F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'Q1'!$B$4</c:f>
              <c:strCache>
                <c:ptCount val="1"/>
                <c:pt idx="0">
                  <c:v>total Revenue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7536-4DCB-85F7-713CFF7E04BF}"/>
              </c:ext>
            </c:extLst>
          </c:dPt>
          <c:dPt>
            <c:idx val="2"/>
            <c:invertIfNegative val="0"/>
            <c:bubble3D val="0"/>
            <c:spPr>
              <a:solidFill>
                <a:schemeClr val="accent5">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536-4DCB-85F7-713CFF7E04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'Q1'!$A$5:$A$8</c:f>
              <c:strCache>
                <c:ptCount val="3"/>
                <c:pt idx="0">
                  <c:v>Electronics</c:v>
                </c:pt>
                <c:pt idx="1">
                  <c:v>Furniture</c:v>
                </c:pt>
                <c:pt idx="2">
                  <c:v>Office Supplies</c:v>
                </c:pt>
              </c:strCache>
            </c:strRef>
          </c:cat>
          <c:val>
            <c:numRef>
              <c:f>'Q1'!$B$5:$B$8</c:f>
              <c:numCache>
                <c:formatCode>General</c:formatCode>
                <c:ptCount val="3"/>
                <c:pt idx="0">
                  <c:v>518708.37999999983</c:v>
                </c:pt>
                <c:pt idx="1">
                  <c:v>336036.55999999988</c:v>
                </c:pt>
                <c:pt idx="2">
                  <c:v>547444.41000000015</c:v>
                </c:pt>
              </c:numCache>
            </c:numRef>
          </c:val>
          <c:extLst>
            <c:ext xmlns:c16="http://schemas.microsoft.com/office/drawing/2014/chart" uri="{C3380CC4-5D6E-409C-BE32-E72D297353CC}">
              <c16:uniqueId val="{00000000-7536-4DCB-85F7-713CFF7E04BF}"/>
            </c:ext>
          </c:extLst>
        </c:ser>
        <c:ser>
          <c:idx val="1"/>
          <c:order val="1"/>
          <c:tx>
            <c:strRef>
              <c:f>'Q1'!$C$4</c:f>
              <c:strCache>
                <c:ptCount val="1"/>
                <c:pt idx="0">
                  <c:v>Percent of Total Revenue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'Q1'!$A$5:$A$8</c:f>
              <c:strCache>
                <c:ptCount val="3"/>
                <c:pt idx="0">
                  <c:v>Electronics</c:v>
                </c:pt>
                <c:pt idx="1">
                  <c:v>Furniture</c:v>
                </c:pt>
                <c:pt idx="2">
                  <c:v>Office Supplies</c:v>
                </c:pt>
              </c:strCache>
            </c:strRef>
          </c:cat>
          <c:val>
            <c:numRef>
              <c:f>'Q1'!$C$5:$C$8</c:f>
              <c:numCache>
                <c:formatCode>0.00%</c:formatCode>
                <c:ptCount val="3"/>
                <c:pt idx="0">
                  <c:v>0.36819727891156462</c:v>
                </c:pt>
                <c:pt idx="1">
                  <c:v>0.24914965986394558</c:v>
                </c:pt>
                <c:pt idx="2">
                  <c:v>0.38265306122448978</c:v>
                </c:pt>
              </c:numCache>
            </c:numRef>
          </c:val>
          <c:extLst>
            <c:ext xmlns:c16="http://schemas.microsoft.com/office/drawing/2014/chart" uri="{C3380CC4-5D6E-409C-BE32-E72D297353CC}">
              <c16:uniqueId val="{00000002-7536-4DCB-85F7-713CFF7E04BF}"/>
            </c:ext>
          </c:extLst>
        </c:ser>
        <c:dLbls>
          <c:dLblPos val="outEnd"/>
          <c:showLegendKey val="0"/>
          <c:showVal val="1"/>
          <c:showCatName val="0"/>
          <c:showSerName val="0"/>
          <c:showPercent val="0"/>
          <c:showBubbleSize val="0"/>
        </c:dLbls>
        <c:gapWidth val="100"/>
        <c:overlap val="-24"/>
        <c:axId val="562845712"/>
        <c:axId val="213262864"/>
      </c:barChart>
      <c:catAx>
        <c:axId val="5628457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62864"/>
        <c:crosses val="autoZero"/>
        <c:auto val="1"/>
        <c:lblAlgn val="ctr"/>
        <c:lblOffset val="100"/>
        <c:noMultiLvlLbl val="0"/>
      </c:catAx>
      <c:valAx>
        <c:axId val="21326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84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[githubsalesoverview.xlsx]Q2!PivotTable4</c:name>
    <c:fmtId val="0"/>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outerShdw blurRad="57150" dist="19050" dir="5400000" algn="ctr" rotWithShape="0">
              <a:srgbClr val="000000">
                <a:alpha val="63000"/>
              </a:srgbClr>
            </a:outerShdw>
          </a:effectLst>
        </c:spPr>
        <c:dLbl>
          <c:idx val="0"/>
          <c:spPr>
            <a:noFill/>
            <a:ln>
              <a:noFill/>
            </a:ln>
            <a:effectLst>
              <a:outerShdw blurRad="50800" dist="50800" dir="5400000" algn="ctr" rotWithShape="0">
                <a:srgbClr val="FFC000"/>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3"/>
        <c:spPr>
          <a:solidFill>
            <a:srgbClr val="7030A0"/>
          </a:solidFill>
          <a:ln>
            <a:noFill/>
          </a:ln>
          <a:effectLst>
            <a:outerShdw blurRad="57150" dist="19050" dir="5400000" algn="ctr" rotWithShape="0">
              <a:srgbClr val="000000">
                <a:alpha val="63000"/>
              </a:srgbClr>
            </a:outerShdw>
          </a:effectLst>
        </c:spPr>
      </c:pivotFmt>
      <c:pivotFmt>
        <c:idx val="4"/>
        <c:spPr>
          <a:solidFill>
            <a:srgbClr val="00B0F0"/>
          </a:soli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2"/>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
          <c:idx val="0"/>
          <c:layout>
            <c:manualLayout>
              <c:x val="1.7543859649122806E-2"/>
              <c:y val="0.152777777777777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
          <c:idx val="0"/>
          <c:layout>
            <c:manualLayout>
              <c:x val="6.5162907268170422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
          <c:idx val="0"/>
          <c:layout>
            <c:manualLayout>
              <c:x val="7.51879699248118E-3"/>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
          <c:idx val="0"/>
          <c:layout>
            <c:manualLayout>
              <c:x val="-4.2606516290726815E-2"/>
              <c:y val="-0.152777777777777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
          <c:idx val="0"/>
          <c:layout>
            <c:manualLayout>
              <c:x val="-3.0075187969924904E-2"/>
              <c:y val="-0.162037037037037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'Q2'!$B$5</c:f>
              <c:strCache>
                <c:ptCount val="1"/>
                <c:pt idx="0">
                  <c:v>Total revenue</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294-4873-8F7B-F71812BAD1F2}"/>
              </c:ext>
            </c:extLst>
          </c:dPt>
          <c:dPt>
            <c:idx val="1"/>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A294-4873-8F7B-F71812BAD1F2}"/>
              </c:ext>
            </c:extLst>
          </c:dPt>
          <c:dPt>
            <c:idx val="2"/>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294-4873-8F7B-F71812BAD1F2}"/>
              </c:ext>
            </c:extLst>
          </c:dPt>
          <c:dPt>
            <c:idx val="4"/>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A294-4873-8F7B-F71812BAD1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'Q2'!$A$6:$A$11</c:f>
              <c:strCache>
                <c:ptCount val="5"/>
                <c:pt idx="0">
                  <c:v>East</c:v>
                </c:pt>
                <c:pt idx="1">
                  <c:v>North</c:v>
                </c:pt>
                <c:pt idx="2">
                  <c:v>South</c:v>
                </c:pt>
                <c:pt idx="3">
                  <c:v>Unknown Region</c:v>
                </c:pt>
                <c:pt idx="4">
                  <c:v>West</c:v>
                </c:pt>
              </c:strCache>
            </c:strRef>
          </c:cat>
          <c:val>
            <c:numRef>
              <c:f>'Q2'!$B$6:$B$11</c:f>
              <c:numCache>
                <c:formatCode>General</c:formatCode>
                <c:ptCount val="5"/>
                <c:pt idx="0">
                  <c:v>275303.8899999999</c:v>
                </c:pt>
                <c:pt idx="1">
                  <c:v>441091.60999999981</c:v>
                </c:pt>
                <c:pt idx="2">
                  <c:v>235341.17999999993</c:v>
                </c:pt>
                <c:pt idx="3">
                  <c:v>145476.32999999999</c:v>
                </c:pt>
                <c:pt idx="4">
                  <c:v>304976.33999999991</c:v>
                </c:pt>
              </c:numCache>
            </c:numRef>
          </c:val>
          <c:extLst>
            <c:ext xmlns:c16="http://schemas.microsoft.com/office/drawing/2014/chart" uri="{C3380CC4-5D6E-409C-BE32-E72D297353CC}">
              <c16:uniqueId val="{00000000-A294-4873-8F7B-F71812BAD1F2}"/>
            </c:ext>
          </c:extLst>
        </c:ser>
        <c:dLbls>
          <c:dLblPos val="outEnd"/>
          <c:showLegendKey val="0"/>
          <c:showVal val="1"/>
          <c:showCatName val="0"/>
          <c:showSerName val="0"/>
          <c:showPercent val="0"/>
          <c:showBubbleSize val="0"/>
        </c:dLbls>
        <c:gapWidth val="100"/>
        <c:axId val="562845248"/>
        <c:axId val="213055024"/>
      </c:barChart>
      <c:lineChart>
        <c:grouping val="standard"/>
        <c:varyColors val="0"/>
        <c:ser>
          <c:idx val="1"/>
          <c:order val="1"/>
          <c:tx>
            <c:strRef>
              <c:f>'Q2'!$C$5</c:f>
              <c:strCache>
                <c:ptCount val="1"/>
                <c:pt idx="0">
                  <c:v>Order Count</c:v>
                </c:pt>
              </c:strCache>
            </c:strRef>
          </c:tx>
          <c:spPr>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s>
            <c:dLbl>
              <c:idx val="0"/>
              <c:layout>
                <c:manualLayout>
                  <c:x val="7.51879699248118E-3"/>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294-4873-8F7B-F71812BAD1F2}"/>
                </c:ext>
              </c:extLst>
            </c:dLbl>
            <c:dLbl>
              <c:idx val="1"/>
              <c:layout>
                <c:manualLayout>
                  <c:x val="6.5162907268170422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294-4873-8F7B-F71812BAD1F2}"/>
                </c:ext>
              </c:extLst>
            </c:dLbl>
            <c:dLbl>
              <c:idx val="2"/>
              <c:layout>
                <c:manualLayout>
                  <c:x val="1.7543859649122806E-2"/>
                  <c:y val="0.152777777777777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294-4873-8F7B-F71812BAD1F2}"/>
                </c:ext>
              </c:extLst>
            </c:dLbl>
            <c:dLbl>
              <c:idx val="3"/>
              <c:layout>
                <c:manualLayout>
                  <c:x val="-4.2606516290726815E-2"/>
                  <c:y val="-0.152777777777777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294-4873-8F7B-F71812BAD1F2}"/>
                </c:ext>
              </c:extLst>
            </c:dLbl>
            <c:dLbl>
              <c:idx val="4"/>
              <c:layout>
                <c:manualLayout>
                  <c:x val="-3.0075187969924904E-2"/>
                  <c:y val="-0.162037037037037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294-4873-8F7B-F71812BAD1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'Q2'!$A$6:$A$11</c:f>
              <c:strCache>
                <c:ptCount val="5"/>
                <c:pt idx="0">
                  <c:v>East</c:v>
                </c:pt>
                <c:pt idx="1">
                  <c:v>North</c:v>
                </c:pt>
                <c:pt idx="2">
                  <c:v>South</c:v>
                </c:pt>
                <c:pt idx="3">
                  <c:v>Unknown Region</c:v>
                </c:pt>
                <c:pt idx="4">
                  <c:v>West</c:v>
                </c:pt>
              </c:strCache>
            </c:strRef>
          </c:cat>
          <c:val>
            <c:numRef>
              <c:f>'Q2'!$C$6:$C$11</c:f>
              <c:numCache>
                <c:formatCode>General</c:formatCode>
                <c:ptCount val="5"/>
                <c:pt idx="0">
                  <c:v>226</c:v>
                </c:pt>
                <c:pt idx="1">
                  <c:v>354</c:v>
                </c:pt>
                <c:pt idx="2">
                  <c:v>222</c:v>
                </c:pt>
                <c:pt idx="3">
                  <c:v>130</c:v>
                </c:pt>
                <c:pt idx="4">
                  <c:v>244</c:v>
                </c:pt>
              </c:numCache>
            </c:numRef>
          </c:val>
          <c:smooth val="0"/>
          <c:extLst>
            <c:ext xmlns:c16="http://schemas.microsoft.com/office/drawing/2014/chart" uri="{C3380CC4-5D6E-409C-BE32-E72D297353CC}">
              <c16:uniqueId val="{00000006-A294-4873-8F7B-F71812BAD1F2}"/>
            </c:ext>
          </c:extLst>
        </c:ser>
        <c:dLbls>
          <c:showLegendKey val="0"/>
          <c:showVal val="0"/>
          <c:showCatName val="0"/>
          <c:showSerName val="0"/>
          <c:showPercent val="0"/>
          <c:showBubbleSize val="0"/>
        </c:dLbls>
        <c:marker val="1"/>
        <c:smooth val="0"/>
        <c:axId val="562933872"/>
        <c:axId val="211286608"/>
      </c:lineChart>
      <c:catAx>
        <c:axId val="562845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5024"/>
        <c:auto val="1"/>
        <c:lblAlgn val="ctr"/>
        <c:lblOffset val="100"/>
        <c:noMultiLvlLbl val="0"/>
      </c:catAx>
      <c:valAx>
        <c:axId val="21305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845248"/>
        <c:crossBetween val="between"/>
      </c:valAx>
      <c:valAx>
        <c:axId val="2112866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933872"/>
        <c:crosses val="max"/>
        <c:crossBetween val="between"/>
      </c:valAx>
      <c:catAx>
        <c:axId val="562933872"/>
        <c:scaling>
          <c:orientation val="minMax"/>
        </c:scaling>
        <c:delete val="1"/>
        <c:axPos val="b"/>
        <c:numFmt formatCode="General" sourceLinked="1"/>
        <c:majorTickMark val="out"/>
        <c:minorTickMark val="none"/>
        <c:tickLblPos val="nextTo"/>
        <c:crossAx val="211286608"/>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[githubsalesoverview.xlsx]Q3!PivotTable5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'Q3'!$B$7</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'Q3'!$A$8:$A$13</c:f>
              <c:strCache>
                <c:ptCount val="5"/>
                <c:pt idx="0">
                  <c:v>Cash</c:v>
                </c:pt>
                <c:pt idx="1">
                  <c:v>Credit Card</c:v>
                </c:pt>
                <c:pt idx="2">
                  <c:v>Debit Card</c:v>
                </c:pt>
                <c:pt idx="3">
                  <c:v>PayPal</c:v>
                </c:pt>
                <c:pt idx="4">
                  <c:v>Unknown</c:v>
                </c:pt>
              </c:strCache>
            </c:strRef>
          </c:cat>
          <c:val>
            <c:numRef>
              <c:f>'Q3'!$B$8:$B$13</c:f>
              <c:numCache>
                <c:formatCode>General</c:formatCode>
                <c:ptCount val="5"/>
                <c:pt idx="0">
                  <c:v>322868.47999999981</c:v>
                </c:pt>
                <c:pt idx="1">
                  <c:v>462165.12999999989</c:v>
                </c:pt>
                <c:pt idx="2">
                  <c:v>153465.95000000001</c:v>
                </c:pt>
                <c:pt idx="3">
                  <c:v>312286.0400000001</c:v>
                </c:pt>
                <c:pt idx="4">
                  <c:v>151403.75</c:v>
                </c:pt>
              </c:numCache>
            </c:numRef>
          </c:val>
          <c:extLst>
            <c:ext xmlns:c16="http://schemas.microsoft.com/office/drawing/2014/chart" uri="{C3380CC4-5D6E-409C-BE32-E72D297353CC}">
              <c16:uniqueId val="{00000000-855A-47E5-B128-B6960680A1B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[githubsalesoverview.xlsx]Q4!PivotTable6</c:name>
    <c:fmtId val="0"/>
  </c:pivotSource>
  <c:chart>
    <c:autoTitleDeleted val="0"/>
    <c:pivotFmts>
      <c:pivotFmt>
        <c:idx val="0"/>
        <c:spPr>
          <a:solidFill>
            <a:schemeClr val="accent6">
              <a:alpha val="70000"/>
            </a:schemeClr>
          </a:solidFill>
          <a:ln>
            <a:noFill/>
          </a:ln>
          <a:effectLst/>
        </c:spPr>
        <c:marker>
          <c:symbol val="circle"/>
          <c:size val="6"/>
          <c:spPr>
            <a:solidFill>
              <a:schemeClr val="accent6">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'Q4'!$B$5</c:f>
              <c:strCache>
                <c:ptCount val="1"/>
                <c:pt idx="0">
                  <c:v>Total Revenue</c:v>
                </c:pt>
              </c:strCache>
            </c:strRef>
          </c:tx>
          <c:spPr>
            <a:solidFill>
              <a:schemeClr val="accent6">
                <a:alpha val="70000"/>
              </a:schemeClr>
            </a:solidFill>
            <a:ln>
              <a:noFill/>
            </a:ln>
            <a:effectLst/>
          </c:spPr>
          <c:invertIfNegative val="0"/>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112F-4A1F-9D3C-AFF98B967C99}"/>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2-112F-4A1F-9D3C-AFF98B967C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'Q4'!$A$6:$A$10</c:f>
              <c:strCache>
                <c:ptCount val="4"/>
                <c:pt idx="0">
                  <c:v>1. Retail (1-3 Units)</c:v>
                </c:pt>
                <c:pt idx="1">
                  <c:v>2. Mid-Market (4-7 Units)</c:v>
                </c:pt>
                <c:pt idx="2">
                  <c:v>3. Wholesale / Bulk (8+ Units)</c:v>
                </c:pt>
                <c:pt idx="3">
                  <c:v>Non-Billable / Zero</c:v>
                </c:pt>
              </c:strCache>
            </c:strRef>
          </c:cat>
          <c:val>
            <c:numRef>
              <c:f>'Q4'!$B$6:$B$10</c:f>
              <c:numCache>
                <c:formatCode>General</c:formatCode>
                <c:ptCount val="4"/>
                <c:pt idx="0">
                  <c:v>158695.68000000005</c:v>
                </c:pt>
                <c:pt idx="1">
                  <c:v>920569.43999999971</c:v>
                </c:pt>
                <c:pt idx="2">
                  <c:v>322924.22999999992</c:v>
                </c:pt>
                <c:pt idx="3">
                  <c:v>0</c:v>
                </c:pt>
              </c:numCache>
            </c:numRef>
          </c:val>
          <c:extLst>
            <c:ext xmlns:c16="http://schemas.microsoft.com/office/drawing/2014/chart" uri="{C3380CC4-5D6E-409C-BE32-E72D297353CC}">
              <c16:uniqueId val="{00000000-112F-4A1F-9D3C-AFF98B967C99}"/>
            </c:ext>
          </c:extLst>
        </c:ser>
        <c:ser>
          <c:idx val="1"/>
          <c:order val="1"/>
          <c:tx>
            <c:strRef>
              <c:f>'Q4'!$C$5</c:f>
              <c:strCache>
                <c:ptCount val="1"/>
                <c:pt idx="0">
                  <c:v>percentage</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'Q4'!$A$6:$A$10</c:f>
              <c:strCache>
                <c:ptCount val="4"/>
                <c:pt idx="0">
                  <c:v>1. Retail (1-3 Units)</c:v>
                </c:pt>
                <c:pt idx="1">
                  <c:v>2. Mid-Market (4-7 Units)</c:v>
                </c:pt>
                <c:pt idx="2">
                  <c:v>3. Wholesale / Bulk (8+ Units)</c:v>
                </c:pt>
                <c:pt idx="3">
                  <c:v>Non-Billable / Zero</c:v>
                </c:pt>
              </c:strCache>
            </c:strRef>
          </c:cat>
          <c:val>
            <c:numRef>
              <c:f>'Q4'!$C$6:$C$10</c:f>
              <c:numCache>
                <c:formatCode>0.00%</c:formatCode>
                <c:ptCount val="4"/>
                <c:pt idx="0">
                  <c:v>0.24914965986394558</c:v>
                </c:pt>
                <c:pt idx="1">
                  <c:v>0.62159863945578231</c:v>
                </c:pt>
                <c:pt idx="2">
                  <c:v>0.12329931972789115</c:v>
                </c:pt>
                <c:pt idx="3">
                  <c:v>5.9523809523809521E-3</c:v>
                </c:pt>
              </c:numCache>
            </c:numRef>
          </c:val>
          <c:extLst>
            <c:ext xmlns:c16="http://schemas.microsoft.com/office/drawing/2014/chart" uri="{C3380CC4-5D6E-409C-BE32-E72D297353CC}">
              <c16:uniqueId val="{00000004-112F-4A1F-9D3C-AFF98B967C99}"/>
            </c:ext>
          </c:extLst>
        </c:ser>
        <c:dLbls>
          <c:dLblPos val="outEnd"/>
          <c:showLegendKey val="0"/>
          <c:showVal val="1"/>
          <c:showCatName val="0"/>
          <c:showSerName val="0"/>
          <c:showPercent val="0"/>
          <c:showBubbleSize val="0"/>
        </c:dLbls>
        <c:gapWidth val="80"/>
        <c:overlap val="25"/>
        <c:axId val="562955680"/>
        <c:axId val="1257922831"/>
      </c:barChart>
      <c:catAx>
        <c:axId val="562955680"/>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257922831"/>
        <c:crosses val="autoZero"/>
        <c:auto val="1"/>
        <c:lblAlgn val="ctr"/>
        <c:lblOffset val="100"/>
        <c:noMultiLvlLbl val="0"/>
      </c:catAx>
      <c:valAx>
        <c:axId val="1257922831"/>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56295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[githubsalesoverview.xlsx]Q2!PivotTable4</c:name>
    <c:fmtId val="16"/>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outerShdw blurRad="57150" dist="19050" dir="5400000" algn="ctr" rotWithShape="0">
              <a:srgbClr val="000000">
                <a:alpha val="63000"/>
              </a:srgbClr>
            </a:outerShdw>
          </a:effectLst>
        </c:spPr>
        <c:dLbl>
          <c:idx val="0"/>
          <c:spPr>
            <a:noFill/>
            <a:ln>
              <a:noFill/>
            </a:ln>
            <a:effectLst>
              <a:outerShdw blurRad="50800" dist="50800" dir="5400000" algn="ctr" rotWithShape="0">
                <a:srgbClr val="FFC000"/>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3"/>
        <c:spPr>
          <a:solidFill>
            <a:srgbClr val="7030A0"/>
          </a:solidFill>
          <a:ln>
            <a:noFill/>
          </a:ln>
          <a:effectLst>
            <a:outerShdw blurRad="57150" dist="19050" dir="5400000" algn="ctr" rotWithShape="0">
              <a:srgbClr val="000000">
                <a:alpha val="63000"/>
              </a:srgbClr>
            </a:outerShdw>
          </a:effectLst>
        </c:spPr>
      </c:pivotFmt>
      <c:pivotFmt>
        <c:idx val="4"/>
        <c:spPr>
          <a:solidFill>
            <a:srgbClr val="00B0F0"/>
          </a:soli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
          <c:idx val="0"/>
          <c:layout>
            <c:manualLayout>
              <c:x val="1.7543859649122806E-2"/>
              <c:y val="0.152777777777777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
          <c:idx val="0"/>
          <c:layout>
            <c:manualLayout>
              <c:x val="6.5162907268170422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
          <c:idx val="0"/>
          <c:layout>
            <c:manualLayout>
              <c:x val="7.51879699248118E-3"/>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
          <c:idx val="0"/>
          <c:layout>
            <c:manualLayout>
              <c:x val="-4.2606516290726815E-2"/>
              <c:y val="-0.152777777777777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
          <c:idx val="0"/>
          <c:layout>
            <c:manualLayout>
              <c:x val="-3.0075187969924904E-2"/>
              <c:y val="-0.162037037037037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F0"/>
          </a:solidFill>
          <a:ln>
            <a:noFill/>
          </a:ln>
          <a:effectLst>
            <a:outerShdw blurRad="57150" dist="19050" dir="5400000" algn="ctr" rotWithShape="0">
              <a:srgbClr val="000000">
                <a:alpha val="63000"/>
              </a:srgbClr>
            </a:outerShdw>
          </a:effectLst>
        </c:spPr>
      </c:pivotFmt>
      <c:pivotFmt>
        <c:idx val="15"/>
        <c:spPr>
          <a:solidFill>
            <a:srgbClr val="7030A0"/>
          </a:solidFill>
          <a:ln>
            <a:noFill/>
          </a:ln>
          <a:effectLst>
            <a:outerShdw blurRad="57150" dist="19050" dir="5400000" algn="ctr" rotWithShape="0">
              <a:srgbClr val="000000">
                <a:alpha val="63000"/>
              </a:srgbClr>
            </a:outerShdw>
          </a:effectLst>
        </c:spPr>
      </c:pivotFmt>
      <c:pivotFmt>
        <c:idx val="16"/>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7"/>
        <c:spPr>
          <a:solidFill>
            <a:srgbClr val="FFC000"/>
          </a:solidFill>
          <a:ln>
            <a:noFill/>
          </a:ln>
          <a:effectLst>
            <a:outerShdw blurRad="57150" dist="19050" dir="5400000" algn="ctr" rotWithShape="0">
              <a:srgbClr val="000000">
                <a:alpha val="63000"/>
              </a:srgbClr>
            </a:outerShdw>
          </a:effectLst>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
          <c:idx val="0"/>
          <c:layout>
            <c:manualLayout>
              <c:x val="7.51879699248118E-3"/>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
          <c:idx val="0"/>
          <c:layout>
            <c:manualLayout>
              <c:x val="6.5162907268170422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
          <c:idx val="0"/>
          <c:layout>
            <c:manualLayout>
              <c:x val="1.7543859649122806E-2"/>
              <c:y val="0.152777777777777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
          <c:idx val="0"/>
          <c:layout>
            <c:manualLayout>
              <c:x val="-4.2606516290726815E-2"/>
              <c:y val="-0.152777777777777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
          <c:idx val="0"/>
          <c:layout>
            <c:manualLayout>
              <c:x val="-3.0075187969924904E-2"/>
              <c:y val="-0.162037037037037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0B0F0"/>
          </a:solidFill>
          <a:ln>
            <a:noFill/>
          </a:ln>
          <a:effectLst>
            <a:outerShdw blurRad="57150" dist="19050" dir="5400000" algn="ctr" rotWithShape="0">
              <a:srgbClr val="000000">
                <a:alpha val="63000"/>
              </a:srgbClr>
            </a:outerShdw>
          </a:effectLst>
        </c:spPr>
      </c:pivotFmt>
      <c:pivotFmt>
        <c:idx val="26"/>
        <c:spPr>
          <a:solidFill>
            <a:srgbClr val="7030A0"/>
          </a:solidFill>
          <a:ln>
            <a:noFill/>
          </a:ln>
          <a:effectLst>
            <a:outerShdw blurRad="57150" dist="19050" dir="5400000" algn="ctr" rotWithShape="0">
              <a:srgbClr val="000000">
                <a:alpha val="63000"/>
              </a:srgbClr>
            </a:outerShdw>
          </a:effectLst>
        </c:spPr>
      </c:pivotFmt>
      <c:pivotFmt>
        <c:idx val="27"/>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28"/>
        <c:spPr>
          <a:solidFill>
            <a:srgbClr val="FFC000"/>
          </a:solidFill>
          <a:ln>
            <a:noFill/>
          </a:ln>
          <a:effectLst>
            <a:outerShdw blurRad="57150" dist="19050" dir="5400000" algn="ctr" rotWithShape="0">
              <a:srgbClr val="000000">
                <a:alpha val="63000"/>
              </a:srgbClr>
            </a:outerShdw>
          </a:effectLst>
        </c:spPr>
      </c:pivotFmt>
      <c:pivotFmt>
        <c:idx val="29"/>
        <c:spPr>
          <a:ln w="34925" cap="rnd">
            <a:solidFill>
              <a:schemeClr val="accent2"/>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
          <c:idx val="0"/>
          <c:layout>
            <c:manualLayout>
              <c:x val="7.51879699248118E-3"/>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
          <c:idx val="0"/>
          <c:layout>
            <c:manualLayout>
              <c:x val="6.5162907268170422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
          <c:idx val="0"/>
          <c:layout>
            <c:manualLayout>
              <c:x val="1.7543859649122806E-2"/>
              <c:y val="0.152777777777777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
          <c:idx val="0"/>
          <c:layout>
            <c:manualLayout>
              <c:x val="-4.2606516290726815E-2"/>
              <c:y val="-0.152777777777777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
          <c:idx val="0"/>
          <c:layout>
            <c:manualLayout>
              <c:x val="-3.0075187969924904E-2"/>
              <c:y val="-0.162037037037037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'Q2'!$B$5</c:f>
              <c:strCache>
                <c:ptCount val="1"/>
                <c:pt idx="0">
                  <c:v>Total revenue</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88-4B78-999A-17335D7ACC2B}"/>
              </c:ext>
            </c:extLst>
          </c:dPt>
          <c:dPt>
            <c:idx val="1"/>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88-4B78-999A-17335D7ACC2B}"/>
              </c:ext>
            </c:extLst>
          </c:dPt>
          <c:dPt>
            <c:idx val="2"/>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88-4B78-999A-17335D7ACC2B}"/>
              </c:ext>
            </c:extLst>
          </c:dPt>
          <c:dPt>
            <c:idx val="4"/>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288-4B78-999A-17335D7ACC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'Q2'!$A$6:$A$11</c:f>
              <c:strCache>
                <c:ptCount val="5"/>
                <c:pt idx="0">
                  <c:v>East</c:v>
                </c:pt>
                <c:pt idx="1">
                  <c:v>North</c:v>
                </c:pt>
                <c:pt idx="2">
                  <c:v>South</c:v>
                </c:pt>
                <c:pt idx="3">
                  <c:v>Unknown Region</c:v>
                </c:pt>
                <c:pt idx="4">
                  <c:v>West</c:v>
                </c:pt>
              </c:strCache>
            </c:strRef>
          </c:cat>
          <c:val>
            <c:numRef>
              <c:f>'Q2'!$B$6:$B$11</c:f>
              <c:numCache>
                <c:formatCode>General</c:formatCode>
                <c:ptCount val="5"/>
                <c:pt idx="0">
                  <c:v>275303.8899999999</c:v>
                </c:pt>
                <c:pt idx="1">
                  <c:v>441091.60999999981</c:v>
                </c:pt>
                <c:pt idx="2">
                  <c:v>235341.17999999993</c:v>
                </c:pt>
                <c:pt idx="3">
                  <c:v>145476.32999999999</c:v>
                </c:pt>
                <c:pt idx="4">
                  <c:v>304976.33999999991</c:v>
                </c:pt>
              </c:numCache>
            </c:numRef>
          </c:val>
          <c:extLst>
            <c:ext xmlns:c16="http://schemas.microsoft.com/office/drawing/2014/chart" uri="{C3380CC4-5D6E-409C-BE32-E72D297353CC}">
              <c16:uniqueId val="{00000008-B288-4B78-999A-17335D7ACC2B}"/>
            </c:ext>
          </c:extLst>
        </c:ser>
        <c:dLbls>
          <c:dLblPos val="outEnd"/>
          <c:showLegendKey val="0"/>
          <c:showVal val="1"/>
          <c:showCatName val="0"/>
          <c:showSerName val="0"/>
          <c:showPercent val="0"/>
          <c:showBubbleSize val="0"/>
        </c:dLbls>
        <c:gapWidth val="100"/>
        <c:axId val="562845248"/>
        <c:axId val="213055024"/>
      </c:barChart>
      <c:lineChart>
        <c:grouping val="standard"/>
        <c:varyColors val="0"/>
        <c:ser>
          <c:idx val="1"/>
          <c:order val="1"/>
          <c:tx>
            <c:strRef>
              <c:f>'Q2'!$C$5</c:f>
              <c:strCache>
                <c:ptCount val="1"/>
                <c:pt idx="0">
                  <c:v>Order Count</c:v>
                </c:pt>
              </c:strCache>
            </c:strRef>
          </c:tx>
          <c:spPr>
            <a:ln w="34925" cap="rnd">
              <a:solidFill>
                <a:schemeClr val="accent2">
                  <a:tint val="77000"/>
                </a:schemeClr>
              </a:solidFill>
              <a:round/>
            </a:ln>
            <a:effectLst>
              <a:outerShdw blurRad="57150" dist="19050" dir="5400000" algn="ctr" rotWithShape="0">
                <a:srgbClr val="000000">
                  <a:alpha val="63000"/>
                </a:srgbClr>
              </a:outerShdw>
            </a:effectLst>
          </c:spPr>
          <c:marker>
            <c:symbol val="none"/>
          </c:marker>
          <c:dLbls>
            <c:dLbl>
              <c:idx val="0"/>
              <c:layout>
                <c:manualLayout>
                  <c:x val="7.51879699248118E-3"/>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288-4B78-999A-17335D7ACC2B}"/>
                </c:ext>
              </c:extLst>
            </c:dLbl>
            <c:dLbl>
              <c:idx val="1"/>
              <c:layout>
                <c:manualLayout>
                  <c:x val="6.5162907268170422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288-4B78-999A-17335D7ACC2B}"/>
                </c:ext>
              </c:extLst>
            </c:dLbl>
            <c:dLbl>
              <c:idx val="2"/>
              <c:layout>
                <c:manualLayout>
                  <c:x val="1.7543859649122806E-2"/>
                  <c:y val="0.152777777777777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288-4B78-999A-17335D7ACC2B}"/>
                </c:ext>
              </c:extLst>
            </c:dLbl>
            <c:dLbl>
              <c:idx val="3"/>
              <c:layout>
                <c:manualLayout>
                  <c:x val="-4.2606516290726815E-2"/>
                  <c:y val="-0.152777777777777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288-4B78-999A-17335D7ACC2B}"/>
                </c:ext>
              </c:extLst>
            </c:dLbl>
            <c:dLbl>
              <c:idx val="4"/>
              <c:layout>
                <c:manualLayout>
                  <c:x val="-3.0075187969924904E-2"/>
                  <c:y val="-0.162037037037037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288-4B78-999A-17335D7ACC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'Q2'!$A$6:$A$11</c:f>
              <c:strCache>
                <c:ptCount val="5"/>
                <c:pt idx="0">
                  <c:v>East</c:v>
                </c:pt>
                <c:pt idx="1">
                  <c:v>North</c:v>
                </c:pt>
                <c:pt idx="2">
                  <c:v>South</c:v>
                </c:pt>
                <c:pt idx="3">
                  <c:v>Unknown Region</c:v>
                </c:pt>
                <c:pt idx="4">
                  <c:v>West</c:v>
                </c:pt>
              </c:strCache>
            </c:strRef>
          </c:cat>
          <c:val>
            <c:numRef>
              <c:f>'Q2'!$C$6:$C$11</c:f>
              <c:numCache>
                <c:formatCode>General</c:formatCode>
                <c:ptCount val="5"/>
                <c:pt idx="0">
                  <c:v>226</c:v>
                </c:pt>
                <c:pt idx="1">
                  <c:v>354</c:v>
                </c:pt>
                <c:pt idx="2">
                  <c:v>222</c:v>
                </c:pt>
                <c:pt idx="3">
                  <c:v>130</c:v>
                </c:pt>
                <c:pt idx="4">
                  <c:v>244</c:v>
                </c:pt>
              </c:numCache>
            </c:numRef>
          </c:val>
          <c:smooth val="0"/>
          <c:extLst>
            <c:ext xmlns:c16="http://schemas.microsoft.com/office/drawing/2014/chart" uri="{C3380CC4-5D6E-409C-BE32-E72D297353CC}">
              <c16:uniqueId val="{0000000E-B288-4B78-999A-17335D7ACC2B}"/>
            </c:ext>
          </c:extLst>
        </c:ser>
        <c:dLbls>
          <c:showLegendKey val="0"/>
          <c:showVal val="0"/>
          <c:showCatName val="0"/>
          <c:showSerName val="0"/>
          <c:showPercent val="0"/>
          <c:showBubbleSize val="0"/>
        </c:dLbls>
        <c:marker val="1"/>
        <c:smooth val="0"/>
        <c:axId val="562933872"/>
        <c:axId val="211286608"/>
      </c:lineChart>
      <c:catAx>
        <c:axId val="562845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5024"/>
        <c:crosses val="autoZero"/>
        <c:auto val="1"/>
        <c:lblAlgn val="ctr"/>
        <c:lblOffset val="100"/>
        <c:noMultiLvlLbl val="0"/>
      </c:catAx>
      <c:valAx>
        <c:axId val="21305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845248"/>
        <c:crosses val="autoZero"/>
        <c:crossBetween val="between"/>
      </c:valAx>
      <c:valAx>
        <c:axId val="2112866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933872"/>
        <c:crosses val="max"/>
        <c:crossBetween val="between"/>
      </c:valAx>
      <c:catAx>
        <c:axId val="562933872"/>
        <c:scaling>
          <c:orientation val="minMax"/>
        </c:scaling>
        <c:delete val="1"/>
        <c:axPos val="b"/>
        <c:numFmt formatCode="General" sourceLinked="1"/>
        <c:majorTickMark val="out"/>
        <c:minorTickMark val="none"/>
        <c:tickLblPos val="nextTo"/>
        <c:crossAx val="2112866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[githubsalesoverview.xlsx]Q3!PivotTable5</c:name>
    <c:fmtId val="12"/>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'Q3'!$B$7</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344-4244-8C0C-B10DB096534A}"/>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344-4244-8C0C-B10DB096534A}"/>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344-4244-8C0C-B10DB096534A}"/>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344-4244-8C0C-B10DB096534A}"/>
              </c:ext>
            </c:extLst>
          </c:dPt>
          <c:dPt>
            <c:idx val="4"/>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7344-4244-8C0C-B10DB096534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'Q3'!$A$8:$A$13</c:f>
              <c:strCache>
                <c:ptCount val="5"/>
                <c:pt idx="0">
                  <c:v>Cash</c:v>
                </c:pt>
                <c:pt idx="1">
                  <c:v>Credit Card</c:v>
                </c:pt>
                <c:pt idx="2">
                  <c:v>Debit Card</c:v>
                </c:pt>
                <c:pt idx="3">
                  <c:v>PayPal</c:v>
                </c:pt>
                <c:pt idx="4">
                  <c:v>Unknown</c:v>
                </c:pt>
              </c:strCache>
            </c:strRef>
          </c:cat>
          <c:val>
            <c:numRef>
              <c:f>'Q3'!$B$8:$B$13</c:f>
              <c:numCache>
                <c:formatCode>General</c:formatCode>
                <c:ptCount val="5"/>
                <c:pt idx="0">
                  <c:v>322868.47999999981</c:v>
                </c:pt>
                <c:pt idx="1">
                  <c:v>462165.12999999989</c:v>
                </c:pt>
                <c:pt idx="2">
                  <c:v>153465.95000000001</c:v>
                </c:pt>
                <c:pt idx="3">
                  <c:v>312286.0400000001</c:v>
                </c:pt>
                <c:pt idx="4">
                  <c:v>151403.75</c:v>
                </c:pt>
              </c:numCache>
            </c:numRef>
          </c:val>
          <c:extLst>
            <c:ext xmlns:c16="http://schemas.microsoft.com/office/drawing/2014/chart" uri="{C3380CC4-5D6E-409C-BE32-E72D297353CC}">
              <c16:uniqueId val="{0000000A-7344-4244-8C0C-B10DB096534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[githubsalesoverview.xlsx]Q4!PivotTable6</c:name>
    <c:fmtId val="8"/>
  </c:pivotSource>
  <c:chart>
    <c:autoTitleDeleted val="0"/>
    <c:pivotFmts>
      <c:pivotFmt>
        <c:idx val="0"/>
        <c:spPr>
          <a:solidFill>
            <a:schemeClr val="accent6">
              <a:alpha val="70000"/>
            </a:schemeClr>
          </a:solidFill>
          <a:ln>
            <a:noFill/>
          </a:ln>
          <a:effectLst/>
        </c:spPr>
        <c:marker>
          <c:symbol val="circle"/>
          <c:size val="6"/>
          <c:spPr>
            <a:solidFill>
              <a:schemeClr val="accent6">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pivotFmt>
      <c:pivotFmt>
        <c:idx val="6"/>
        <c:spPr>
          <a:solidFill>
            <a:schemeClr val="accent2">
              <a:lumMod val="75000"/>
            </a:schemeClr>
          </a:solidFill>
          <a:ln>
            <a:noFill/>
          </a:ln>
          <a:effectLst/>
        </c:spPr>
      </c:pivotFmt>
      <c:pivotFmt>
        <c:idx val="7"/>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a:noFill/>
          </a:ln>
          <a:effectLst/>
        </c:spPr>
      </c:pivotFmt>
      <c:pivotFmt>
        <c:idx val="10"/>
        <c:spPr>
          <a:solidFill>
            <a:schemeClr val="accent2">
              <a:lumMod val="75000"/>
            </a:schemeClr>
          </a:solidFill>
          <a:ln>
            <a:noFill/>
          </a:ln>
          <a:effectLst/>
        </c:spPr>
      </c:pivotFmt>
      <c:pivotFmt>
        <c:idx val="11"/>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'Q4'!$B$5</c:f>
              <c:strCache>
                <c:ptCount val="1"/>
                <c:pt idx="0">
                  <c:v>Total Revenue</c:v>
                </c:pt>
              </c:strCache>
            </c:strRef>
          </c:tx>
          <c:spPr>
            <a:solidFill>
              <a:schemeClr val="accent6">
                <a:alpha val="70000"/>
              </a:schemeClr>
            </a:solidFill>
            <a:ln>
              <a:noFill/>
            </a:ln>
            <a:effectLst/>
          </c:spPr>
          <c:invertIfNegative val="0"/>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0E89-433E-9F33-1A131DF101CE}"/>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3-0E89-433E-9F33-1A131DF101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'Q4'!$A$6:$A$10</c:f>
              <c:strCache>
                <c:ptCount val="4"/>
                <c:pt idx="0">
                  <c:v>1. Retail (1-3 Units)</c:v>
                </c:pt>
                <c:pt idx="1">
                  <c:v>2. Mid-Market (4-7 Units)</c:v>
                </c:pt>
                <c:pt idx="2">
                  <c:v>3. Wholesale / Bulk (8+ Units)</c:v>
                </c:pt>
                <c:pt idx="3">
                  <c:v>Non-Billable / Zero</c:v>
                </c:pt>
              </c:strCache>
            </c:strRef>
          </c:cat>
          <c:val>
            <c:numRef>
              <c:f>'Q4'!$B$6:$B$10</c:f>
              <c:numCache>
                <c:formatCode>General</c:formatCode>
                <c:ptCount val="4"/>
                <c:pt idx="0">
                  <c:v>158695.68000000005</c:v>
                </c:pt>
                <c:pt idx="1">
                  <c:v>920569.43999999971</c:v>
                </c:pt>
                <c:pt idx="2">
                  <c:v>322924.22999999992</c:v>
                </c:pt>
                <c:pt idx="3">
                  <c:v>0</c:v>
                </c:pt>
              </c:numCache>
            </c:numRef>
          </c:val>
          <c:extLst>
            <c:ext xmlns:c16="http://schemas.microsoft.com/office/drawing/2014/chart" uri="{C3380CC4-5D6E-409C-BE32-E72D297353CC}">
              <c16:uniqueId val="{00000004-0E89-433E-9F33-1A131DF101CE}"/>
            </c:ext>
          </c:extLst>
        </c:ser>
        <c:ser>
          <c:idx val="1"/>
          <c:order val="1"/>
          <c:tx>
            <c:strRef>
              <c:f>'Q4'!$C$5</c:f>
              <c:strCache>
                <c:ptCount val="1"/>
                <c:pt idx="0">
                  <c:v>percentage</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'Q4'!$A$6:$A$10</c:f>
              <c:strCache>
                <c:ptCount val="4"/>
                <c:pt idx="0">
                  <c:v>1. Retail (1-3 Units)</c:v>
                </c:pt>
                <c:pt idx="1">
                  <c:v>2. Mid-Market (4-7 Units)</c:v>
                </c:pt>
                <c:pt idx="2">
                  <c:v>3. Wholesale / Bulk (8+ Units)</c:v>
                </c:pt>
                <c:pt idx="3">
                  <c:v>Non-Billable / Zero</c:v>
                </c:pt>
              </c:strCache>
            </c:strRef>
          </c:cat>
          <c:val>
            <c:numRef>
              <c:f>'Q4'!$C$6:$C$10</c:f>
              <c:numCache>
                <c:formatCode>0.00%</c:formatCode>
                <c:ptCount val="4"/>
                <c:pt idx="0">
                  <c:v>0.24914965986394558</c:v>
                </c:pt>
                <c:pt idx="1">
                  <c:v>0.62159863945578231</c:v>
                </c:pt>
                <c:pt idx="2">
                  <c:v>0.12329931972789115</c:v>
                </c:pt>
                <c:pt idx="3">
                  <c:v>5.9523809523809521E-3</c:v>
                </c:pt>
              </c:numCache>
            </c:numRef>
          </c:val>
          <c:extLst>
            <c:ext xmlns:c16="http://schemas.microsoft.com/office/drawing/2014/chart" uri="{C3380CC4-5D6E-409C-BE32-E72D297353CC}">
              <c16:uniqueId val="{00000005-0E89-433E-9F33-1A131DF101CE}"/>
            </c:ext>
          </c:extLst>
        </c:ser>
        <c:dLbls>
          <c:dLblPos val="outEnd"/>
          <c:showLegendKey val="0"/>
          <c:showVal val="1"/>
          <c:showCatName val="0"/>
          <c:showSerName val="0"/>
          <c:showPercent val="0"/>
          <c:showBubbleSize val="0"/>
        </c:dLbls>
        <c:gapWidth val="80"/>
        <c:overlap val="25"/>
        <c:axId val="562955680"/>
        <c:axId val="1257922831"/>
      </c:barChart>
      <c:catAx>
        <c:axId val="562955680"/>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257922831"/>
        <c:crosses val="autoZero"/>
        <c:auto val="1"/>
        <c:lblAlgn val="ctr"/>
        <c:lblOffset val="100"/>
        <c:noMultiLvlLbl val="0"/>
      </c:catAx>
      <c:valAx>
        <c:axId val="1257922831"/>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56295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[githubsalesoverview.xlsx]Q1!PivotTable3</c:name>
    <c:fmtId val="24"/>
  </c:pivotSource>
  <c:chart>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3"/>
        <c:spPr>
          <a:solidFill>
            <a:srgbClr val="00B0F0"/>
          </a:soli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a:outerShdw blurRad="57150" dist="19050" dir="5400000" algn="ctr" rotWithShape="0">
              <a:srgbClr val="000000">
                <a:alpha val="63000"/>
              </a:srgbClr>
            </a:outerShdw>
          </a:effectLst>
        </c:spPr>
      </c:pivotFmt>
      <c:pivotFmt>
        <c:idx val="6"/>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F0"/>
          </a:solidFill>
          <a:ln>
            <a:noFill/>
          </a:ln>
          <a:effectLst>
            <a:outerShdw blurRad="57150" dist="19050" dir="5400000" algn="ctr" rotWithShape="0">
              <a:srgbClr val="000000">
                <a:alpha val="63000"/>
              </a:srgbClr>
            </a:outerShdw>
          </a:effectLst>
        </c:spPr>
      </c:pivotFmt>
      <c:pivotFmt>
        <c:idx val="10"/>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'Q1'!$B$4</c:f>
              <c:strCache>
                <c:ptCount val="1"/>
                <c:pt idx="0">
                  <c:v>total Revenue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07D-4330-96CE-981ED8256A32}"/>
              </c:ext>
            </c:extLst>
          </c:dPt>
          <c:dPt>
            <c:idx val="2"/>
            <c:invertIfNegative val="0"/>
            <c:bubble3D val="0"/>
            <c:spPr>
              <a:solidFill>
                <a:schemeClr val="accent5">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07D-4330-96CE-981ED8256A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'Q1'!$A$5:$A$8</c:f>
              <c:strCache>
                <c:ptCount val="3"/>
                <c:pt idx="0">
                  <c:v>Electronics</c:v>
                </c:pt>
                <c:pt idx="1">
                  <c:v>Furniture</c:v>
                </c:pt>
                <c:pt idx="2">
                  <c:v>Office Supplies</c:v>
                </c:pt>
              </c:strCache>
            </c:strRef>
          </c:cat>
          <c:val>
            <c:numRef>
              <c:f>'Q1'!$B$5:$B$8</c:f>
              <c:numCache>
                <c:formatCode>General</c:formatCode>
                <c:ptCount val="3"/>
                <c:pt idx="0">
                  <c:v>518708.37999999983</c:v>
                </c:pt>
                <c:pt idx="1">
                  <c:v>336036.55999999988</c:v>
                </c:pt>
                <c:pt idx="2">
                  <c:v>547444.41000000015</c:v>
                </c:pt>
              </c:numCache>
            </c:numRef>
          </c:val>
          <c:extLst>
            <c:ext xmlns:c16="http://schemas.microsoft.com/office/drawing/2014/chart" uri="{C3380CC4-5D6E-409C-BE32-E72D297353CC}">
              <c16:uniqueId val="{00000004-A07D-4330-96CE-981ED8256A32}"/>
            </c:ext>
          </c:extLst>
        </c:ser>
        <c:ser>
          <c:idx val="1"/>
          <c:order val="1"/>
          <c:tx>
            <c:strRef>
              <c:f>'Q1'!$C$4</c:f>
              <c:strCache>
                <c:ptCount val="1"/>
                <c:pt idx="0">
                  <c:v>Percent of Total Revenue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'Q1'!$A$5:$A$8</c:f>
              <c:strCache>
                <c:ptCount val="3"/>
                <c:pt idx="0">
                  <c:v>Electronics</c:v>
                </c:pt>
                <c:pt idx="1">
                  <c:v>Furniture</c:v>
                </c:pt>
                <c:pt idx="2">
                  <c:v>Office Supplies</c:v>
                </c:pt>
              </c:strCache>
            </c:strRef>
          </c:cat>
          <c:val>
            <c:numRef>
              <c:f>'Q1'!$C$5:$C$8</c:f>
              <c:numCache>
                <c:formatCode>0.00%</c:formatCode>
                <c:ptCount val="3"/>
                <c:pt idx="0">
                  <c:v>0.36819727891156462</c:v>
                </c:pt>
                <c:pt idx="1">
                  <c:v>0.24914965986394558</c:v>
                </c:pt>
                <c:pt idx="2">
                  <c:v>0.38265306122448978</c:v>
                </c:pt>
              </c:numCache>
            </c:numRef>
          </c:val>
          <c:extLst>
            <c:ext xmlns:c16="http://schemas.microsoft.com/office/drawing/2014/chart" uri="{C3380CC4-5D6E-409C-BE32-E72D297353CC}">
              <c16:uniqueId val="{00000005-A07D-4330-96CE-981ED8256A32}"/>
            </c:ext>
          </c:extLst>
        </c:ser>
        <c:dLbls>
          <c:dLblPos val="outEnd"/>
          <c:showLegendKey val="0"/>
          <c:showVal val="1"/>
          <c:showCatName val="0"/>
          <c:showSerName val="0"/>
          <c:showPercent val="0"/>
          <c:showBubbleSize val="0"/>
        </c:dLbls>
        <c:gapWidth val="100"/>
        <c:overlap val="-24"/>
        <c:axId val="562845712"/>
        <c:axId val="213262864"/>
      </c:barChart>
      <c:catAx>
        <c:axId val="5628457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62864"/>
        <c:crosses val="autoZero"/>
        <c:auto val="1"/>
        <c:lblAlgn val="ctr"/>
        <c:lblOffset val="100"/>
        <c:noMultiLvlLbl val="0"/>
      </c:catAx>
      <c:valAx>
        <c:axId val="21326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84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88900</xdr:colOff>
      <xdr:row>8</xdr:row>
      <xdr:rowOff>165100</xdr:rowOff>
    </xdr:from>
    <xdr:to>
      <xdr:col>4</xdr:col>
      <xdr:colOff>171450</xdr:colOff>
      <xdr:row>19</xdr:row>
      <xdr:rowOff>12700</xdr:rowOff>
    </xdr:to>
    <xdr:graphicFrame macro="">
      <xdr:nvGraphicFramePr>
        <xdr:cNvPr id="2" name="Chart 1">
          <a:extLst>
            <a:ext uri="{FF2B5EF4-FFF2-40B4-BE49-F238E27FC236}">
              <a16:creationId xmlns:a16="http://schemas.microsoft.com/office/drawing/2014/main" id="{E632AC2A-D537-EC38-3135-F763EBA52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603250</xdr:colOff>
      <xdr:row>1</xdr:row>
      <xdr:rowOff>38100</xdr:rowOff>
    </xdr:from>
    <xdr:to>
      <xdr:col>12</xdr:col>
      <xdr:colOff>603250</xdr:colOff>
      <xdr:row>8</xdr:row>
      <xdr:rowOff>63500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589165AB-3C4F-13F1-2529-4E50531B012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835900" y="222250"/>
              <a:ext cx="1828800"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173182</xdr:colOff>
      <xdr:row>13</xdr:row>
      <xdr:rowOff>15256</xdr:rowOff>
    </xdr:from>
    <xdr:to>
      <xdr:col>4</xdr:col>
      <xdr:colOff>280390</xdr:colOff>
      <xdr:row>28</xdr:row>
      <xdr:rowOff>177635</xdr:rowOff>
    </xdr:to>
    <xdr:graphicFrame macro="">
      <xdr:nvGraphicFramePr>
        <xdr:cNvPr id="2" name="Chart 1">
          <a:extLst>
            <a:ext uri="{FF2B5EF4-FFF2-40B4-BE49-F238E27FC236}">
              <a16:creationId xmlns:a16="http://schemas.microsoft.com/office/drawing/2014/main" id="{D753C122-F3D6-D230-8CCB-FB20350B76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429985</xdr:colOff>
      <xdr:row>1</xdr:row>
      <xdr:rowOff>79827</xdr:rowOff>
    </xdr:from>
    <xdr:to>
      <xdr:col>13</xdr:col>
      <xdr:colOff>428006</xdr:colOff>
      <xdr:row>11</xdr:row>
      <xdr:rowOff>131947</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26B7D747-8B6B-D33F-DA30-63B3DE5B4DD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04466" y="261256"/>
              <a:ext cx="1828800" cy="1866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628650</xdr:colOff>
      <xdr:row>14</xdr:row>
      <xdr:rowOff>44450</xdr:rowOff>
    </xdr:from>
    <xdr:to>
      <xdr:col>5</xdr:col>
      <xdr:colOff>438150</xdr:colOff>
      <xdr:row>29</xdr:row>
      <xdr:rowOff>50800</xdr:rowOff>
    </xdr:to>
    <xdr:graphicFrame macro="">
      <xdr:nvGraphicFramePr>
        <xdr:cNvPr id="2" name="Chart 1">
          <a:extLst>
            <a:ext uri="{FF2B5EF4-FFF2-40B4-BE49-F238E27FC236}">
              <a16:creationId xmlns:a16="http://schemas.microsoft.com/office/drawing/2014/main" id="{CE5B0D26-D331-631B-2081-8B378B5FC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577850</xdr:colOff>
      <xdr:row>4</xdr:row>
      <xdr:rowOff>31750</xdr:rowOff>
    </xdr:from>
    <xdr:to>
      <xdr:col>11</xdr:col>
      <xdr:colOff>577850</xdr:colOff>
      <xdr:row>13</xdr:row>
      <xdr:rowOff>152400</xdr:rowOff>
    </xdr:to>
    <mc:AlternateContent xmlns:mc="http://schemas.openxmlformats.org/markup-compatibility/2006">
      <mc:Choice xmlns:a14="http://schemas.microsoft.com/office/drawing/2010/main" Requires="a14">
        <xdr:graphicFrame macro="">
          <xdr:nvGraphicFramePr>
            <xdr:cNvPr id="3" name="Payment_Method">
              <a:extLst>
                <a:ext uri="{FF2B5EF4-FFF2-40B4-BE49-F238E27FC236}">
                  <a16:creationId xmlns:a16="http://schemas.microsoft.com/office/drawing/2014/main" id="{6010D08D-810D-407A-1C74-C97FCE8D0702}"/>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6413500" y="806450"/>
              <a:ext cx="1828800" cy="177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146050</xdr:colOff>
      <xdr:row>11</xdr:row>
      <xdr:rowOff>57150</xdr:rowOff>
    </xdr:from>
    <xdr:to>
      <xdr:col>2</xdr:col>
      <xdr:colOff>1663700</xdr:colOff>
      <xdr:row>23</xdr:row>
      <xdr:rowOff>50800</xdr:rowOff>
    </xdr:to>
    <xdr:graphicFrame macro="">
      <xdr:nvGraphicFramePr>
        <xdr:cNvPr id="2" name="Chart 1">
          <a:extLst>
            <a:ext uri="{FF2B5EF4-FFF2-40B4-BE49-F238E27FC236}">
              <a16:creationId xmlns:a16="http://schemas.microsoft.com/office/drawing/2014/main" id="{CA751A0F-46B4-C05C-3810-1D5EFBFDD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419100</xdr:colOff>
      <xdr:row>2</xdr:row>
      <xdr:rowOff>82550</xdr:rowOff>
    </xdr:from>
    <xdr:to>
      <xdr:col>12</xdr:col>
      <xdr:colOff>419100</xdr:colOff>
      <xdr:row>10</xdr:row>
      <xdr:rowOff>177800</xdr:rowOff>
    </xdr:to>
    <mc:AlternateContent xmlns:mc="http://schemas.openxmlformats.org/markup-compatibility/2006">
      <mc:Choice xmlns:a14="http://schemas.microsoft.com/office/drawing/2010/main" Requires="a14">
        <xdr:graphicFrame macro="">
          <xdr:nvGraphicFramePr>
            <xdr:cNvPr id="3" name="Market Tier">
              <a:extLst>
                <a:ext uri="{FF2B5EF4-FFF2-40B4-BE49-F238E27FC236}">
                  <a16:creationId xmlns:a16="http://schemas.microsoft.com/office/drawing/2014/main" id="{609ADC97-FD75-E378-698A-83F6AF48E7EB}"/>
                </a:ext>
              </a:extLst>
            </xdr:cNvPr>
            <xdr:cNvGraphicFramePr/>
          </xdr:nvGraphicFramePr>
          <xdr:xfrm>
            <a:off x="0" y="0"/>
            <a:ext cx="0" cy="0"/>
          </xdr:xfrm>
          <a:graphic>
            <a:graphicData uri="http://schemas.microsoft.com/office/drawing/2010/slicer">
              <sle:slicer xmlns:sle="http://schemas.microsoft.com/office/drawing/2010/slicer" name="Market Tier"/>
            </a:graphicData>
          </a:graphic>
        </xdr:graphicFrame>
      </mc:Choice>
      <mc:Fallback>
        <xdr:sp macro="" textlink="">
          <xdr:nvSpPr>
            <xdr:cNvPr id="0" name=""/>
            <xdr:cNvSpPr>
              <a:spLocks noTextEdit="1"/>
            </xdr:cNvSpPr>
          </xdr:nvSpPr>
          <xdr:spPr>
            <a:xfrm>
              <a:off x="9124950" y="488950"/>
              <a:ext cx="1828800" cy="1568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273050</xdr:colOff>
      <xdr:row>0</xdr:row>
      <xdr:rowOff>99484</xdr:rowOff>
    </xdr:from>
    <xdr:to>
      <xdr:col>21</xdr:col>
      <xdr:colOff>476250</xdr:colOff>
      <xdr:row>39</xdr:row>
      <xdr:rowOff>95251</xdr:rowOff>
    </xdr:to>
    <xdr:sp macro="" textlink="">
      <xdr:nvSpPr>
        <xdr:cNvPr id="2" name="Rectangle 1">
          <a:extLst>
            <a:ext uri="{FF2B5EF4-FFF2-40B4-BE49-F238E27FC236}">
              <a16:creationId xmlns:a16="http://schemas.microsoft.com/office/drawing/2014/main" id="{49DEFFE5-A487-FE55-7169-65776CC3D325}"/>
            </a:ext>
          </a:extLst>
        </xdr:cNvPr>
        <xdr:cNvSpPr/>
      </xdr:nvSpPr>
      <xdr:spPr>
        <a:xfrm>
          <a:off x="273050" y="99484"/>
          <a:ext cx="13093700" cy="701251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355600</xdr:colOff>
      <xdr:row>1</xdr:row>
      <xdr:rowOff>158750</xdr:rowOff>
    </xdr:from>
    <xdr:to>
      <xdr:col>18</xdr:col>
      <xdr:colOff>95250</xdr:colOff>
      <xdr:row>17</xdr:row>
      <xdr:rowOff>96158</xdr:rowOff>
    </xdr:to>
    <xdr:graphicFrame macro="">
      <xdr:nvGraphicFramePr>
        <xdr:cNvPr id="4" name="Chart 3">
          <a:extLst>
            <a:ext uri="{FF2B5EF4-FFF2-40B4-BE49-F238E27FC236}">
              <a16:creationId xmlns:a16="http://schemas.microsoft.com/office/drawing/2014/main" id="{CA0D177E-5C09-4E3A-9B14-167011C08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137583</xdr:colOff>
      <xdr:row>19</xdr:row>
      <xdr:rowOff>63500</xdr:rowOff>
    </xdr:from>
    <xdr:to>
      <xdr:col>9</xdr:col>
      <xdr:colOff>486833</xdr:colOff>
      <xdr:row>37</xdr:row>
      <xdr:rowOff>124883</xdr:rowOff>
    </xdr:to>
    <xdr:graphicFrame macro="">
      <xdr:nvGraphicFramePr>
        <xdr:cNvPr id="5" name="Chart 4">
          <a:extLst>
            <a:ext uri="{FF2B5EF4-FFF2-40B4-BE49-F238E27FC236}">
              <a16:creationId xmlns:a16="http://schemas.microsoft.com/office/drawing/2014/main" id="{DEB05D12-7EA4-4061-8C85-DFA547DBB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179917</xdr:colOff>
      <xdr:row>19</xdr:row>
      <xdr:rowOff>74084</xdr:rowOff>
    </xdr:from>
    <xdr:to>
      <xdr:col>18</xdr:col>
      <xdr:colOff>120650</xdr:colOff>
      <xdr:row>37</xdr:row>
      <xdr:rowOff>114300</xdr:rowOff>
    </xdr:to>
    <xdr:graphicFrame macro="">
      <xdr:nvGraphicFramePr>
        <xdr:cNvPr id="6" name="Chart 5">
          <a:extLst>
            <a:ext uri="{FF2B5EF4-FFF2-40B4-BE49-F238E27FC236}">
              <a16:creationId xmlns:a16="http://schemas.microsoft.com/office/drawing/2014/main" id="{8AF22B38-2343-4E07-AC0E-77A63F4DE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120650</xdr:colOff>
      <xdr:row>2</xdr:row>
      <xdr:rowOff>31751</xdr:rowOff>
    </xdr:from>
    <xdr:to>
      <xdr:col>9</xdr:col>
      <xdr:colOff>486833</xdr:colOff>
      <xdr:row>17</xdr:row>
      <xdr:rowOff>21167</xdr:rowOff>
    </xdr:to>
    <xdr:graphicFrame macro="">
      <xdr:nvGraphicFramePr>
        <xdr:cNvPr id="9" name="Chart 8">
          <a:extLst>
            <a:ext uri="{FF2B5EF4-FFF2-40B4-BE49-F238E27FC236}">
              <a16:creationId xmlns:a16="http://schemas.microsoft.com/office/drawing/2014/main" id="{19687264-4F98-49EB-BB3D-7ED8A2D17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315383</xdr:colOff>
      <xdr:row>31</xdr:row>
      <xdr:rowOff>162983</xdr:rowOff>
    </xdr:from>
    <xdr:to>
      <xdr:col>21</xdr:col>
      <xdr:colOff>315383</xdr:colOff>
      <xdr:row>38</xdr:row>
      <xdr:rowOff>173567</xdr:rowOff>
    </xdr:to>
    <mc:AlternateContent xmlns:mc="http://schemas.openxmlformats.org/markup-compatibility/2006">
      <mc:Choice xmlns:a14="http://schemas.microsoft.com/office/drawing/2010/main" Requires="a14">
        <xdr:graphicFrame macro="">
          <xdr:nvGraphicFramePr>
            <xdr:cNvPr id="10" name="Cleaned_Category 1">
              <a:extLst>
                <a:ext uri="{FF2B5EF4-FFF2-40B4-BE49-F238E27FC236}">
                  <a16:creationId xmlns:a16="http://schemas.microsoft.com/office/drawing/2014/main" id="{F67F5344-FA4B-4CA5-A105-5BB0D5127530}"/>
                </a:ext>
              </a:extLst>
            </xdr:cNvPr>
            <xdr:cNvGraphicFramePr/>
          </xdr:nvGraphicFramePr>
          <xdr:xfrm>
            <a:off x="0" y="0"/>
            <a:ext cx="0" cy="0"/>
          </xdr:xfrm>
          <a:graphic>
            <a:graphicData uri="http://schemas.microsoft.com/office/drawing/2010/slicer">
              <sle:slicer xmlns:sle="http://schemas.microsoft.com/office/drawing/2010/slicer" name="Cleaned_Category 1"/>
            </a:graphicData>
          </a:graphic>
        </xdr:graphicFrame>
      </mc:Choice>
      <mc:Fallback>
        <xdr:sp macro="" textlink="">
          <xdr:nvSpPr>
            <xdr:cNvPr id="0" name=""/>
            <xdr:cNvSpPr>
              <a:spLocks noTextEdit="1"/>
            </xdr:cNvSpPr>
          </xdr:nvSpPr>
          <xdr:spPr>
            <a:xfrm>
              <a:off x="11364383" y="5740400"/>
              <a:ext cx="1841500" cy="127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364066</xdr:colOff>
      <xdr:row>1</xdr:row>
      <xdr:rowOff>116416</xdr:rowOff>
    </xdr:from>
    <xdr:to>
      <xdr:col>21</xdr:col>
      <xdr:colOff>364066</xdr:colOff>
      <xdr:row>11</xdr:row>
      <xdr:rowOff>120155</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E3A7E77D-B0E2-4CF5-A80E-95CB749CCD6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413066" y="296333"/>
              <a:ext cx="1841500" cy="1802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345016</xdr:colOff>
      <xdr:row>12</xdr:row>
      <xdr:rowOff>99483</xdr:rowOff>
    </xdr:from>
    <xdr:to>
      <xdr:col>21</xdr:col>
      <xdr:colOff>345016</xdr:colOff>
      <xdr:row>22</xdr:row>
      <xdr:rowOff>14816</xdr:rowOff>
    </xdr:to>
    <mc:AlternateContent xmlns:mc="http://schemas.openxmlformats.org/markup-compatibility/2006">
      <mc:Choice xmlns:a14="http://schemas.microsoft.com/office/drawing/2010/main" Requires="a14">
        <xdr:graphicFrame macro="">
          <xdr:nvGraphicFramePr>
            <xdr:cNvPr id="12" name="Payment_Method 1">
              <a:extLst>
                <a:ext uri="{FF2B5EF4-FFF2-40B4-BE49-F238E27FC236}">
                  <a16:creationId xmlns:a16="http://schemas.microsoft.com/office/drawing/2014/main" id="{FB7EF27A-8CBD-47B7-A3A9-9E78E8206C82}"/>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11394016" y="2258483"/>
              <a:ext cx="18415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353483</xdr:colOff>
      <xdr:row>22</xdr:row>
      <xdr:rowOff>152400</xdr:rowOff>
    </xdr:from>
    <xdr:to>
      <xdr:col>21</xdr:col>
      <xdr:colOff>353483</xdr:colOff>
      <xdr:row>31</xdr:row>
      <xdr:rowOff>50800</xdr:rowOff>
    </xdr:to>
    <mc:AlternateContent xmlns:mc="http://schemas.openxmlformats.org/markup-compatibility/2006">
      <mc:Choice xmlns:a14="http://schemas.microsoft.com/office/drawing/2010/main" Requires="a14">
        <xdr:graphicFrame macro="">
          <xdr:nvGraphicFramePr>
            <xdr:cNvPr id="13" name="Market Tier 1">
              <a:extLst>
                <a:ext uri="{FF2B5EF4-FFF2-40B4-BE49-F238E27FC236}">
                  <a16:creationId xmlns:a16="http://schemas.microsoft.com/office/drawing/2014/main" id="{C917545E-831C-40E6-B341-3DCE7295D165}"/>
                </a:ext>
              </a:extLst>
            </xdr:cNvPr>
            <xdr:cNvGraphicFramePr/>
          </xdr:nvGraphicFramePr>
          <xdr:xfrm>
            <a:off x="0" y="0"/>
            <a:ext cx="0" cy="0"/>
          </xdr:xfrm>
          <a:graphic>
            <a:graphicData uri="http://schemas.microsoft.com/office/drawing/2010/slicer">
              <sle:slicer xmlns:sle="http://schemas.microsoft.com/office/drawing/2010/slicer" name="Market Tier 1"/>
            </a:graphicData>
          </a:graphic>
        </xdr:graphicFrame>
      </mc:Choice>
      <mc:Fallback>
        <xdr:sp macro="" textlink="">
          <xdr:nvSpPr>
            <xdr:cNvPr id="0" name=""/>
            <xdr:cNvSpPr>
              <a:spLocks noTextEdit="1"/>
            </xdr:cNvSpPr>
          </xdr:nvSpPr>
          <xdr:spPr>
            <a:xfrm>
              <a:off x="11402483" y="4110567"/>
              <a:ext cx="1841500" cy="1517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suvar" refreshedDate="46303.70863854167" createdVersion="8" refreshedVersion="8" minRefreshableVersion="3" recordCount="1176" xr:uid="{A73AB0DA-2259-4127-B1C0-EFBEA1F16946}">
  <cacheSource type="worksheet">
    <worksheetSource name="Sheet1"/>
  </cacheSource>
  <cacheFields count="15">
    <cacheField name="Transaction_ID" numFmtId="0">
      <sharedItems/>
    </cacheField>
    <cacheField name="Date" numFmtId="14">
      <sharedItems containsSemiMixedTypes="0" containsNonDate="0" containsDate="1" containsString="0" minDate="1899-12-31T00:00:00" maxDate="2024-01-02T00:00:00"/>
    </cacheField>
    <cacheField name="Region" numFmtId="0">
      <sharedItems count="5">
        <s v="South"/>
        <s v="North"/>
        <s v="West"/>
        <s v="East"/>
        <s v="Unknown Region"/>
      </sharedItems>
    </cacheField>
    <cacheField name="Category" numFmtId="0">
      <sharedItems/>
    </cacheField>
    <cacheField name="Cleaned_Category" numFmtId="0">
      <sharedItems count="3">
        <s v="Office Supplies"/>
        <s v="Electronics"/>
        <s v="Furniture"/>
      </sharedItems>
    </cacheField>
    <cacheField name="Units_Sold" numFmtId="0">
      <sharedItems containsString="0" containsBlank="1" containsNumber="1" containsInteger="1" minValue="-10" maxValue="9999"/>
    </cacheField>
    <cacheField name="Market Tier" numFmtId="0">
      <sharedItems count="4">
        <s v="2. Mid-Market (4-7 Units)"/>
        <s v="1. Retail (1-3 Units)"/>
        <s v="3. Wholesale / Bulk (8+ Units)"/>
        <s v="Non-Billable / Zero"/>
      </sharedItems>
    </cacheField>
    <cacheField name="CleanedUnits_sold" numFmtId="0">
      <sharedItems containsSemiMixedTypes="0" containsString="0" containsNumber="1" containsInteger="1" minValue="0" maxValue="12"/>
    </cacheField>
    <cacheField name="Unit_Price" numFmtId="0">
      <sharedItems containsBlank="1" containsMixedTypes="1" containsNumber="1" minValue="-195.94" maxValue="499.46"/>
    </cacheField>
    <cacheField name="Cleaned_Unit_Price" numFmtId="0">
      <sharedItems containsSemiMixedTypes="0" containsString="0" containsNumber="1" minValue="0" maxValue="499.46"/>
    </cacheField>
    <cacheField name="Cleaned_total_amount" numFmtId="0">
      <sharedItems containsSemiMixedTypes="0" containsString="0" containsNumber="1" minValue="0" maxValue="5830.8"/>
    </cacheField>
    <cacheField name="Total_Amount" numFmtId="0">
      <sharedItems containsString="0" containsBlank="1" containsNumber="1" minValue="0" maxValue="5830.8"/>
    </cacheField>
    <cacheField name="Customer_Email" numFmtId="0">
      <sharedItems containsBlank="1"/>
    </cacheField>
    <cacheField name="Payment_Method" numFmtId="0">
      <sharedItems count="5">
        <s v="Credit Card"/>
        <s v="Unknown"/>
        <s v="PayPal"/>
        <s v="Debit Card"/>
        <s v="Cash"/>
      </sharedItems>
    </cacheField>
    <cacheField name="Cleaned_Customer_Email" numFmtId="0">
      <sharedItems/>
    </cacheField>
  </cacheFields>
  <extLst>
    <ext xmlns:x14="http://schemas.microsoft.com/office/spreadsheetml/2009/9/main" uri="{725AE2AE-9491-48be-B2B4-4EB974FC3084}">
      <x14:pivotCacheDefinition pivotCacheId="6840281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6">
  <r>
    <s v="TXN-1000"/>
    <d v="2023-07-13T00:00:00"/>
    <x v="0"/>
    <s v="Office Supplies"/>
    <x v="0"/>
    <n v="5"/>
    <x v="0"/>
    <n v="5"/>
    <n v="387.29"/>
    <n v="387.29"/>
    <n v="1936.45"/>
    <n v="1936.45"/>
    <s v="user_0@company.com"/>
    <x v="0"/>
    <s v="user_0@company.com"/>
  </r>
  <r>
    <s v="TXN-1001"/>
    <d v="2023-11-18T00:00:00"/>
    <x v="1"/>
    <s v="Office Supplies"/>
    <x v="0"/>
    <n v="4"/>
    <x v="0"/>
    <n v="4"/>
    <n v="60.94"/>
    <n v="60.94"/>
    <n v="243.76"/>
    <n v="243.76"/>
    <s v="user_1@company.com"/>
    <x v="0"/>
    <s v="user_1@company.com"/>
  </r>
  <r>
    <s v="TXN-1002"/>
    <d v="2023-12-27T00:00:00"/>
    <x v="2"/>
    <s v="Office Supplies"/>
    <x v="0"/>
    <n v="4"/>
    <x v="0"/>
    <n v="4"/>
    <n v="481.56"/>
    <n v="481.56"/>
    <n v="1926.24"/>
    <n v="1926.24"/>
    <s v="user_2@company.com"/>
    <x v="1"/>
    <s v="user_2@company.com"/>
  </r>
  <r>
    <s v="TXN-1003"/>
    <d v="1899-12-31T00:00:00"/>
    <x v="3"/>
    <s v="Electronics"/>
    <x v="1"/>
    <n v="5"/>
    <x v="0"/>
    <n v="5"/>
    <n v="446.21"/>
    <n v="446.21"/>
    <n v="2231.0500000000002"/>
    <n v="2231.0500000000002"/>
    <s v="user_3@company.com"/>
    <x v="2"/>
    <s v="user_3@company.com"/>
  </r>
  <r>
    <s v="TXN-1004"/>
    <d v="2023-05-29T00:00:00"/>
    <x v="1"/>
    <s v="Electronics"/>
    <x v="1"/>
    <n v="5"/>
    <x v="0"/>
    <n v="5"/>
    <n v="142.47"/>
    <n v="142.47"/>
    <n v="712.35"/>
    <n v="712.35"/>
    <s v="user_4@company.com"/>
    <x v="0"/>
    <s v="user_4@company.com"/>
  </r>
  <r>
    <s v="TXN-1005"/>
    <d v="2023-02-21T00:00:00"/>
    <x v="3"/>
    <s v="Office Supplies"/>
    <x v="0"/>
    <n v="3"/>
    <x v="1"/>
    <n v="3"/>
    <n v="413.15"/>
    <n v="413.15"/>
    <n v="1239.45"/>
    <n v="1239.45"/>
    <s v="user_5@company.com"/>
    <x v="2"/>
    <s v="user_5@company.com"/>
  </r>
  <r>
    <s v="TXN-1006"/>
    <d v="2023-11-22T00:00:00"/>
    <x v="3"/>
    <s v="Furniture "/>
    <x v="2"/>
    <n v="5"/>
    <x v="0"/>
    <n v="5"/>
    <n v="263.98"/>
    <n v="263.98"/>
    <n v="1319.9"/>
    <n v="1319.9"/>
    <s v="user_6@company.com"/>
    <x v="2"/>
    <s v="user_6@company.com"/>
  </r>
  <r>
    <s v="TXN-1007"/>
    <d v="2023-01-07T00:00:00"/>
    <x v="3"/>
    <s v="Furniture "/>
    <x v="2"/>
    <n v="4"/>
    <x v="0"/>
    <n v="4"/>
    <n v="236.29"/>
    <n v="236.29"/>
    <n v="945.16"/>
    <n v="945.16"/>
    <s v="user_7@company.com"/>
    <x v="2"/>
    <s v="user_7@company.com"/>
  </r>
  <r>
    <s v="TXN-1008"/>
    <d v="2023-12-26T00:00:00"/>
    <x v="1"/>
    <s v="Office Supplies"/>
    <x v="0"/>
    <n v="6"/>
    <x v="0"/>
    <n v="6"/>
    <n v="164.07"/>
    <n v="164.07"/>
    <n v="984.42"/>
    <n v="984.42"/>
    <s v="user_8@company.com"/>
    <x v="3"/>
    <s v="user_8@company.com"/>
  </r>
  <r>
    <s v="TXN-1009"/>
    <d v="1899-12-31T00:00:00"/>
    <x v="2"/>
    <s v="Office Supplies"/>
    <x v="0"/>
    <n v="7"/>
    <x v="0"/>
    <n v="7"/>
    <n v="294.67"/>
    <n v="294.67"/>
    <n v="2062.69"/>
    <n v="2062.69"/>
    <s v="user_9@company.com"/>
    <x v="3"/>
    <s v="user_9@company.com"/>
  </r>
  <r>
    <s v="TXN-1010"/>
    <d v="2023-07-14T00:00:00"/>
    <x v="1"/>
    <s v="Furniture "/>
    <x v="2"/>
    <n v="2"/>
    <x v="1"/>
    <n v="2"/>
    <n v="367.65"/>
    <n v="367.65"/>
    <n v="735.3"/>
    <m/>
    <s v="user_10@company.com"/>
    <x v="0"/>
    <s v="user_10@company.com"/>
  </r>
  <r>
    <s v="TXN-1011"/>
    <d v="1899-12-31T00:00:00"/>
    <x v="0"/>
    <s v="Office Supplies"/>
    <x v="0"/>
    <n v="5"/>
    <x v="0"/>
    <n v="5"/>
    <n v="211.36"/>
    <n v="211.36"/>
    <n v="1056.8"/>
    <m/>
    <s v="user_11@company.com"/>
    <x v="1"/>
    <s v="user_11@company.com"/>
  </r>
  <r>
    <s v="TXN-1012"/>
    <d v="1899-12-31T00:00:00"/>
    <x v="2"/>
    <s v="Furniture"/>
    <x v="2"/>
    <n v="5"/>
    <x v="0"/>
    <n v="5"/>
    <n v="318.32"/>
    <n v="318.32"/>
    <n v="1591.6"/>
    <n v="1645.25"/>
    <s v="user_12@company.com"/>
    <x v="0"/>
    <s v="user_12@company.com"/>
  </r>
  <r>
    <s v="TXN-1013"/>
    <d v="2023-06-11T00:00:00"/>
    <x v="2"/>
    <s v="Office Supplies"/>
    <x v="0"/>
    <n v="6"/>
    <x v="0"/>
    <n v="6"/>
    <n v="352.66"/>
    <n v="352.66"/>
    <n v="2115.96"/>
    <m/>
    <s v="invalid_email_at_gmail.com"/>
    <x v="4"/>
    <s v="invalid_email@gmail.com"/>
  </r>
  <r>
    <s v="TXN-1014"/>
    <d v="2023-04-19T00:00:00"/>
    <x v="0"/>
    <s v="Office Supplies"/>
    <x v="0"/>
    <n v="4"/>
    <x v="0"/>
    <n v="4"/>
    <n v="358.45"/>
    <n v="358.45"/>
    <n v="1433.8"/>
    <n v="1433.8"/>
    <s v="user_14@company.com"/>
    <x v="0"/>
    <s v="user_14@company.com"/>
  </r>
  <r>
    <s v="TXN-1015"/>
    <d v="2023-09-13T00:00:00"/>
    <x v="0"/>
    <s v="Electronics"/>
    <x v="1"/>
    <n v="6"/>
    <x v="0"/>
    <n v="6"/>
    <n v="35.46"/>
    <n v="35.46"/>
    <n v="212.76"/>
    <n v="212.76"/>
    <s v="user_15@company.com"/>
    <x v="2"/>
    <s v="user_15@company.com"/>
  </r>
  <r>
    <s v="TXN-1016"/>
    <d v="2023-11-26T00:00:00"/>
    <x v="0"/>
    <s v="Office Supplies"/>
    <x v="0"/>
    <n v="6"/>
    <x v="0"/>
    <n v="6"/>
    <n v="431.28"/>
    <n v="431.28"/>
    <n v="2587.6799999999998"/>
    <n v="2587.6799999999998"/>
    <s v="invalid_email_at_gmail.com"/>
    <x v="3"/>
    <s v="invalid_email@gmail.com"/>
  </r>
  <r>
    <s v="TXN-1017"/>
    <d v="1899-12-31T00:00:00"/>
    <x v="4"/>
    <s v="Office Supplies"/>
    <x v="0"/>
    <n v="1"/>
    <x v="1"/>
    <n v="1"/>
    <n v="234.54"/>
    <n v="234.54"/>
    <n v="234.54"/>
    <n v="234.54"/>
    <s v="user_17@company.com"/>
    <x v="0"/>
    <s v="user_17@company.com"/>
  </r>
  <r>
    <s v="TXN-1018"/>
    <d v="2023-10-03T00:00:00"/>
    <x v="1"/>
    <s v="Furniture "/>
    <x v="2"/>
    <n v="7"/>
    <x v="0"/>
    <n v="7"/>
    <n v="138.58000000000001"/>
    <n v="138.58000000000001"/>
    <n v="970.06"/>
    <n v="970.06"/>
    <s v="user_18@company.com"/>
    <x v="3"/>
    <s v="user_18@company.com"/>
  </r>
  <r>
    <s v="TXN-1019"/>
    <d v="2023-08-08T00:00:00"/>
    <x v="1"/>
    <s v="Furniture "/>
    <x v="2"/>
    <n v="2"/>
    <x v="1"/>
    <n v="2"/>
    <n v="128.46"/>
    <n v="128.46"/>
    <n v="256.92"/>
    <n v="623.42999999999995"/>
    <s v="user_19@company.com"/>
    <x v="0"/>
    <s v="user_19@company.com"/>
  </r>
  <r>
    <s v="TXN-1020"/>
    <d v="2023-03-12T00:00:00"/>
    <x v="1"/>
    <s v="Office Supplies"/>
    <x v="0"/>
    <n v="11"/>
    <x v="2"/>
    <n v="11"/>
    <n v="246.68"/>
    <n v="246.68"/>
    <n v="2713.48"/>
    <n v="2713.48"/>
    <s v="user_20@company.com"/>
    <x v="3"/>
    <s v="user_20@company.com"/>
  </r>
  <r>
    <s v="TXN-1021"/>
    <d v="1899-12-31T00:00:00"/>
    <x v="1"/>
    <s v="Office Supplies"/>
    <x v="0"/>
    <n v="4"/>
    <x v="0"/>
    <n v="4"/>
    <n v="444.55"/>
    <n v="444.55"/>
    <n v="1778.2"/>
    <n v="1778.2"/>
    <s v="user_21@company.com"/>
    <x v="2"/>
    <s v="user_21@company.com"/>
  </r>
  <r>
    <s v="TXN-1022"/>
    <d v="1899-12-31T00:00:00"/>
    <x v="3"/>
    <s v="Electronics"/>
    <x v="1"/>
    <n v="9999"/>
    <x v="0"/>
    <n v="5"/>
    <n v="195.39"/>
    <n v="195.39"/>
    <n v="976.95"/>
    <n v="586.16999999999996"/>
    <s v="user_22@company.com"/>
    <x v="0"/>
    <s v="user_22@company.com"/>
  </r>
  <r>
    <s v="TXN-1023"/>
    <d v="1899-12-31T00:00:00"/>
    <x v="2"/>
    <s v="Electronics"/>
    <x v="1"/>
    <n v="8"/>
    <x v="2"/>
    <n v="8"/>
    <n v="377.37"/>
    <n v="377.37"/>
    <n v="3018.96"/>
    <n v="3018.96"/>
    <s v="user_23@company.com"/>
    <x v="1"/>
    <s v="user_23@company.com"/>
  </r>
  <r>
    <s v="TXN-1024"/>
    <d v="2023-08-05T00:00:00"/>
    <x v="3"/>
    <s v="Furniture"/>
    <x v="2"/>
    <n v="3"/>
    <x v="1"/>
    <n v="3"/>
    <n v="57.44"/>
    <n v="57.44"/>
    <n v="172.32"/>
    <n v="172.32"/>
    <s v="user_24@company.com"/>
    <x v="2"/>
    <s v="user_24@company.com"/>
  </r>
  <r>
    <s v="TXN-1025"/>
    <d v="2023-11-02T00:00:00"/>
    <x v="4"/>
    <s v="Office Supplies"/>
    <x v="0"/>
    <n v="3"/>
    <x v="1"/>
    <n v="3"/>
    <n v="243.27"/>
    <n v="243.27"/>
    <n v="729.81"/>
    <n v="729.81"/>
    <s v="user_25@company.com"/>
    <x v="3"/>
    <s v="user_25@company.com"/>
  </r>
  <r>
    <s v="TXN-1026"/>
    <d v="2023-10-11T00:00:00"/>
    <x v="0"/>
    <s v="Electronics"/>
    <x v="1"/>
    <n v="5"/>
    <x v="0"/>
    <n v="5"/>
    <n v="495.93"/>
    <n v="495.93"/>
    <n v="2479.65"/>
    <m/>
    <s v="invalid_email_at_gmail.com"/>
    <x v="2"/>
    <s v="invalid_email@gmail.com"/>
  </r>
  <r>
    <s v="TXN-1027"/>
    <d v="2023-02-28T00:00:00"/>
    <x v="2"/>
    <s v="Electronics"/>
    <x v="1"/>
    <n v="8"/>
    <x v="2"/>
    <n v="8"/>
    <n v="387.51"/>
    <n v="387.51"/>
    <n v="3100.08"/>
    <n v="3100.08"/>
    <s v="user_27@company.com"/>
    <x v="0"/>
    <s v="user_27@company.com"/>
  </r>
  <r>
    <s v="TXN-1028"/>
    <d v="2023-06-24T00:00:00"/>
    <x v="1"/>
    <s v="Furniture"/>
    <x v="2"/>
    <n v="3"/>
    <x v="1"/>
    <n v="3"/>
    <n v="113.16"/>
    <n v="113.16"/>
    <n v="339.48"/>
    <n v="339.48"/>
    <s v="user_28@company.com"/>
    <x v="4"/>
    <s v="user_28@company.com"/>
  </r>
  <r>
    <s v="TXN-1029"/>
    <d v="2023-03-22T00:00:00"/>
    <x v="3"/>
    <s v="Office Supplies"/>
    <x v="0"/>
    <n v="2"/>
    <x v="1"/>
    <n v="2"/>
    <n v="255.71"/>
    <n v="255.71"/>
    <n v="511.42"/>
    <n v="511.42"/>
    <s v="user_29@company.com"/>
    <x v="0"/>
    <s v="user_29@company.com"/>
  </r>
  <r>
    <s v="TXN-1030"/>
    <d v="1899-12-31T00:00:00"/>
    <x v="2"/>
    <s v="Office Supplies"/>
    <x v="0"/>
    <n v="5"/>
    <x v="0"/>
    <n v="5"/>
    <n v="124.48"/>
    <n v="124.48"/>
    <n v="622.4"/>
    <n v="622.4"/>
    <s v="user_at_company"/>
    <x v="3"/>
    <s v="user@company"/>
  </r>
  <r>
    <s v="TXN-1031"/>
    <d v="1899-12-31T00:00:00"/>
    <x v="3"/>
    <s v="Electronics"/>
    <x v="1"/>
    <n v="5"/>
    <x v="0"/>
    <n v="5"/>
    <n v="210.68"/>
    <n v="210.68"/>
    <n v="1053.4000000000001"/>
    <n v="632.04"/>
    <s v="user_at_company"/>
    <x v="2"/>
    <s v="user@company"/>
  </r>
  <r>
    <s v="TXN-1032"/>
    <d v="2023-02-24T00:00:00"/>
    <x v="2"/>
    <s v="Electronics"/>
    <x v="1"/>
    <n v="8"/>
    <x v="2"/>
    <n v="8"/>
    <n v="392.24"/>
    <n v="392.24"/>
    <n v="3137.92"/>
    <n v="3137.92"/>
    <s v="user_32@company.com"/>
    <x v="3"/>
    <s v="user_32@company.com"/>
  </r>
  <r>
    <s v="TXN-1033"/>
    <d v="1899-12-31T00:00:00"/>
    <x v="2"/>
    <s v="Office Supplies"/>
    <x v="0"/>
    <n v="10"/>
    <x v="2"/>
    <n v="10"/>
    <n v="387.9"/>
    <n v="387.9"/>
    <n v="3879"/>
    <n v="3879"/>
    <s v="user_33@company.com"/>
    <x v="0"/>
    <s v="user_33@company.com"/>
  </r>
  <r>
    <s v="TXN-1034"/>
    <d v="2023-03-24T00:00:00"/>
    <x v="4"/>
    <s v="Electronics"/>
    <x v="1"/>
    <n v="3"/>
    <x v="1"/>
    <n v="3"/>
    <n v="121.77"/>
    <n v="121.77"/>
    <n v="365.31"/>
    <n v="365.31"/>
    <s v="user_34@company.com"/>
    <x v="2"/>
    <s v="user_34@company.com"/>
  </r>
  <r>
    <s v="TXN-1035"/>
    <d v="2023-09-08T00:00:00"/>
    <x v="0"/>
    <s v="Electronics"/>
    <x v="1"/>
    <n v="2"/>
    <x v="1"/>
    <n v="2"/>
    <n v="461.89"/>
    <n v="461.89"/>
    <n v="923.78"/>
    <n v="923.78"/>
    <s v="user_35@company.com"/>
    <x v="4"/>
    <s v="user_35@company.com"/>
  </r>
  <r>
    <s v="TXN-1036"/>
    <d v="2023-07-05T00:00:00"/>
    <x v="2"/>
    <s v="Electronics"/>
    <x v="1"/>
    <n v="5"/>
    <x v="0"/>
    <n v="5"/>
    <n v="300.36"/>
    <n v="300.36"/>
    <n v="1501.8"/>
    <n v="1501.8"/>
    <s v="user_36@company.com"/>
    <x v="2"/>
    <s v="user_36@company.com"/>
  </r>
  <r>
    <s v="TXN-1037"/>
    <d v="2023-05-04T00:00:00"/>
    <x v="0"/>
    <s v="Office Supplies"/>
    <x v="0"/>
    <n v="7"/>
    <x v="0"/>
    <n v="7"/>
    <n v="196.16"/>
    <n v="196.16"/>
    <n v="1373.12"/>
    <n v="1373.12"/>
    <s v="user_37@company.com"/>
    <x v="3"/>
    <s v="user_37@company.com"/>
  </r>
  <r>
    <s v="TXN-1038"/>
    <d v="1899-12-31T00:00:00"/>
    <x v="1"/>
    <s v="Office Supplies"/>
    <x v="0"/>
    <n v="6"/>
    <x v="0"/>
    <n v="6"/>
    <n v="255.95"/>
    <n v="255.95"/>
    <n v="1535.7"/>
    <n v="1535.7"/>
    <s v="user_38@company.com"/>
    <x v="0"/>
    <s v="user_38@company.com"/>
  </r>
  <r>
    <s v="TXN-1039"/>
    <d v="2023-05-02T00:00:00"/>
    <x v="3"/>
    <s v="Electronics"/>
    <x v="1"/>
    <n v="6"/>
    <x v="0"/>
    <n v="6"/>
    <n v="306.48"/>
    <n v="306.48"/>
    <n v="1838.88"/>
    <n v="1838.88"/>
    <s v="user_39@company.com"/>
    <x v="4"/>
    <s v="user_39@company.com"/>
  </r>
  <r>
    <s v="TXN-1040"/>
    <d v="2023-01-09T00:00:00"/>
    <x v="1"/>
    <s v="Electronics"/>
    <x v="1"/>
    <n v="2"/>
    <x v="1"/>
    <n v="2"/>
    <n v="284.35000000000002"/>
    <n v="284.35000000000002"/>
    <n v="568.70000000000005"/>
    <n v="568.70000000000005"/>
    <s v="user_40@company.com"/>
    <x v="1"/>
    <s v="user_40@company.com"/>
  </r>
  <r>
    <s v="TXN-1041"/>
    <d v="2023-11-07T00:00:00"/>
    <x v="2"/>
    <s v="Furniture "/>
    <x v="2"/>
    <n v="4"/>
    <x v="0"/>
    <n v="4"/>
    <n v="248.34"/>
    <n v="248.34"/>
    <n v="993.36"/>
    <n v="1050.43"/>
    <s v="user_at_company"/>
    <x v="3"/>
    <s v="user@company"/>
  </r>
  <r>
    <s v="TXN-1042"/>
    <d v="2023-04-10T00:00:00"/>
    <x v="4"/>
    <s v="Furniture"/>
    <x v="2"/>
    <n v="9"/>
    <x v="2"/>
    <n v="9"/>
    <n v="257.42"/>
    <n v="257.42"/>
    <n v="2316.7800000000002"/>
    <m/>
    <s v="user_42@company.com"/>
    <x v="1"/>
    <s v="user_42@company.com"/>
  </r>
  <r>
    <s v="TXN-1043"/>
    <d v="2023-07-24T00:00:00"/>
    <x v="2"/>
    <s v="Office Supplies"/>
    <x v="0"/>
    <n v="7"/>
    <x v="0"/>
    <n v="7"/>
    <n v="96.44"/>
    <n v="96.44"/>
    <n v="675.08"/>
    <n v="675.08"/>
    <s v="user_43@company.com"/>
    <x v="2"/>
    <s v="user_43@company.com"/>
  </r>
  <r>
    <s v="TXN-1044"/>
    <d v="2023-09-22T00:00:00"/>
    <x v="4"/>
    <s v="Electronics"/>
    <x v="1"/>
    <n v="11"/>
    <x v="2"/>
    <n v="11"/>
    <n v="408.24"/>
    <n v="408.24"/>
    <n v="4490.6400000000003"/>
    <n v="4490.6400000000003"/>
    <s v="user_44@company.com"/>
    <x v="2"/>
    <s v="user_44@company.com"/>
  </r>
  <r>
    <s v="TXN-1045"/>
    <d v="2023-04-26T00:00:00"/>
    <x v="4"/>
    <s v="Electronics"/>
    <x v="1"/>
    <n v="8"/>
    <x v="2"/>
    <n v="8"/>
    <n v="275.45999999999998"/>
    <n v="275.45999999999998"/>
    <n v="2203.6799999999998"/>
    <n v="2203.6799999999998"/>
    <s v="user_45@company.com"/>
    <x v="2"/>
    <s v="user_45@company.com"/>
  </r>
  <r>
    <s v="TXN-1046"/>
    <d v="1899-12-31T00:00:00"/>
    <x v="1"/>
    <s v="Office Supplies"/>
    <x v="0"/>
    <n v="3"/>
    <x v="1"/>
    <n v="3"/>
    <n v="74.23"/>
    <n v="74.23"/>
    <n v="222.69"/>
    <n v="561.70000000000005"/>
    <s v="user_46@company.com"/>
    <x v="1"/>
    <s v="user_46@company.com"/>
  </r>
  <r>
    <s v="TXN-1047"/>
    <d v="2023-01-04T00:00:00"/>
    <x v="1"/>
    <s v="Office Supplies"/>
    <x v="0"/>
    <n v="2"/>
    <x v="1"/>
    <n v="2"/>
    <n v="385.42"/>
    <n v="385.42"/>
    <n v="770.84"/>
    <n v="770.84"/>
    <s v="user_47@company.com"/>
    <x v="2"/>
    <s v="user_47@company.com"/>
  </r>
  <r>
    <s v="TXN-1048"/>
    <d v="1899-12-31T00:00:00"/>
    <x v="2"/>
    <s v="Furniture "/>
    <x v="2"/>
    <n v="3"/>
    <x v="1"/>
    <n v="3"/>
    <n v="466.9"/>
    <n v="466.9"/>
    <n v="1400.7"/>
    <n v="1400.7"/>
    <s v="user_48@company.com"/>
    <x v="4"/>
    <s v="user_48@company.com"/>
  </r>
  <r>
    <s v="TXN-1049"/>
    <d v="1899-12-31T00:00:00"/>
    <x v="1"/>
    <s v="Electronics"/>
    <x v="1"/>
    <n v="5"/>
    <x v="0"/>
    <n v="5"/>
    <n v="474.18"/>
    <n v="474.18"/>
    <n v="2370.9"/>
    <m/>
    <s v="user_49@company.com"/>
    <x v="2"/>
    <s v="user_49@company.com"/>
  </r>
  <r>
    <s v="TXN-1050"/>
    <d v="1899-12-31T00:00:00"/>
    <x v="1"/>
    <s v="Electronics"/>
    <x v="1"/>
    <n v="5"/>
    <x v="0"/>
    <n v="5"/>
    <n v="190.82"/>
    <n v="190.82"/>
    <n v="954.1"/>
    <n v="954.1"/>
    <s v="user_50@company.com"/>
    <x v="1"/>
    <s v="user_50@company.com"/>
  </r>
  <r>
    <s v="TXN-1051"/>
    <d v="1899-12-31T00:00:00"/>
    <x v="0"/>
    <s v="Office Supplies"/>
    <x v="0"/>
    <n v="5"/>
    <x v="0"/>
    <n v="5"/>
    <n v="76.400000000000006"/>
    <n v="76.400000000000006"/>
    <n v="382"/>
    <n v="382"/>
    <s v="user_51@company.com"/>
    <x v="1"/>
    <s v="user_51@company.com"/>
  </r>
  <r>
    <s v="TXN-1052"/>
    <d v="2023-06-09T00:00:00"/>
    <x v="0"/>
    <s v="Office Supplies"/>
    <x v="0"/>
    <n v="4"/>
    <x v="0"/>
    <n v="4"/>
    <n v="264.02"/>
    <n v="264.02"/>
    <n v="1056.08"/>
    <n v="1056.08"/>
    <s v="user_52@company.com"/>
    <x v="2"/>
    <s v="user_52@company.com"/>
  </r>
  <r>
    <s v="TXN-1053"/>
    <d v="2023-10-20T00:00:00"/>
    <x v="1"/>
    <s v="Electronics"/>
    <x v="1"/>
    <n v="3"/>
    <x v="1"/>
    <n v="3"/>
    <n v="65.180000000000007"/>
    <n v="65.180000000000007"/>
    <n v="195.54"/>
    <n v="195.54"/>
    <s v="user_53@company.com"/>
    <x v="3"/>
    <s v="user_53@company.com"/>
  </r>
  <r>
    <s v="TXN-1054"/>
    <d v="2023-08-31T00:00:00"/>
    <x v="1"/>
    <s v="Furniture"/>
    <x v="2"/>
    <n v="8"/>
    <x v="2"/>
    <n v="8"/>
    <n v="467.65"/>
    <n v="467.65"/>
    <n v="3741.2"/>
    <n v="3741.2"/>
    <m/>
    <x v="0"/>
    <s v="unknown@domain.com"/>
  </r>
  <r>
    <s v="TXN-1055"/>
    <d v="2023-02-19T00:00:00"/>
    <x v="3"/>
    <s v="Furniture "/>
    <x v="2"/>
    <n v="2"/>
    <x v="1"/>
    <n v="2"/>
    <n v="99.95"/>
    <n v="99.95"/>
    <n v="199.9"/>
    <n v="199.9"/>
    <s v="user_55@company.com"/>
    <x v="0"/>
    <s v="user_55@company.com"/>
  </r>
  <r>
    <s v="TXN-1056"/>
    <d v="2023-07-30T00:00:00"/>
    <x v="1"/>
    <s v="Furniture"/>
    <x v="2"/>
    <n v="1"/>
    <x v="1"/>
    <n v="1"/>
    <n v="133.86000000000001"/>
    <n v="133.86000000000001"/>
    <n v="133.86000000000001"/>
    <n v="133.86000000000001"/>
    <s v="user_56@company.com"/>
    <x v="3"/>
    <s v="user_56@company.com"/>
  </r>
  <r>
    <s v="TXN-1057"/>
    <d v="2023-01-28T00:00:00"/>
    <x v="3"/>
    <s v="Electronics"/>
    <x v="1"/>
    <n v="4"/>
    <x v="0"/>
    <n v="4"/>
    <n v="209.25"/>
    <n v="209.25"/>
    <n v="837"/>
    <n v="837"/>
    <s v="user_57@company.com"/>
    <x v="0"/>
    <s v="user_57@company.com"/>
  </r>
  <r>
    <s v="TXN-1058"/>
    <d v="1899-12-31T00:00:00"/>
    <x v="0"/>
    <s v="Furniture"/>
    <x v="2"/>
    <n v="5"/>
    <x v="0"/>
    <n v="5"/>
    <n v="197.75"/>
    <n v="197.75"/>
    <n v="988.75"/>
    <n v="988.75"/>
    <s v="user_58@company.com"/>
    <x v="4"/>
    <s v="user_58@company.com"/>
  </r>
  <r>
    <s v="TXN-1059"/>
    <d v="1899-12-31T00:00:00"/>
    <x v="1"/>
    <s v="Electronics"/>
    <x v="1"/>
    <n v="4"/>
    <x v="0"/>
    <n v="4"/>
    <n v="399.38"/>
    <n v="399.38"/>
    <n v="1597.52"/>
    <n v="1597.52"/>
    <s v="user_59@company.com"/>
    <x v="1"/>
    <s v="user_59@company.com"/>
  </r>
  <r>
    <s v="TXN-1060"/>
    <d v="2023-10-02T00:00:00"/>
    <x v="4"/>
    <s v="Electronics"/>
    <x v="1"/>
    <n v="3"/>
    <x v="1"/>
    <n v="3"/>
    <n v="-32.17"/>
    <n v="32.17"/>
    <n v="96.51"/>
    <n v="700.8"/>
    <s v="user_60@company.com"/>
    <x v="3"/>
    <s v="user_60@company.com"/>
  </r>
  <r>
    <s v="TXN-1061"/>
    <d v="2023-04-04T00:00:00"/>
    <x v="0"/>
    <s v="Office Supplies"/>
    <x v="0"/>
    <n v="4"/>
    <x v="0"/>
    <n v="4"/>
    <n v="93.68"/>
    <n v="93.68"/>
    <n v="374.72"/>
    <n v="374.72"/>
    <s v="user_61@company.com"/>
    <x v="3"/>
    <s v="user_61@company.com"/>
  </r>
  <r>
    <s v="TXN-1062"/>
    <d v="2023-02-08T00:00:00"/>
    <x v="3"/>
    <s v="Furniture"/>
    <x v="2"/>
    <n v="8"/>
    <x v="2"/>
    <n v="8"/>
    <n v="140.93"/>
    <n v="140.93"/>
    <n v="1127.44"/>
    <n v="1127.44"/>
    <s v="user_62@company.com"/>
    <x v="0"/>
    <s v="user_62@company.com"/>
  </r>
  <r>
    <s v="TXN-1063"/>
    <d v="2023-10-09T00:00:00"/>
    <x v="1"/>
    <s v="Electronics"/>
    <x v="1"/>
    <n v="2"/>
    <x v="1"/>
    <n v="2"/>
    <n v="259.47000000000003"/>
    <n v="259.47000000000003"/>
    <n v="518.94000000000005"/>
    <n v="518.94000000000005"/>
    <s v="user_63@company.com"/>
    <x v="0"/>
    <s v="user_63@company.com"/>
  </r>
  <r>
    <s v="TXN-1064"/>
    <d v="1899-12-31T00:00:00"/>
    <x v="1"/>
    <s v="Electronics"/>
    <x v="1"/>
    <n v="2"/>
    <x v="1"/>
    <n v="2"/>
    <n v="82.25"/>
    <n v="82.25"/>
    <n v="164.5"/>
    <n v="164.5"/>
    <s v="user_64@company.com"/>
    <x v="0"/>
    <s v="user_64@company.com"/>
  </r>
  <r>
    <s v="TXN-1065"/>
    <d v="2023-01-08T00:00:00"/>
    <x v="3"/>
    <s v="Electronics"/>
    <x v="1"/>
    <n v="2"/>
    <x v="1"/>
    <n v="2"/>
    <n v="309.70999999999998"/>
    <n v="309.70999999999998"/>
    <n v="619.41999999999996"/>
    <m/>
    <s v="user_65@company.com"/>
    <x v="4"/>
    <s v="user_65@company.com"/>
  </r>
  <r>
    <s v="TXN-1066"/>
    <d v="2023-02-05T00:00:00"/>
    <x v="2"/>
    <s v="Furniture "/>
    <x v="2"/>
    <n v="7"/>
    <x v="0"/>
    <n v="7"/>
    <n v="-194.4"/>
    <n v="194.4"/>
    <n v="1360.8"/>
    <n v="2010.54"/>
    <s v="user_66@company.com"/>
    <x v="2"/>
    <s v="user_66@company.com"/>
  </r>
  <r>
    <s v="TXN-1067"/>
    <d v="2023-04-09T00:00:00"/>
    <x v="3"/>
    <s v="Office Supplies"/>
    <x v="0"/>
    <n v="6"/>
    <x v="0"/>
    <n v="6"/>
    <n v="360.2"/>
    <n v="360.2"/>
    <n v="2161.1999999999998"/>
    <n v="2161.1999999999998"/>
    <s v="user_67@company.com"/>
    <x v="0"/>
    <s v="user_67@company.com"/>
  </r>
  <r>
    <s v="TXN-1068"/>
    <d v="1899-12-31T00:00:00"/>
    <x v="2"/>
    <s v="Office Supplies"/>
    <x v="0"/>
    <n v="7"/>
    <x v="0"/>
    <n v="7"/>
    <n v="469.48"/>
    <n v="469.48"/>
    <n v="3286.36"/>
    <n v="3286.36"/>
    <s v="user_68@company.com"/>
    <x v="3"/>
    <s v="user_68@company.com"/>
  </r>
  <r>
    <s v="TXN-1069"/>
    <d v="2023-07-19T00:00:00"/>
    <x v="3"/>
    <s v="Office Supplies"/>
    <x v="0"/>
    <n v="6"/>
    <x v="0"/>
    <n v="6"/>
    <n v="457"/>
    <n v="457"/>
    <n v="2742"/>
    <n v="2742"/>
    <s v="user_69@company.com"/>
    <x v="4"/>
    <s v="user_69@company.com"/>
  </r>
  <r>
    <s v="TXN-1070"/>
    <d v="2023-08-21T00:00:00"/>
    <x v="0"/>
    <s v="Office Supplies"/>
    <x v="0"/>
    <n v="7"/>
    <x v="0"/>
    <n v="7"/>
    <n v="-41.56"/>
    <n v="41.56"/>
    <n v="290.92"/>
    <n v="3315.06"/>
    <s v="user_70@company.com"/>
    <x v="1"/>
    <s v="user_70@company.com"/>
  </r>
  <r>
    <s v="TXN-1071"/>
    <d v="2023-10-12T00:00:00"/>
    <x v="2"/>
    <s v="Furniture"/>
    <x v="2"/>
    <n v="6"/>
    <x v="0"/>
    <n v="6"/>
    <n v="129.91"/>
    <n v="129.91"/>
    <n v="779.46"/>
    <n v="779.46"/>
    <s v="user_71@company.com"/>
    <x v="0"/>
    <s v="user_71@company.com"/>
  </r>
  <r>
    <s v="TXN-1072"/>
    <d v="2023-01-06T00:00:00"/>
    <x v="2"/>
    <s v="Electronics"/>
    <x v="1"/>
    <n v="4"/>
    <x v="0"/>
    <n v="4"/>
    <n v="74.47"/>
    <n v="74.47"/>
    <n v="297.88"/>
    <n v="297.88"/>
    <s v="user_72@company.com"/>
    <x v="2"/>
    <s v="user_72@company.com"/>
  </r>
  <r>
    <s v="TXN-1073"/>
    <d v="2023-10-24T00:00:00"/>
    <x v="1"/>
    <s v="Electronics"/>
    <x v="1"/>
    <n v="2"/>
    <x v="1"/>
    <n v="2"/>
    <n v="158.12"/>
    <n v="158.12"/>
    <n v="316.24"/>
    <m/>
    <s v="user_73@company.com"/>
    <x v="0"/>
    <s v="user_73@company.com"/>
  </r>
  <r>
    <s v="TXN-1074"/>
    <d v="2023-01-30T00:00:00"/>
    <x v="4"/>
    <s v="Electronics"/>
    <x v="1"/>
    <n v="-7"/>
    <x v="0"/>
    <n v="7"/>
    <n v="448.59"/>
    <n v="448.59"/>
    <n v="3140.13"/>
    <n v="1345.77"/>
    <s v="user_74@company.com"/>
    <x v="2"/>
    <s v="user_74@company.com"/>
  </r>
  <r>
    <s v="TXN-1075"/>
    <d v="1899-12-31T00:00:00"/>
    <x v="4"/>
    <s v="Furniture "/>
    <x v="2"/>
    <n v="4"/>
    <x v="0"/>
    <n v="4"/>
    <n v="486.31"/>
    <n v="486.31"/>
    <n v="1945.24"/>
    <n v="1945.24"/>
    <s v="user_75@company.com"/>
    <x v="2"/>
    <s v="user_75@company.com"/>
  </r>
  <r>
    <s v="TXN-1076"/>
    <d v="1899-12-31T00:00:00"/>
    <x v="2"/>
    <s v="Office Supplies"/>
    <x v="0"/>
    <n v="7"/>
    <x v="0"/>
    <n v="7"/>
    <n v="431.07"/>
    <n v="431.07"/>
    <n v="3017.49"/>
    <n v="3017.49"/>
    <s v="user_76@company.com"/>
    <x v="2"/>
    <s v="user_76@company.com"/>
  </r>
  <r>
    <s v="TXN-1077"/>
    <d v="2023-04-06T00:00:00"/>
    <x v="3"/>
    <s v="Office Supplies"/>
    <x v="0"/>
    <n v="4"/>
    <x v="0"/>
    <n v="4"/>
    <n v="63.91"/>
    <n v="63.91"/>
    <n v="255.64"/>
    <n v="255.64"/>
    <m/>
    <x v="1"/>
    <s v="unknown@domain.com"/>
  </r>
  <r>
    <s v="TXN-1078"/>
    <d v="2023-12-12T00:00:00"/>
    <x v="1"/>
    <s v="Furniture "/>
    <x v="2"/>
    <n v="3"/>
    <x v="1"/>
    <n v="3"/>
    <n v="474.24"/>
    <n v="474.24"/>
    <n v="1422.72"/>
    <n v="1873.18"/>
    <s v="user_78@company.com"/>
    <x v="2"/>
    <s v="user_78@company.com"/>
  </r>
  <r>
    <s v="TXN-1079"/>
    <d v="1899-12-31T00:00:00"/>
    <x v="3"/>
    <s v="Furniture"/>
    <x v="2"/>
    <n v="2"/>
    <x v="1"/>
    <n v="2"/>
    <n v="217.45"/>
    <n v="217.45"/>
    <n v="434.9"/>
    <n v="697.5"/>
    <s v="user_79@company.com"/>
    <x v="4"/>
    <s v="user_79@company.com"/>
  </r>
  <r>
    <s v="TXN-1080"/>
    <d v="2023-01-21T00:00:00"/>
    <x v="1"/>
    <s v="Furniture"/>
    <x v="2"/>
    <m/>
    <x v="0"/>
    <n v="6"/>
    <n v="14.56"/>
    <n v="14.56"/>
    <n v="87.36"/>
    <n v="87.36"/>
    <s v="user_80@company.com"/>
    <x v="1"/>
    <s v="user_80@company.com"/>
  </r>
  <r>
    <s v="TXN-1081"/>
    <d v="2023-10-26T00:00:00"/>
    <x v="1"/>
    <s v="Office Supplies"/>
    <x v="0"/>
    <n v="3"/>
    <x v="1"/>
    <n v="3"/>
    <n v="226.77"/>
    <n v="226.77"/>
    <n v="680.31"/>
    <n v="680.31"/>
    <s v="user_81@company.com"/>
    <x v="3"/>
    <s v="user_81@company.com"/>
  </r>
  <r>
    <s v="TXN-1082"/>
    <d v="2023-04-15T00:00:00"/>
    <x v="4"/>
    <s v="Office Supplies"/>
    <x v="0"/>
    <n v="5"/>
    <x v="0"/>
    <n v="5"/>
    <n v="32.57"/>
    <n v="32.57"/>
    <n v="162.85"/>
    <m/>
    <s v="user_82@company.com"/>
    <x v="0"/>
    <s v="user_82@company.com"/>
  </r>
  <r>
    <s v="TXN-1083"/>
    <d v="1899-12-31T00:00:00"/>
    <x v="4"/>
    <s v="Electronics"/>
    <x v="1"/>
    <n v="9"/>
    <x v="2"/>
    <n v="9"/>
    <n v="276.5"/>
    <n v="276.5"/>
    <n v="2488.5"/>
    <n v="2488.5"/>
    <s v="user_83@company.com"/>
    <x v="2"/>
    <s v="user_83@company.com"/>
  </r>
  <r>
    <s v="TXN-1084"/>
    <d v="2023-06-03T00:00:00"/>
    <x v="4"/>
    <s v="Furniture "/>
    <x v="2"/>
    <n v="6"/>
    <x v="0"/>
    <n v="6"/>
    <n v="175.89"/>
    <n v="175.89"/>
    <n v="1055.3399999999999"/>
    <n v="1055.3399999999999"/>
    <s v="user_84@company.com"/>
    <x v="2"/>
    <s v="user_84@company.com"/>
  </r>
  <r>
    <s v="TXN-1085"/>
    <d v="2023-02-07T00:00:00"/>
    <x v="1"/>
    <s v="Electronics"/>
    <x v="1"/>
    <n v="6"/>
    <x v="0"/>
    <n v="6"/>
    <n v="241.98"/>
    <n v="241.98"/>
    <n v="1451.88"/>
    <n v="1656.48"/>
    <s v="invalid_email_at_gmail.com"/>
    <x v="0"/>
    <s v="invalid_email@gmail.com"/>
  </r>
  <r>
    <s v="TXN-1086"/>
    <d v="2023-10-16T00:00:00"/>
    <x v="1"/>
    <s v="Office Supplies"/>
    <x v="0"/>
    <n v="9"/>
    <x v="2"/>
    <n v="9"/>
    <n v="310.45"/>
    <n v="310.45"/>
    <n v="2794.05"/>
    <n v="2794.05"/>
    <s v="user_86@company.com"/>
    <x v="4"/>
    <s v="user_86@company.com"/>
  </r>
  <r>
    <s v="TXN-1087"/>
    <d v="1899-12-31T00:00:00"/>
    <x v="4"/>
    <s v="Electronics"/>
    <x v="1"/>
    <n v="4"/>
    <x v="0"/>
    <n v="4"/>
    <n v="435.71"/>
    <n v="435.71"/>
    <n v="1742.84"/>
    <n v="1742.84"/>
    <s v="user_87@company.com"/>
    <x v="0"/>
    <s v="user_87@company.com"/>
  </r>
  <r>
    <s v="TXN-1088"/>
    <d v="1899-12-31T00:00:00"/>
    <x v="1"/>
    <s v="Electronics"/>
    <x v="1"/>
    <n v="9"/>
    <x v="2"/>
    <n v="9"/>
    <n v="334.33"/>
    <n v="334.33"/>
    <n v="3008.97"/>
    <n v="3008.97"/>
    <s v="user_88@company.com"/>
    <x v="2"/>
    <s v="user_88@company.com"/>
  </r>
  <r>
    <s v="TXN-1089"/>
    <d v="2023-05-02T00:00:00"/>
    <x v="0"/>
    <s v="Furniture "/>
    <x v="2"/>
    <n v="2"/>
    <x v="1"/>
    <n v="2"/>
    <n v="222.68"/>
    <n v="222.68"/>
    <n v="445.36"/>
    <n v="445.36"/>
    <s v="user_89@company.com"/>
    <x v="4"/>
    <s v="user_89@company.com"/>
  </r>
  <r>
    <s v="TXN-1090"/>
    <d v="2023-03-22T00:00:00"/>
    <x v="2"/>
    <s v="Office Supplies"/>
    <x v="0"/>
    <n v="10"/>
    <x v="2"/>
    <n v="10"/>
    <n v="411.52"/>
    <n v="411.52"/>
    <n v="4115.2"/>
    <n v="4115.2"/>
    <s v="user_90@company.com"/>
    <x v="0"/>
    <s v="user_90@company.com"/>
  </r>
  <r>
    <s v="TXN-1091"/>
    <d v="2023-12-27T00:00:00"/>
    <x v="3"/>
    <s v="Electronics"/>
    <x v="1"/>
    <n v="6"/>
    <x v="0"/>
    <n v="6"/>
    <n v="453.74"/>
    <n v="453.74"/>
    <n v="2722.44"/>
    <n v="2722.44"/>
    <s v="user_91@company.com"/>
    <x v="0"/>
    <s v="user_91@company.com"/>
  </r>
  <r>
    <s v="TXN-1092"/>
    <d v="2023-12-01T00:00:00"/>
    <x v="3"/>
    <s v="Furniture "/>
    <x v="2"/>
    <n v="9"/>
    <x v="2"/>
    <n v="9"/>
    <n v="68.680000000000007"/>
    <n v="68.680000000000007"/>
    <n v="618.12"/>
    <n v="618.12"/>
    <s v="invalid_email_at_gmail.com"/>
    <x v="0"/>
    <s v="invalid_email@gmail.com"/>
  </r>
  <r>
    <s v="TXN-1093"/>
    <d v="2023-10-11T00:00:00"/>
    <x v="0"/>
    <s v="Furniture "/>
    <x v="2"/>
    <n v="4"/>
    <x v="0"/>
    <n v="4"/>
    <n v="270.64999999999998"/>
    <n v="270.64999999999998"/>
    <n v="1082.5999999999999"/>
    <m/>
    <s v="user_93@company.com"/>
    <x v="4"/>
    <s v="user_93@company.com"/>
  </r>
  <r>
    <s v="TXN-1094"/>
    <d v="1899-12-31T00:00:00"/>
    <x v="3"/>
    <s v="Office Supplies"/>
    <x v="0"/>
    <n v="-5"/>
    <x v="0"/>
    <n v="5"/>
    <n v="149.41"/>
    <n v="149.41"/>
    <n v="747.05"/>
    <n v="149.41"/>
    <s v="user_94@company.com"/>
    <x v="1"/>
    <s v="user_94@company.com"/>
  </r>
  <r>
    <s v="TXN-1095"/>
    <d v="1899-12-31T00:00:00"/>
    <x v="2"/>
    <s v="Office Supplies"/>
    <x v="0"/>
    <n v="6"/>
    <x v="0"/>
    <n v="6"/>
    <n v="33.06"/>
    <n v="33.06"/>
    <n v="198.36"/>
    <m/>
    <s v="user_95@company.com"/>
    <x v="3"/>
    <s v="user_95@company.com"/>
  </r>
  <r>
    <s v="TXN-1096"/>
    <d v="2023-06-11T00:00:00"/>
    <x v="4"/>
    <s v="Office Supplies"/>
    <x v="0"/>
    <m/>
    <x v="2"/>
    <n v="8"/>
    <n v="337.59"/>
    <n v="337.59"/>
    <n v="2700.72"/>
    <n v="2700.72"/>
    <s v="user_96@company.com"/>
    <x v="4"/>
    <s v="user_96@company.com"/>
  </r>
  <r>
    <s v="TXN-1097"/>
    <d v="2023-04-15T00:00:00"/>
    <x v="4"/>
    <s v="Furniture"/>
    <x v="2"/>
    <n v="6"/>
    <x v="0"/>
    <n v="6"/>
    <n v="432.76"/>
    <n v="432.76"/>
    <n v="2596.56"/>
    <n v="2596.56"/>
    <s v="user_97@company.com"/>
    <x v="2"/>
    <s v="user_97@company.com"/>
  </r>
  <r>
    <s v="TXN-1098"/>
    <d v="2023-05-09T00:00:00"/>
    <x v="2"/>
    <s v="Office Supplies"/>
    <x v="0"/>
    <n v="2"/>
    <x v="1"/>
    <n v="2"/>
    <n v="89.82"/>
    <n v="89.82"/>
    <n v="179.64"/>
    <m/>
    <s v="user_98@company.com"/>
    <x v="2"/>
    <s v="user_98@company.com"/>
  </r>
  <r>
    <s v="TXN-1099"/>
    <d v="1899-12-31T00:00:00"/>
    <x v="1"/>
    <s v="Office Supplies"/>
    <x v="0"/>
    <n v="3"/>
    <x v="1"/>
    <n v="3"/>
    <n v="408.08"/>
    <n v="408.08"/>
    <n v="1224.24"/>
    <n v="1487.16"/>
    <s v="user_99@company.com"/>
    <x v="2"/>
    <s v="user_99@company.com"/>
  </r>
  <r>
    <s v="TXN-1100"/>
    <d v="2023-05-22T00:00:00"/>
    <x v="1"/>
    <s v="Office Supplies"/>
    <x v="0"/>
    <n v="5"/>
    <x v="0"/>
    <n v="5"/>
    <n v="428.16"/>
    <n v="428.16"/>
    <n v="2140.8000000000002"/>
    <n v="2140.8000000000002"/>
    <s v="user_100@company.com"/>
    <x v="3"/>
    <s v="user_100@company.com"/>
  </r>
  <r>
    <s v="TXN-1101"/>
    <d v="1899-12-31T00:00:00"/>
    <x v="0"/>
    <s v="Electronics"/>
    <x v="1"/>
    <n v="3"/>
    <x v="1"/>
    <n v="3"/>
    <n v="458.03"/>
    <n v="458.03"/>
    <n v="1374.09"/>
    <n v="1869.75"/>
    <s v="user_101@company.com"/>
    <x v="2"/>
    <s v="user_101@company.com"/>
  </r>
  <r>
    <s v="TXN-1102"/>
    <d v="2023-11-23T00:00:00"/>
    <x v="3"/>
    <s v="Office Supplies"/>
    <x v="0"/>
    <n v="3"/>
    <x v="1"/>
    <n v="3"/>
    <n v="139.99"/>
    <n v="139.99"/>
    <n v="419.97"/>
    <n v="419.97"/>
    <s v="user_102@company.com"/>
    <x v="4"/>
    <s v="user_102@company.com"/>
  </r>
  <r>
    <s v="TXN-1103"/>
    <d v="2023-08-15T00:00:00"/>
    <x v="1"/>
    <s v="Electronics"/>
    <x v="1"/>
    <n v="5"/>
    <x v="0"/>
    <n v="5"/>
    <n v="452.94"/>
    <n v="452.94"/>
    <n v="2264.6999999999998"/>
    <n v="2264.6999999999998"/>
    <s v="user_103@company.com"/>
    <x v="0"/>
    <s v="user_103@company.com"/>
  </r>
  <r>
    <s v="TXN-1104"/>
    <d v="2023-02-27T00:00:00"/>
    <x v="4"/>
    <s v="Furniture "/>
    <x v="2"/>
    <n v="6"/>
    <x v="0"/>
    <n v="6"/>
    <n v="167.12"/>
    <n v="167.12"/>
    <n v="1002.72"/>
    <m/>
    <m/>
    <x v="2"/>
    <s v="unknown@domain.com"/>
  </r>
  <r>
    <s v="TXN-1105"/>
    <d v="1899-12-31T00:00:00"/>
    <x v="4"/>
    <s v="Electronics"/>
    <x v="1"/>
    <n v="5"/>
    <x v="0"/>
    <n v="5"/>
    <n v="280.64999999999998"/>
    <n v="280.64999999999998"/>
    <n v="1403.25"/>
    <n v="1680.77"/>
    <s v="user_105@company.com"/>
    <x v="4"/>
    <s v="user_105@company.com"/>
  </r>
  <r>
    <s v="TXN-1106"/>
    <d v="2023-09-07T00:00:00"/>
    <x v="3"/>
    <s v="Office Supplies"/>
    <x v="0"/>
    <n v="3"/>
    <x v="1"/>
    <n v="3"/>
    <n v="34.75"/>
    <n v="34.75"/>
    <n v="104.25"/>
    <n v="104.25"/>
    <s v="user_106@company.com"/>
    <x v="4"/>
    <s v="user_106@company.com"/>
  </r>
  <r>
    <s v="TXN-1107"/>
    <d v="2023-01-22T00:00:00"/>
    <x v="1"/>
    <s v="Furniture"/>
    <x v="2"/>
    <n v="5"/>
    <x v="0"/>
    <n v="5"/>
    <n v="31.5"/>
    <n v="31.5"/>
    <n v="157.5"/>
    <n v="157.5"/>
    <s v="user_107@company.com"/>
    <x v="4"/>
    <s v="user_107@company.com"/>
  </r>
  <r>
    <s v="TXN-1108"/>
    <d v="2023-01-21T00:00:00"/>
    <x v="3"/>
    <s v="Furniture"/>
    <x v="2"/>
    <n v="3"/>
    <x v="1"/>
    <n v="3"/>
    <n v="362.98"/>
    <n v="362.98"/>
    <n v="1088.94"/>
    <n v="1088.94"/>
    <s v="user_108@company.com"/>
    <x v="3"/>
    <s v="user_108@company.com"/>
  </r>
  <r>
    <s v="TXN-1109"/>
    <d v="2023-05-08T00:00:00"/>
    <x v="3"/>
    <s v="Office Supplies"/>
    <x v="0"/>
    <n v="3"/>
    <x v="1"/>
    <n v="3"/>
    <n v="227.8"/>
    <n v="227.8"/>
    <n v="683.4"/>
    <n v="683.4"/>
    <s v="user_109@company.com"/>
    <x v="2"/>
    <s v="user_109@company.com"/>
  </r>
  <r>
    <s v="TXN-1110"/>
    <d v="2023-10-14T00:00:00"/>
    <x v="0"/>
    <s v="Office Supplies"/>
    <x v="0"/>
    <n v="6"/>
    <x v="0"/>
    <n v="6"/>
    <n v="135.58000000000001"/>
    <n v="135.58000000000001"/>
    <n v="813.48"/>
    <n v="813.48"/>
    <s v="invalid_email_at_gmail.com"/>
    <x v="4"/>
    <s v="invalid_email@gmail.com"/>
  </r>
  <r>
    <s v="TXN-1111"/>
    <d v="1899-12-31T00:00:00"/>
    <x v="1"/>
    <s v="Office Supplies"/>
    <x v="0"/>
    <n v="5"/>
    <x v="0"/>
    <n v="5"/>
    <n v="103.3"/>
    <n v="103.3"/>
    <n v="516.5"/>
    <n v="616.70000000000005"/>
    <s v="user_111@company.com"/>
    <x v="4"/>
    <s v="user_111@company.com"/>
  </r>
  <r>
    <s v="TXN-1112"/>
    <d v="2023-04-01T00:00:00"/>
    <x v="2"/>
    <s v="Electronics"/>
    <x v="1"/>
    <n v="6"/>
    <x v="0"/>
    <n v="6"/>
    <n v="338.28"/>
    <n v="338.28"/>
    <n v="2029.68"/>
    <n v="2029.68"/>
    <s v="user_112@company.com"/>
    <x v="4"/>
    <s v="user_112@company.com"/>
  </r>
  <r>
    <s v="TXN-1113"/>
    <d v="1899-12-31T00:00:00"/>
    <x v="0"/>
    <s v="Furniture "/>
    <x v="2"/>
    <n v="2"/>
    <x v="1"/>
    <n v="2"/>
    <n v="10.199999999999999"/>
    <n v="10.199999999999999"/>
    <n v="20.399999999999999"/>
    <n v="20.399999999999999"/>
    <s v="user_113@company.com"/>
    <x v="0"/>
    <s v="user_113@company.com"/>
  </r>
  <r>
    <s v="TXN-1114"/>
    <d v="2023-06-20T00:00:00"/>
    <x v="3"/>
    <s v="Furniture"/>
    <x v="2"/>
    <n v="4"/>
    <x v="0"/>
    <n v="4"/>
    <n v="404.89"/>
    <n v="404.89"/>
    <n v="1619.56"/>
    <n v="1619.56"/>
    <s v="user_114@company.com"/>
    <x v="4"/>
    <s v="user_114@company.com"/>
  </r>
  <r>
    <s v="TXN-1115"/>
    <d v="2023-05-08T00:00:00"/>
    <x v="1"/>
    <s v="Furniture "/>
    <x v="2"/>
    <n v="7"/>
    <x v="0"/>
    <n v="7"/>
    <n v="48.83"/>
    <n v="48.83"/>
    <n v="341.81"/>
    <n v="341.81"/>
    <s v="user_115@company.com"/>
    <x v="0"/>
    <s v="user_115@company.com"/>
  </r>
  <r>
    <s v="TXN-1116"/>
    <d v="2023-12-26T00:00:00"/>
    <x v="3"/>
    <s v="Electronics"/>
    <x v="1"/>
    <n v="6"/>
    <x v="0"/>
    <n v="6"/>
    <n v="103.83"/>
    <n v="103.83"/>
    <n v="622.98"/>
    <n v="622.98"/>
    <s v="user_116@company.com"/>
    <x v="4"/>
    <s v="user_116@company.com"/>
  </r>
  <r>
    <s v="TXN-1117"/>
    <d v="2023-01-20T00:00:00"/>
    <x v="0"/>
    <s v="Office Supplies"/>
    <x v="0"/>
    <n v="5"/>
    <x v="0"/>
    <n v="5"/>
    <n v="-37.659999999999997"/>
    <n v="37.659999999999997"/>
    <n v="188.3"/>
    <m/>
    <s v="user_117@company.com"/>
    <x v="4"/>
    <s v="user_117@company.com"/>
  </r>
  <r>
    <s v="TXN-1118"/>
    <d v="2023-08-24T00:00:00"/>
    <x v="0"/>
    <s v="Office Supplies"/>
    <x v="0"/>
    <n v="4"/>
    <x v="0"/>
    <n v="4"/>
    <n v="247.58"/>
    <n v="247.58"/>
    <n v="990.32"/>
    <n v="990.32"/>
    <s v="user_118@company.com"/>
    <x v="0"/>
    <s v="user_118@company.com"/>
  </r>
  <r>
    <s v="TXN-1119"/>
    <d v="1899-12-31T00:00:00"/>
    <x v="0"/>
    <s v="Electronics"/>
    <x v="1"/>
    <n v="3"/>
    <x v="1"/>
    <n v="3"/>
    <n v="183.95"/>
    <n v="183.95"/>
    <n v="551.85"/>
    <n v="551.85"/>
    <s v="user_119@company.com"/>
    <x v="3"/>
    <s v="user_119@company.com"/>
  </r>
  <r>
    <s v="TXN-1120"/>
    <d v="1899-12-31T00:00:00"/>
    <x v="2"/>
    <s v="Electronics"/>
    <x v="1"/>
    <m/>
    <x v="1"/>
    <n v="3"/>
    <n v="167.15"/>
    <n v="167.15"/>
    <n v="501.45"/>
    <n v="501.45"/>
    <s v="user_120@company.com"/>
    <x v="2"/>
    <s v="user_120@company.com"/>
  </r>
  <r>
    <s v="TXN-1121"/>
    <d v="2023-06-18T00:00:00"/>
    <x v="1"/>
    <s v="Office Supplies"/>
    <x v="0"/>
    <n v="7"/>
    <x v="0"/>
    <n v="7"/>
    <n v="482.32"/>
    <n v="482.32"/>
    <n v="3376.24"/>
    <m/>
    <s v="user_121@company.com"/>
    <x v="0"/>
    <s v="user_121@company.com"/>
  </r>
  <r>
    <s v="TXN-1122"/>
    <d v="2023-05-23T00:00:00"/>
    <x v="0"/>
    <s v="Office Supplies"/>
    <x v="0"/>
    <n v="7"/>
    <x v="0"/>
    <n v="7"/>
    <n v="324.37"/>
    <n v="324.37"/>
    <n v="2270.59"/>
    <n v="2270.59"/>
    <s v="user_122@company.com"/>
    <x v="2"/>
    <s v="user_122@company.com"/>
  </r>
  <r>
    <s v="TXN-1123"/>
    <d v="2023-07-24T00:00:00"/>
    <x v="1"/>
    <s v="Office Supplies"/>
    <x v="0"/>
    <n v="6"/>
    <x v="0"/>
    <n v="6"/>
    <n v="21.48"/>
    <n v="21.48"/>
    <n v="128.88"/>
    <n v="244.16"/>
    <s v="user_123@company.com"/>
    <x v="2"/>
    <s v="user_123@company.com"/>
  </r>
  <r>
    <s v="TXN-1124"/>
    <d v="2023-03-01T00:00:00"/>
    <x v="0"/>
    <s v="Furniture"/>
    <x v="2"/>
    <n v="6"/>
    <x v="0"/>
    <n v="6"/>
    <n v="220.79"/>
    <n v="220.79"/>
    <n v="1324.74"/>
    <n v="1324.74"/>
    <m/>
    <x v="2"/>
    <s v="unknown@domain.com"/>
  </r>
  <r>
    <s v="TXN-1125"/>
    <d v="2023-05-16T00:00:00"/>
    <x v="2"/>
    <s v="Furniture "/>
    <x v="2"/>
    <n v="7"/>
    <x v="0"/>
    <n v="7"/>
    <n v="438.75"/>
    <n v="438.75"/>
    <n v="3071.25"/>
    <m/>
    <s v="user_125@company.com"/>
    <x v="2"/>
    <s v="user_125@company.com"/>
  </r>
  <r>
    <s v="TXN-1126"/>
    <d v="2023-08-11T00:00:00"/>
    <x v="3"/>
    <s v="Electronics"/>
    <x v="1"/>
    <n v="8"/>
    <x v="2"/>
    <n v="8"/>
    <n v="157.71"/>
    <n v="157.71"/>
    <n v="1261.68"/>
    <n v="1261.68"/>
    <s v="user_126@company.com"/>
    <x v="4"/>
    <s v="user_126@company.com"/>
  </r>
  <r>
    <s v="TXN-1127"/>
    <d v="2023-06-10T00:00:00"/>
    <x v="0"/>
    <s v="Furniture"/>
    <x v="2"/>
    <n v="6"/>
    <x v="0"/>
    <n v="6"/>
    <n v="56.33"/>
    <n v="56.33"/>
    <n v="337.98"/>
    <n v="337.98"/>
    <s v="user_127@company.com"/>
    <x v="0"/>
    <s v="user_127@company.com"/>
  </r>
  <r>
    <s v="TXN-1128"/>
    <d v="2023-09-19T00:00:00"/>
    <x v="3"/>
    <s v="Office Supplies"/>
    <x v="0"/>
    <n v="3"/>
    <x v="1"/>
    <n v="3"/>
    <n v="381.61"/>
    <n v="381.61"/>
    <n v="1144.83"/>
    <n v="1144.83"/>
    <s v="user_128@company.com"/>
    <x v="4"/>
    <s v="user_128@company.com"/>
  </r>
  <r>
    <s v="TXN-1129"/>
    <d v="1899-12-31T00:00:00"/>
    <x v="4"/>
    <s v="Furniture"/>
    <x v="2"/>
    <n v="7"/>
    <x v="0"/>
    <n v="7"/>
    <n v="306.95"/>
    <n v="306.95"/>
    <n v="2148.65"/>
    <n v="2148.65"/>
    <s v="user_129@company.com"/>
    <x v="4"/>
    <s v="user_129@company.com"/>
  </r>
  <r>
    <s v="TXN-1130"/>
    <d v="2023-12-29T00:00:00"/>
    <x v="1"/>
    <s v="Furniture"/>
    <x v="2"/>
    <n v="5"/>
    <x v="0"/>
    <n v="5"/>
    <n v="289.45"/>
    <n v="289.45"/>
    <n v="1447.25"/>
    <n v="1447.25"/>
    <s v="user_130@company.com"/>
    <x v="4"/>
    <s v="user_130@company.com"/>
  </r>
  <r>
    <s v="TXN-1131"/>
    <d v="1899-12-31T00:00:00"/>
    <x v="0"/>
    <s v="Furniture"/>
    <x v="2"/>
    <n v="9999"/>
    <x v="0"/>
    <n v="5"/>
    <n v="36.25"/>
    <n v="36.25"/>
    <n v="181.25"/>
    <n v="181.25"/>
    <s v="user_131@company.com"/>
    <x v="4"/>
    <s v="user_131@company.com"/>
  </r>
  <r>
    <s v="TXN-1132"/>
    <d v="2023-03-10T00:00:00"/>
    <x v="2"/>
    <s v="Furniture "/>
    <x v="2"/>
    <n v="7"/>
    <x v="0"/>
    <n v="7"/>
    <n v="78.84"/>
    <n v="78.84"/>
    <n v="551.88"/>
    <n v="551.88"/>
    <s v="user_132@company.com"/>
    <x v="1"/>
    <s v="user_132@company.com"/>
  </r>
  <r>
    <s v="TXN-1133"/>
    <d v="2023-02-05T00:00:00"/>
    <x v="0"/>
    <s v="Furniture"/>
    <x v="2"/>
    <n v="4"/>
    <x v="0"/>
    <n v="4"/>
    <n v="315.05"/>
    <n v="315.05"/>
    <n v="1260.2"/>
    <n v="1260.2"/>
    <s v="user_133@company.com"/>
    <x v="1"/>
    <s v="user_133@company.com"/>
  </r>
  <r>
    <s v="TXN-1134"/>
    <d v="2023-12-06T00:00:00"/>
    <x v="3"/>
    <s v="Furniture"/>
    <x v="2"/>
    <n v="9"/>
    <x v="2"/>
    <n v="9"/>
    <n v="111.83"/>
    <n v="111.83"/>
    <n v="1006.47"/>
    <n v="1006.47"/>
    <m/>
    <x v="2"/>
    <s v="unknown@domain.com"/>
  </r>
  <r>
    <s v="TXN-1135"/>
    <d v="2023-06-03T00:00:00"/>
    <x v="2"/>
    <s v="Furniture"/>
    <x v="2"/>
    <n v="9999"/>
    <x v="0"/>
    <n v="5"/>
    <n v="256.99"/>
    <n v="256.99"/>
    <n v="1284.95"/>
    <n v="1027.96"/>
    <s v="user_135@company.com"/>
    <x v="2"/>
    <s v="user_135@company.com"/>
  </r>
  <r>
    <s v="TXN-1136"/>
    <d v="2023-06-17T00:00:00"/>
    <x v="2"/>
    <s v="Furniture"/>
    <x v="2"/>
    <n v="5"/>
    <x v="0"/>
    <n v="5"/>
    <n v="276.99"/>
    <n v="276.99"/>
    <n v="1384.95"/>
    <n v="1384.95"/>
    <s v="user_136@company.com"/>
    <x v="1"/>
    <s v="user_136@company.com"/>
  </r>
  <r>
    <s v="TXN-1137"/>
    <d v="2023-11-10T00:00:00"/>
    <x v="3"/>
    <s v="Office Supplies"/>
    <x v="0"/>
    <n v="2"/>
    <x v="1"/>
    <n v="2"/>
    <n v="148.91999999999999"/>
    <n v="148.91999999999999"/>
    <n v="297.83999999999997"/>
    <m/>
    <s v="user_137@company.com"/>
    <x v="3"/>
    <s v="user_137@company.com"/>
  </r>
  <r>
    <s v="TXN-1138"/>
    <d v="2023-12-07T00:00:00"/>
    <x v="1"/>
    <s v="Electronics"/>
    <x v="1"/>
    <n v="6"/>
    <x v="0"/>
    <n v="6"/>
    <n v="474.73"/>
    <n v="474.73"/>
    <n v="2848.38"/>
    <n v="2848.38"/>
    <s v="user_138@company.com"/>
    <x v="2"/>
    <s v="user_138@company.com"/>
  </r>
  <r>
    <s v="TXN-1139"/>
    <d v="2023-03-31T00:00:00"/>
    <x v="2"/>
    <s v="Electronics"/>
    <x v="1"/>
    <n v="5"/>
    <x v="0"/>
    <n v="5"/>
    <n v="422.81"/>
    <n v="422.81"/>
    <n v="2114.0500000000002"/>
    <n v="1268.43"/>
    <s v="user_139@company.com"/>
    <x v="0"/>
    <s v="user_139@company.com"/>
  </r>
  <r>
    <s v="TXN-1140"/>
    <d v="2023-01-01T00:00:00"/>
    <x v="1"/>
    <s v="Electronics"/>
    <x v="1"/>
    <n v="6"/>
    <x v="0"/>
    <n v="6"/>
    <n v="363.96"/>
    <n v="363.96"/>
    <n v="2183.7600000000002"/>
    <n v="2183.7600000000002"/>
    <s v="user_140@company.com"/>
    <x v="0"/>
    <s v="user_140@company.com"/>
  </r>
  <r>
    <s v="TXN-1141"/>
    <d v="2023-08-09T00:00:00"/>
    <x v="1"/>
    <s v="Electronics"/>
    <x v="1"/>
    <n v="2"/>
    <x v="1"/>
    <n v="2"/>
    <n v="48.22"/>
    <n v="48.22"/>
    <n v="96.44"/>
    <n v="96.44"/>
    <s v="user_141@company.com"/>
    <x v="2"/>
    <s v="user_141@company.com"/>
  </r>
  <r>
    <s v="TXN-1142"/>
    <d v="1899-12-31T00:00:00"/>
    <x v="0"/>
    <s v="Office Supplies"/>
    <x v="0"/>
    <n v="3"/>
    <x v="1"/>
    <n v="3"/>
    <n v="62"/>
    <n v="62"/>
    <n v="186"/>
    <n v="186"/>
    <s v="user_142@company.com"/>
    <x v="0"/>
    <s v="user_142@company.com"/>
  </r>
  <r>
    <s v="TXN-1143"/>
    <d v="2023-03-28T00:00:00"/>
    <x v="2"/>
    <s v="Electronics"/>
    <x v="1"/>
    <n v="5"/>
    <x v="0"/>
    <n v="5"/>
    <n v="251.46"/>
    <n v="251.46"/>
    <n v="1257.3"/>
    <n v="1257.3"/>
    <s v="user_143@company.com"/>
    <x v="4"/>
    <s v="user_143@company.com"/>
  </r>
  <r>
    <s v="TXN-1144"/>
    <d v="2023-12-06T00:00:00"/>
    <x v="3"/>
    <s v="Electronics"/>
    <x v="1"/>
    <n v="3"/>
    <x v="1"/>
    <n v="3"/>
    <n v="88.75"/>
    <n v="88.75"/>
    <n v="266.25"/>
    <n v="266.25"/>
    <s v="user_144@company.com"/>
    <x v="3"/>
    <s v="user_144@company.com"/>
  </r>
  <r>
    <s v="TXN-1145"/>
    <d v="1899-12-31T00:00:00"/>
    <x v="1"/>
    <s v="Office Supplies"/>
    <x v="0"/>
    <n v="4"/>
    <x v="0"/>
    <n v="4"/>
    <n v="489.35"/>
    <n v="489.35"/>
    <n v="1957.4"/>
    <n v="1957.4"/>
    <s v="user_145@company.com"/>
    <x v="3"/>
    <s v="user_145@company.com"/>
  </r>
  <r>
    <s v="TXN-1146"/>
    <d v="2023-05-01T00:00:00"/>
    <x v="2"/>
    <s v="Office Supplies"/>
    <x v="0"/>
    <n v="5"/>
    <x v="0"/>
    <n v="5"/>
    <n v="87.67"/>
    <n v="87.67"/>
    <n v="438.35"/>
    <n v="438.35"/>
    <s v="user_146@company.com"/>
    <x v="0"/>
    <s v="user_146@company.com"/>
  </r>
  <r>
    <s v="TXN-1147"/>
    <d v="2023-12-04T00:00:00"/>
    <x v="4"/>
    <s v="Office Supplies"/>
    <x v="0"/>
    <n v="6"/>
    <x v="0"/>
    <n v="6"/>
    <n v="248.86"/>
    <n v="248.86"/>
    <n v="1493.16"/>
    <n v="1493.16"/>
    <s v="user_147@company.com"/>
    <x v="4"/>
    <s v="user_147@company.com"/>
  </r>
  <r>
    <s v="TXN-1148"/>
    <d v="1899-12-31T00:00:00"/>
    <x v="1"/>
    <s v="Office Supplies"/>
    <x v="0"/>
    <n v="3"/>
    <x v="1"/>
    <n v="3"/>
    <n v="188.42"/>
    <n v="188.42"/>
    <n v="565.26"/>
    <n v="565.26"/>
    <s v="user_148@company.com"/>
    <x v="3"/>
    <s v="user_148@company.com"/>
  </r>
  <r>
    <s v="TXN-1149"/>
    <d v="2023-09-01T00:00:00"/>
    <x v="1"/>
    <s v="Furniture "/>
    <x v="2"/>
    <m/>
    <x v="0"/>
    <n v="4"/>
    <n v="323.3"/>
    <n v="323.3"/>
    <n v="1293.2"/>
    <n v="1437.15"/>
    <s v="user_149@company.com"/>
    <x v="2"/>
    <s v="user_149@company.com"/>
  </r>
  <r>
    <s v="TXN-1150"/>
    <d v="1899-12-31T00:00:00"/>
    <x v="0"/>
    <s v="Office Supplies"/>
    <x v="0"/>
    <n v="4"/>
    <x v="0"/>
    <n v="4"/>
    <n v="73.23"/>
    <n v="73.23"/>
    <n v="292.92"/>
    <n v="292.92"/>
    <s v="user_150@company.com"/>
    <x v="2"/>
    <s v="user_150@company.com"/>
  </r>
  <r>
    <s v="TXN-1151"/>
    <d v="2023-07-16T00:00:00"/>
    <x v="0"/>
    <s v="Electronics"/>
    <x v="1"/>
    <n v="5"/>
    <x v="0"/>
    <n v="5"/>
    <n v="220.86"/>
    <n v="220.86"/>
    <n v="1104.3"/>
    <n v="1104.3"/>
    <s v="user_151@company.com"/>
    <x v="4"/>
    <s v="user_151@company.com"/>
  </r>
  <r>
    <s v="TXN-1152"/>
    <d v="2023-03-17T00:00:00"/>
    <x v="1"/>
    <s v="Furniture "/>
    <x v="2"/>
    <n v="4"/>
    <x v="0"/>
    <n v="4"/>
    <n v="144.61000000000001"/>
    <n v="144.61000000000001"/>
    <n v="578.44000000000005"/>
    <n v="578.44000000000005"/>
    <s v="user_152@company.com"/>
    <x v="0"/>
    <s v="user_152@company.com"/>
  </r>
  <r>
    <s v="TXN-1153"/>
    <d v="2023-02-24T00:00:00"/>
    <x v="0"/>
    <s v="Office Supplies"/>
    <x v="0"/>
    <n v="2"/>
    <x v="1"/>
    <n v="2"/>
    <n v="445"/>
    <n v="445"/>
    <n v="890"/>
    <n v="890"/>
    <m/>
    <x v="0"/>
    <s v="unknown@domain.com"/>
  </r>
  <r>
    <s v="TXN-1155"/>
    <d v="1899-12-31T00:00:00"/>
    <x v="2"/>
    <s v="Electronics"/>
    <x v="1"/>
    <n v="6"/>
    <x v="0"/>
    <n v="6"/>
    <n v="457.73"/>
    <n v="457.73"/>
    <n v="2746.38"/>
    <n v="2746.38"/>
    <m/>
    <x v="4"/>
    <s v="unknown@domain.com"/>
  </r>
  <r>
    <s v="TXN-1156"/>
    <d v="2023-03-04T00:00:00"/>
    <x v="1"/>
    <s v="Electronics"/>
    <x v="1"/>
    <n v="8"/>
    <x v="2"/>
    <n v="8"/>
    <n v="418.17"/>
    <n v="418.17"/>
    <n v="3345.36"/>
    <n v="3345.36"/>
    <s v="user_156@company.com"/>
    <x v="2"/>
    <s v="user_156@company.com"/>
  </r>
  <r>
    <s v="TXN-1157"/>
    <d v="2023-08-26T00:00:00"/>
    <x v="3"/>
    <s v="Office Supplies"/>
    <x v="0"/>
    <n v="1"/>
    <x v="1"/>
    <n v="1"/>
    <n v="155.81"/>
    <n v="155.81"/>
    <n v="155.81"/>
    <n v="155.81"/>
    <s v="user_157@company.com"/>
    <x v="1"/>
    <s v="user_157@company.com"/>
  </r>
  <r>
    <s v="TXN-1158"/>
    <d v="2023-08-15T00:00:00"/>
    <x v="0"/>
    <s v="Office Supplies"/>
    <x v="0"/>
    <n v="6"/>
    <x v="0"/>
    <n v="6"/>
    <n v="396.75"/>
    <n v="396.75"/>
    <n v="2380.5"/>
    <n v="2380.5"/>
    <s v="user_158@company.com"/>
    <x v="4"/>
    <s v="user_158@company.com"/>
  </r>
  <r>
    <s v="TXN-1159"/>
    <d v="2023-10-08T00:00:00"/>
    <x v="0"/>
    <s v="Electronics"/>
    <x v="1"/>
    <n v="2"/>
    <x v="1"/>
    <n v="2"/>
    <n v="25.29"/>
    <n v="25.29"/>
    <n v="50.58"/>
    <n v="50.58"/>
    <s v="user_159@company.com"/>
    <x v="3"/>
    <s v="user_159@company.com"/>
  </r>
  <r>
    <s v="TXN-1160"/>
    <d v="2023-09-01T00:00:00"/>
    <x v="3"/>
    <s v="Office Supplies"/>
    <x v="0"/>
    <n v="5"/>
    <x v="0"/>
    <n v="5"/>
    <s v="$250.00"/>
    <n v="250"/>
    <n v="1250"/>
    <n v="2418.8000000000002"/>
    <s v="user_160@company.com"/>
    <x v="2"/>
    <s v="user_160@company.com"/>
  </r>
  <r>
    <s v="TXN-1162"/>
    <d v="2023-09-24T00:00:00"/>
    <x v="2"/>
    <s v="Electronics"/>
    <x v="1"/>
    <n v="6"/>
    <x v="0"/>
    <n v="6"/>
    <n v="158.61000000000001"/>
    <n v="158.61000000000001"/>
    <n v="951.66"/>
    <n v="1296.1099999999999"/>
    <s v="user_162@company.com"/>
    <x v="3"/>
    <s v="user_162@company.com"/>
  </r>
  <r>
    <s v="TXN-1163"/>
    <d v="2023-05-21T00:00:00"/>
    <x v="3"/>
    <s v="Office Supplies"/>
    <x v="0"/>
    <n v="4"/>
    <x v="0"/>
    <n v="4"/>
    <s v="$250.00"/>
    <n v="250"/>
    <n v="1000"/>
    <n v="750.68"/>
    <s v="user_163@company.com"/>
    <x v="0"/>
    <s v="user_163@company.com"/>
  </r>
  <r>
    <s v="TXN-1164"/>
    <d v="1899-12-31T00:00:00"/>
    <x v="1"/>
    <s v="Electronics"/>
    <x v="1"/>
    <n v="3"/>
    <x v="1"/>
    <n v="3"/>
    <n v="42.54"/>
    <n v="42.54"/>
    <n v="127.62"/>
    <n v="127.62"/>
    <s v="user_164@company.com"/>
    <x v="0"/>
    <s v="user_164@company.com"/>
  </r>
  <r>
    <s v="TXN-1165"/>
    <d v="2023-05-20T00:00:00"/>
    <x v="1"/>
    <s v="Office Supplies"/>
    <x v="0"/>
    <n v="5"/>
    <x v="0"/>
    <n v="5"/>
    <n v="494.78"/>
    <n v="494.78"/>
    <n v="2473.9"/>
    <n v="2473.9"/>
    <s v="user_165@company.com"/>
    <x v="4"/>
    <s v="user_165@company.com"/>
  </r>
  <r>
    <s v="TXN-1166"/>
    <d v="2023-10-04T00:00:00"/>
    <x v="0"/>
    <s v="Office Supplies"/>
    <x v="0"/>
    <n v="6"/>
    <x v="0"/>
    <n v="6"/>
    <n v="29.25"/>
    <n v="29.25"/>
    <n v="175.5"/>
    <n v="175.5"/>
    <s v="user_166@company.com"/>
    <x v="4"/>
    <s v="user_166@company.com"/>
  </r>
  <r>
    <s v="TXN-1167"/>
    <d v="2023-04-29T00:00:00"/>
    <x v="3"/>
    <s v="Electronics"/>
    <x v="1"/>
    <n v="3"/>
    <x v="1"/>
    <n v="3"/>
    <n v="330.9"/>
    <n v="330.9"/>
    <n v="992.7"/>
    <n v="992.7"/>
    <s v="user_167@company.com"/>
    <x v="0"/>
    <s v="user_167@company.com"/>
  </r>
  <r>
    <s v="TXN-1168"/>
    <d v="1899-12-31T00:00:00"/>
    <x v="2"/>
    <s v="Electronics"/>
    <x v="1"/>
    <n v="4"/>
    <x v="0"/>
    <n v="4"/>
    <n v="226.94"/>
    <n v="226.94"/>
    <n v="907.76"/>
    <n v="907.76"/>
    <s v="user_168@company.com"/>
    <x v="0"/>
    <s v="user_168@company.com"/>
  </r>
  <r>
    <s v="TXN-1169"/>
    <d v="1899-12-31T00:00:00"/>
    <x v="4"/>
    <s v="Furniture"/>
    <x v="2"/>
    <n v="8"/>
    <x v="2"/>
    <n v="8"/>
    <n v="474.97"/>
    <n v="474.97"/>
    <n v="3799.76"/>
    <n v="3799.76"/>
    <s v="invalid_email_at_gmail.com"/>
    <x v="2"/>
    <s v="invalid_email@gmail.com"/>
  </r>
  <r>
    <s v="TXN-1170"/>
    <d v="2023-10-05T00:00:00"/>
    <x v="2"/>
    <s v="Office Supplies"/>
    <x v="0"/>
    <n v="4"/>
    <x v="0"/>
    <n v="4"/>
    <n v="130.54"/>
    <n v="130.54"/>
    <n v="522.16"/>
    <n v="522.16"/>
    <s v="user_170@company.com"/>
    <x v="2"/>
    <s v="user_170@company.com"/>
  </r>
  <r>
    <s v="TXN-1171"/>
    <d v="2023-04-16T00:00:00"/>
    <x v="1"/>
    <s v="Electronics"/>
    <x v="1"/>
    <n v="10"/>
    <x v="2"/>
    <n v="10"/>
    <n v="270.72000000000003"/>
    <n v="270.72000000000003"/>
    <n v="2707.2"/>
    <n v="2707.2"/>
    <s v="user_171@company.com"/>
    <x v="1"/>
    <s v="user_171@company.com"/>
  </r>
  <r>
    <s v="TXN-1172"/>
    <d v="2023-10-27T00:00:00"/>
    <x v="2"/>
    <s v="Office Supplies"/>
    <x v="0"/>
    <n v="4"/>
    <x v="0"/>
    <n v="4"/>
    <n v="246.35"/>
    <n v="246.35"/>
    <n v="985.4"/>
    <n v="985.4"/>
    <s v="user_172@company.com"/>
    <x v="0"/>
    <s v="user_172@company.com"/>
  </r>
  <r>
    <s v="TXN-1173"/>
    <d v="2023-10-22T00:00:00"/>
    <x v="4"/>
    <s v="Office Supplies"/>
    <x v="0"/>
    <n v="5"/>
    <x v="0"/>
    <n v="5"/>
    <n v="354.4"/>
    <n v="354.4"/>
    <n v="1772"/>
    <n v="1772"/>
    <s v="user_173@company.com"/>
    <x v="3"/>
    <s v="user_173@company.com"/>
  </r>
  <r>
    <s v="TXN-1174"/>
    <d v="2023-06-30T00:00:00"/>
    <x v="2"/>
    <s v="Furniture "/>
    <x v="2"/>
    <n v="10"/>
    <x v="2"/>
    <n v="10"/>
    <n v="43.33"/>
    <n v="43.33"/>
    <n v="433.3"/>
    <n v="433.3"/>
    <s v="invalid_email_at_gmail.com"/>
    <x v="2"/>
    <s v="invalid_email@gmail.com"/>
  </r>
  <r>
    <s v="TXN-1175"/>
    <d v="2023-03-08T00:00:00"/>
    <x v="3"/>
    <s v="Electronics"/>
    <x v="1"/>
    <n v="3"/>
    <x v="1"/>
    <n v="3"/>
    <n v="104.96"/>
    <n v="104.96"/>
    <n v="314.88"/>
    <n v="408.84"/>
    <s v="user_175@company.com"/>
    <x v="4"/>
    <s v="user_175@company.com"/>
  </r>
  <r>
    <s v="TXN-1176"/>
    <d v="2023-05-20T00:00:00"/>
    <x v="3"/>
    <s v="Furniture "/>
    <x v="2"/>
    <n v="4"/>
    <x v="0"/>
    <n v="4"/>
    <n v="115.14"/>
    <n v="115.14"/>
    <n v="460.56"/>
    <n v="460.56"/>
    <s v="invalid_email_at_gmail.com"/>
    <x v="1"/>
    <s v="invalid_email@gmail.com"/>
  </r>
  <r>
    <s v="TXN-1177"/>
    <d v="2023-07-19T00:00:00"/>
    <x v="1"/>
    <s v="Furniture"/>
    <x v="2"/>
    <n v="7"/>
    <x v="0"/>
    <n v="7"/>
    <n v="371.69"/>
    <n v="371.69"/>
    <n v="2601.83"/>
    <n v="2601.83"/>
    <s v="user_177@company.com"/>
    <x v="2"/>
    <s v="user_177@company.com"/>
  </r>
  <r>
    <s v="TXN-1178"/>
    <d v="1899-12-31T00:00:00"/>
    <x v="0"/>
    <s v="Furniture "/>
    <x v="2"/>
    <n v="5"/>
    <x v="0"/>
    <n v="5"/>
    <m/>
    <n v="0"/>
    <n v="0"/>
    <n v="513.4"/>
    <s v="user_178@company.com"/>
    <x v="1"/>
    <s v="user_178@company.com"/>
  </r>
  <r>
    <s v="TXN-1179"/>
    <d v="2023-03-07T00:00:00"/>
    <x v="1"/>
    <s v="Office Supplies"/>
    <x v="0"/>
    <n v="10"/>
    <x v="2"/>
    <n v="10"/>
    <n v="291.01"/>
    <n v="291.01"/>
    <n v="2910.1"/>
    <n v="2910.1"/>
    <s v="user_179@company.com"/>
    <x v="1"/>
    <s v="user_179@company.com"/>
  </r>
  <r>
    <s v="TXN-1180"/>
    <d v="2023-10-31T00:00:00"/>
    <x v="0"/>
    <s v="Office Supplies"/>
    <x v="0"/>
    <n v="4"/>
    <x v="0"/>
    <n v="4"/>
    <n v="115.47"/>
    <n v="115.47"/>
    <n v="461.88"/>
    <n v="461.88"/>
    <s v="user_180@company.com"/>
    <x v="2"/>
    <s v="user_180@company.com"/>
  </r>
  <r>
    <s v="TXN-1181"/>
    <d v="1899-12-31T00:00:00"/>
    <x v="1"/>
    <s v="Office Supplies"/>
    <x v="0"/>
    <n v="-4"/>
    <x v="0"/>
    <n v="4"/>
    <n v="432.2"/>
    <n v="432.2"/>
    <n v="1728.8"/>
    <n v="955.77"/>
    <s v="user_181@company.com"/>
    <x v="0"/>
    <s v="user_181@company.com"/>
  </r>
  <r>
    <s v="TXN-1182"/>
    <d v="1899-12-31T00:00:00"/>
    <x v="3"/>
    <s v="Electronics"/>
    <x v="1"/>
    <n v="3"/>
    <x v="1"/>
    <n v="3"/>
    <n v="471.67"/>
    <n v="471.67"/>
    <n v="1415.01"/>
    <n v="1415.01"/>
    <s v="user_182@company.com"/>
    <x v="0"/>
    <s v="user_182@company.com"/>
  </r>
  <r>
    <s v="TXN-1183"/>
    <d v="1899-12-31T00:00:00"/>
    <x v="1"/>
    <s v="Office Supplies"/>
    <x v="0"/>
    <n v="5"/>
    <x v="0"/>
    <n v="5"/>
    <n v="264.06"/>
    <n v="264.06"/>
    <n v="1320.3"/>
    <m/>
    <s v="user_183@company.com"/>
    <x v="0"/>
    <s v="user_183@company.com"/>
  </r>
  <r>
    <s v="TXN-1184"/>
    <d v="2023-04-19T00:00:00"/>
    <x v="1"/>
    <s v="Office Supplies"/>
    <x v="0"/>
    <n v="8"/>
    <x v="2"/>
    <n v="8"/>
    <n v="-93.03"/>
    <n v="93.03"/>
    <n v="744.24"/>
    <n v="1461.04"/>
    <m/>
    <x v="4"/>
    <s v="unknown@domain.com"/>
  </r>
  <r>
    <s v="TXN-1185"/>
    <d v="2023-07-14T00:00:00"/>
    <x v="4"/>
    <s v="Furniture"/>
    <x v="2"/>
    <n v="4"/>
    <x v="0"/>
    <n v="4"/>
    <n v="124.69"/>
    <n v="124.69"/>
    <n v="498.76"/>
    <n v="498.76"/>
    <s v="user_185@company.com"/>
    <x v="4"/>
    <s v="user_185@company.com"/>
  </r>
  <r>
    <s v="TXN-1186"/>
    <d v="2023-08-04T00:00:00"/>
    <x v="0"/>
    <s v="Office Supplies"/>
    <x v="0"/>
    <n v="3"/>
    <x v="1"/>
    <n v="3"/>
    <n v="34.39"/>
    <n v="34.39"/>
    <n v="103.17"/>
    <n v="103.17"/>
    <s v="user_186@company.com"/>
    <x v="3"/>
    <s v="user_186@company.com"/>
  </r>
  <r>
    <s v="TXN-1187"/>
    <d v="2023-08-29T00:00:00"/>
    <x v="0"/>
    <s v="Office Supplies"/>
    <x v="0"/>
    <n v="8"/>
    <x v="2"/>
    <n v="8"/>
    <n v="141.57"/>
    <n v="141.57"/>
    <n v="1132.56"/>
    <n v="1132.56"/>
    <s v="user_187@company.com"/>
    <x v="2"/>
    <s v="user_187@company.com"/>
  </r>
  <r>
    <s v="TXN-1188"/>
    <d v="2023-01-27T00:00:00"/>
    <x v="0"/>
    <s v="Office Supplies"/>
    <x v="0"/>
    <n v="6"/>
    <x v="0"/>
    <n v="6"/>
    <n v="330.58"/>
    <n v="330.58"/>
    <n v="1983.48"/>
    <n v="1983.48"/>
    <s v="user_188@company.com"/>
    <x v="0"/>
    <s v="user_188@company.com"/>
  </r>
  <r>
    <s v="TXN-1189"/>
    <d v="2023-02-05T00:00:00"/>
    <x v="0"/>
    <s v="Office Supplies"/>
    <x v="0"/>
    <n v="8"/>
    <x v="2"/>
    <n v="8"/>
    <n v="271.47000000000003"/>
    <n v="271.47000000000003"/>
    <n v="2171.7600000000002"/>
    <m/>
    <s v="user_189@company.com"/>
    <x v="4"/>
    <s v="user_189@company.com"/>
  </r>
  <r>
    <s v="TXN-1190"/>
    <d v="2023-07-05T00:00:00"/>
    <x v="0"/>
    <s v="Furniture "/>
    <x v="2"/>
    <n v="5"/>
    <x v="0"/>
    <n v="5"/>
    <n v="472.58"/>
    <n v="472.58"/>
    <n v="2362.9"/>
    <n v="1417.74"/>
    <s v="user_190@company.com"/>
    <x v="3"/>
    <s v="user_190@company.com"/>
  </r>
  <r>
    <s v="TXN-1191"/>
    <d v="1899-12-31T00:00:00"/>
    <x v="3"/>
    <s v="Office Supplies"/>
    <x v="0"/>
    <n v="3"/>
    <x v="1"/>
    <n v="3"/>
    <n v="204.18"/>
    <n v="204.18"/>
    <n v="612.54"/>
    <n v="612.54"/>
    <s v="user_191@company.com"/>
    <x v="2"/>
    <s v="user_191@company.com"/>
  </r>
  <r>
    <s v="TXN-1192"/>
    <d v="2023-08-31T00:00:00"/>
    <x v="2"/>
    <s v="Electronics"/>
    <x v="1"/>
    <n v="5"/>
    <x v="0"/>
    <n v="5"/>
    <n v="349.99"/>
    <n v="349.99"/>
    <n v="1749.95"/>
    <n v="1749.95"/>
    <s v="user_192@company.com"/>
    <x v="3"/>
    <s v="user_192@company.com"/>
  </r>
  <r>
    <s v="TXN-1193"/>
    <d v="2023-04-22T00:00:00"/>
    <x v="1"/>
    <s v="Electronics"/>
    <x v="1"/>
    <n v="11"/>
    <x v="2"/>
    <n v="11"/>
    <n v="249.77"/>
    <n v="249.77"/>
    <n v="2747.47"/>
    <n v="2747.47"/>
    <m/>
    <x v="4"/>
    <s v="unknown@domain.com"/>
  </r>
  <r>
    <s v="TXN-1194"/>
    <d v="2023-08-07T00:00:00"/>
    <x v="1"/>
    <s v="Furniture"/>
    <x v="2"/>
    <n v="7"/>
    <x v="0"/>
    <n v="7"/>
    <n v="261.16000000000003"/>
    <n v="261.16000000000003"/>
    <n v="1828.12"/>
    <n v="1828.12"/>
    <s v="user_194@company.com"/>
    <x v="4"/>
    <s v="user_194@company.com"/>
  </r>
  <r>
    <s v="TXN-1195"/>
    <d v="1899-12-31T00:00:00"/>
    <x v="2"/>
    <s v="Electronics"/>
    <x v="1"/>
    <m/>
    <x v="0"/>
    <n v="4"/>
    <n v="141.21"/>
    <n v="141.21"/>
    <n v="564.84"/>
    <n v="564.84"/>
    <s v="user_at_company"/>
    <x v="2"/>
    <s v="user@company"/>
  </r>
  <r>
    <s v="TXN-1196"/>
    <d v="2023-02-25T00:00:00"/>
    <x v="1"/>
    <s v="Furniture "/>
    <x v="2"/>
    <n v="3"/>
    <x v="1"/>
    <n v="3"/>
    <n v="232.93"/>
    <n v="232.93"/>
    <n v="698.79"/>
    <n v="698.79"/>
    <s v="user_196@company.com"/>
    <x v="2"/>
    <s v="user_196@company.com"/>
  </r>
  <r>
    <s v="TXN-1197"/>
    <d v="2023-10-22T00:00:00"/>
    <x v="1"/>
    <s v="Furniture"/>
    <x v="2"/>
    <n v="8"/>
    <x v="2"/>
    <n v="8"/>
    <n v="240.68"/>
    <n v="240.68"/>
    <n v="1925.44"/>
    <n v="1925.44"/>
    <s v="user_197@company.com"/>
    <x v="2"/>
    <s v="user_197@company.com"/>
  </r>
  <r>
    <s v="TXN-1198"/>
    <d v="2023-04-12T00:00:00"/>
    <x v="4"/>
    <s v="Office Supplies"/>
    <x v="0"/>
    <n v="8"/>
    <x v="2"/>
    <n v="8"/>
    <n v="356.25"/>
    <n v="356.25"/>
    <n v="2850"/>
    <n v="2850"/>
    <s v="user_198@company.com"/>
    <x v="0"/>
    <s v="user_198@company.com"/>
  </r>
  <r>
    <s v="TXN-1199"/>
    <d v="1899-12-31T00:00:00"/>
    <x v="1"/>
    <s v="Office Supplies"/>
    <x v="0"/>
    <n v="3"/>
    <x v="1"/>
    <n v="3"/>
    <n v="470.91"/>
    <n v="470.91"/>
    <n v="1412.73"/>
    <n v="1412.73"/>
    <s v="user_199@company.com"/>
    <x v="0"/>
    <s v="user_199@company.com"/>
  </r>
  <r>
    <s v="TXN-1200"/>
    <d v="2023-06-04T00:00:00"/>
    <x v="0"/>
    <s v="Furniture"/>
    <x v="2"/>
    <n v="3"/>
    <x v="1"/>
    <n v="3"/>
    <n v="171.37"/>
    <n v="171.37"/>
    <n v="514.11"/>
    <n v="514.11"/>
    <s v="user_200@company.com"/>
    <x v="0"/>
    <s v="user_200@company.com"/>
  </r>
  <r>
    <s v="TXN-1201"/>
    <d v="2023-10-17T00:00:00"/>
    <x v="0"/>
    <s v="Electronics"/>
    <x v="1"/>
    <n v="6"/>
    <x v="0"/>
    <n v="6"/>
    <n v="30.68"/>
    <n v="30.68"/>
    <n v="184.08"/>
    <n v="184.08"/>
    <s v="user_201@company.com"/>
    <x v="4"/>
    <s v="user_201@company.com"/>
  </r>
  <r>
    <s v="TXN-1202"/>
    <d v="2023-08-08T00:00:00"/>
    <x v="4"/>
    <s v="Electronics"/>
    <x v="1"/>
    <n v="2"/>
    <x v="1"/>
    <n v="2"/>
    <n v="253.18"/>
    <n v="253.18"/>
    <n v="506.36"/>
    <n v="506.36"/>
    <s v="user_202@company.com"/>
    <x v="4"/>
    <s v="user_202@company.com"/>
  </r>
  <r>
    <s v="TXN-1203"/>
    <d v="1899-12-31T00:00:00"/>
    <x v="0"/>
    <s v="Office Supplies"/>
    <x v="0"/>
    <n v="7"/>
    <x v="0"/>
    <n v="7"/>
    <n v="276.79000000000002"/>
    <n v="276.79000000000002"/>
    <n v="1937.53"/>
    <m/>
    <s v="user_203@company.com"/>
    <x v="4"/>
    <s v="user_203@company.com"/>
  </r>
  <r>
    <s v="TXN-1204"/>
    <d v="2023-01-07T00:00:00"/>
    <x v="0"/>
    <s v="Electronics"/>
    <x v="1"/>
    <n v="5"/>
    <x v="0"/>
    <n v="5"/>
    <n v="92.54"/>
    <n v="92.54"/>
    <n v="462.7"/>
    <n v="462.7"/>
    <s v="user_204@company.com"/>
    <x v="3"/>
    <s v="user_204@company.com"/>
  </r>
  <r>
    <s v="TXN-1205"/>
    <d v="2023-02-24T00:00:00"/>
    <x v="3"/>
    <s v="Electronics"/>
    <x v="1"/>
    <n v="5"/>
    <x v="0"/>
    <n v="5"/>
    <n v="-187.37"/>
    <n v="187.37"/>
    <n v="936.85"/>
    <n v="1913.15"/>
    <s v="user_205@company.com"/>
    <x v="0"/>
    <s v="user_205@company.com"/>
  </r>
  <r>
    <s v="TXN-1206"/>
    <d v="2023-11-22T00:00:00"/>
    <x v="3"/>
    <s v="Office Supplies"/>
    <x v="0"/>
    <n v="6"/>
    <x v="0"/>
    <n v="6"/>
    <n v="492.62"/>
    <n v="492.62"/>
    <n v="2955.72"/>
    <n v="2955.72"/>
    <s v="user_206@company.com"/>
    <x v="1"/>
    <s v="user_206@company.com"/>
  </r>
  <r>
    <s v="TXN-1207"/>
    <d v="2023-11-08T00:00:00"/>
    <x v="3"/>
    <s v="Office Supplies"/>
    <x v="0"/>
    <n v="1"/>
    <x v="1"/>
    <n v="1"/>
    <n v="473.43"/>
    <n v="473.43"/>
    <n v="473.43"/>
    <n v="473.43"/>
    <s v="user_207@company.com"/>
    <x v="0"/>
    <s v="user_207@company.com"/>
  </r>
  <r>
    <s v="TXN-1208"/>
    <d v="2023-11-30T00:00:00"/>
    <x v="2"/>
    <s v="Electronics"/>
    <x v="1"/>
    <n v="10"/>
    <x v="2"/>
    <n v="10"/>
    <s v="$250.00"/>
    <n v="250"/>
    <n v="2500"/>
    <n v="1465.5"/>
    <s v="user_208@company.com"/>
    <x v="1"/>
    <s v="user_208@company.com"/>
  </r>
  <r>
    <s v="TXN-1209"/>
    <d v="2023-10-03T00:00:00"/>
    <x v="0"/>
    <s v="Office Supplies"/>
    <x v="0"/>
    <n v="2"/>
    <x v="1"/>
    <n v="2"/>
    <n v="438.93"/>
    <n v="438.93"/>
    <n v="877.86"/>
    <n v="877.86"/>
    <s v="user_209@company.com"/>
    <x v="4"/>
    <s v="user_209@company.com"/>
  </r>
  <r>
    <s v="TXN-1210"/>
    <d v="2023-10-31T00:00:00"/>
    <x v="0"/>
    <s v="Office Supplies"/>
    <x v="0"/>
    <n v="5"/>
    <x v="0"/>
    <n v="5"/>
    <n v="355.2"/>
    <n v="355.2"/>
    <n v="1776"/>
    <n v="1776"/>
    <s v="user_210@company.com"/>
    <x v="0"/>
    <s v="user_210@company.com"/>
  </r>
  <r>
    <s v="TXN-1211"/>
    <d v="2023-05-06T00:00:00"/>
    <x v="2"/>
    <s v="Furniture "/>
    <x v="2"/>
    <n v="4"/>
    <x v="0"/>
    <n v="4"/>
    <n v="232.38"/>
    <n v="232.38"/>
    <n v="929.52"/>
    <n v="1409.54"/>
    <s v="user_211@company.com"/>
    <x v="4"/>
    <s v="user_211@company.com"/>
  </r>
  <r>
    <s v="TXN-1212"/>
    <d v="1899-12-31T00:00:00"/>
    <x v="0"/>
    <s v="Furniture "/>
    <x v="2"/>
    <n v="5"/>
    <x v="0"/>
    <n v="5"/>
    <n v="274.89999999999998"/>
    <n v="274.89999999999998"/>
    <n v="1374.5"/>
    <n v="1374.5"/>
    <s v="user_212@company.com"/>
    <x v="0"/>
    <s v="user_212@company.com"/>
  </r>
  <r>
    <s v="TXN-1213"/>
    <d v="2023-10-19T00:00:00"/>
    <x v="2"/>
    <s v="Electronics"/>
    <x v="1"/>
    <n v="4"/>
    <x v="0"/>
    <n v="4"/>
    <n v="426.3"/>
    <n v="426.3"/>
    <n v="1705.2"/>
    <n v="1705.2"/>
    <s v="user_213@company.com"/>
    <x v="1"/>
    <s v="user_213@company.com"/>
  </r>
  <r>
    <s v="TXN-1214"/>
    <d v="2023-09-11T00:00:00"/>
    <x v="4"/>
    <s v="Office Supplies"/>
    <x v="0"/>
    <n v="5"/>
    <x v="0"/>
    <n v="5"/>
    <n v="245.27"/>
    <n v="245.27"/>
    <n v="1226.3499999999999"/>
    <n v="1226.3499999999999"/>
    <s v="invalid_email_at_gmail.com"/>
    <x v="4"/>
    <s v="invalid_email@gmail.com"/>
  </r>
  <r>
    <s v="TXN-1215"/>
    <d v="2023-04-19T00:00:00"/>
    <x v="3"/>
    <s v="Electronics"/>
    <x v="1"/>
    <n v="6"/>
    <x v="0"/>
    <n v="6"/>
    <n v="192.87"/>
    <n v="192.87"/>
    <n v="1157.22"/>
    <n v="1157.22"/>
    <s v="user_215@company.com"/>
    <x v="1"/>
    <s v="user_215@company.com"/>
  </r>
  <r>
    <s v="TXN-1216"/>
    <d v="2023-06-24T00:00:00"/>
    <x v="4"/>
    <s v="Electronics"/>
    <x v="1"/>
    <n v="-3"/>
    <x v="1"/>
    <n v="3"/>
    <n v="251.69"/>
    <n v="251.69"/>
    <n v="755.07"/>
    <m/>
    <s v="invalid_email_at_gmail.com"/>
    <x v="3"/>
    <s v="invalid_email@gmail.com"/>
  </r>
  <r>
    <s v="TXN-1217"/>
    <d v="2023-12-26T00:00:00"/>
    <x v="1"/>
    <s v="Electronics"/>
    <x v="1"/>
    <n v="3"/>
    <x v="1"/>
    <n v="3"/>
    <n v="293.77"/>
    <n v="293.77"/>
    <n v="881.31"/>
    <n v="881.31"/>
    <s v="user_217@company.com"/>
    <x v="2"/>
    <s v="user_217@company.com"/>
  </r>
  <r>
    <s v="TXN-1218"/>
    <d v="1899-12-31T00:00:00"/>
    <x v="1"/>
    <s v="Furniture"/>
    <x v="2"/>
    <n v="2"/>
    <x v="1"/>
    <n v="2"/>
    <n v="102.65"/>
    <n v="102.65"/>
    <n v="205.3"/>
    <n v="205.3"/>
    <s v="user_218@company.com"/>
    <x v="4"/>
    <s v="user_218@company.com"/>
  </r>
  <r>
    <s v="TXN-1219"/>
    <d v="1899-12-31T00:00:00"/>
    <x v="2"/>
    <s v="Furniture "/>
    <x v="2"/>
    <n v="5"/>
    <x v="0"/>
    <n v="5"/>
    <n v="451.44"/>
    <n v="451.44"/>
    <n v="2257.1999999999998"/>
    <n v="2257.1999999999998"/>
    <s v="user_219@company.com"/>
    <x v="0"/>
    <s v="user_219@company.com"/>
  </r>
  <r>
    <s v="TXN-1220"/>
    <d v="2023-08-09T00:00:00"/>
    <x v="3"/>
    <s v="Office Supplies"/>
    <x v="0"/>
    <n v="4"/>
    <x v="0"/>
    <n v="4"/>
    <n v="340.35"/>
    <n v="340.35"/>
    <n v="1361.4"/>
    <m/>
    <s v="user_220@company.com"/>
    <x v="0"/>
    <s v="user_220@company.com"/>
  </r>
  <r>
    <s v="TXN-1221"/>
    <d v="2023-11-27T00:00:00"/>
    <x v="2"/>
    <s v="Electronics"/>
    <x v="1"/>
    <n v="7"/>
    <x v="0"/>
    <n v="7"/>
    <n v="320.3"/>
    <n v="320.3"/>
    <n v="2242.1"/>
    <n v="2242.1"/>
    <s v="user_221@company.com"/>
    <x v="0"/>
    <s v="user_221@company.com"/>
  </r>
  <r>
    <s v="TXN-1222"/>
    <d v="2023-01-09T00:00:00"/>
    <x v="4"/>
    <s v="Office Supplies"/>
    <x v="0"/>
    <n v="7"/>
    <x v="0"/>
    <n v="7"/>
    <n v="58.75"/>
    <n v="58.75"/>
    <n v="411.25"/>
    <n v="411.25"/>
    <s v="user_222@company.com"/>
    <x v="1"/>
    <s v="user_222@company.com"/>
  </r>
  <r>
    <s v="TXN-1223"/>
    <d v="1899-12-31T00:00:00"/>
    <x v="4"/>
    <s v="Office Supplies"/>
    <x v="0"/>
    <n v="2"/>
    <x v="1"/>
    <n v="2"/>
    <n v="306.05"/>
    <n v="306.05"/>
    <n v="612.1"/>
    <n v="612.1"/>
    <s v="user_223@company.com"/>
    <x v="0"/>
    <s v="user_223@company.com"/>
  </r>
  <r>
    <s v="TXN-1224"/>
    <d v="2023-10-25T00:00:00"/>
    <x v="0"/>
    <s v="Furniture "/>
    <x v="2"/>
    <n v="6"/>
    <x v="0"/>
    <n v="6"/>
    <n v="-97.91"/>
    <n v="97.91"/>
    <n v="587.46"/>
    <n v="415.62"/>
    <s v="user_224@company.com"/>
    <x v="1"/>
    <s v="user_224@company.com"/>
  </r>
  <r>
    <s v="TXN-1225"/>
    <d v="2023-09-29T00:00:00"/>
    <x v="0"/>
    <s v="Office Supplies"/>
    <x v="0"/>
    <n v="7"/>
    <x v="0"/>
    <n v="7"/>
    <n v="48.56"/>
    <n v="48.56"/>
    <n v="339.92"/>
    <m/>
    <s v="user_225@company.com"/>
    <x v="0"/>
    <s v="user_225@company.com"/>
  </r>
  <r>
    <s v="TXN-1226"/>
    <d v="2023-10-09T00:00:00"/>
    <x v="1"/>
    <s v="Office Supplies"/>
    <x v="0"/>
    <n v="2"/>
    <x v="1"/>
    <n v="2"/>
    <n v="268.38"/>
    <n v="268.38"/>
    <n v="536.76"/>
    <n v="843.87"/>
    <s v="user_226@company.com"/>
    <x v="1"/>
    <s v="user_226@company.com"/>
  </r>
  <r>
    <s v="TXN-1227"/>
    <d v="2023-08-21T00:00:00"/>
    <x v="2"/>
    <s v="Furniture "/>
    <x v="2"/>
    <n v="7"/>
    <x v="0"/>
    <n v="7"/>
    <n v="207.36"/>
    <n v="207.36"/>
    <n v="1451.52"/>
    <n v="1451.52"/>
    <s v="user_227@company.com"/>
    <x v="0"/>
    <s v="user_227@company.com"/>
  </r>
  <r>
    <s v="TXN-1228"/>
    <d v="2023-04-29T00:00:00"/>
    <x v="1"/>
    <s v="Office Supplies"/>
    <x v="0"/>
    <n v="5"/>
    <x v="0"/>
    <n v="5"/>
    <n v="298.52"/>
    <n v="298.52"/>
    <n v="1492.6"/>
    <n v="1492.6"/>
    <s v="user_228@company.com"/>
    <x v="3"/>
    <s v="user_228@company.com"/>
  </r>
  <r>
    <s v="TXN-1229"/>
    <d v="2023-06-11T00:00:00"/>
    <x v="3"/>
    <s v="Electronics"/>
    <x v="1"/>
    <n v="7"/>
    <x v="0"/>
    <n v="7"/>
    <n v="53.72"/>
    <n v="53.72"/>
    <n v="376.04"/>
    <n v="376.04"/>
    <s v="user_229@company.com"/>
    <x v="2"/>
    <s v="user_229@company.com"/>
  </r>
  <r>
    <s v="TXN-1230"/>
    <d v="1899-12-31T00:00:00"/>
    <x v="0"/>
    <s v="Office Supplies"/>
    <x v="0"/>
    <n v="6"/>
    <x v="0"/>
    <n v="6"/>
    <n v="221.18"/>
    <n v="221.18"/>
    <n v="1327.08"/>
    <n v="1327.08"/>
    <s v="user_230@company.com"/>
    <x v="0"/>
    <s v="user_230@company.com"/>
  </r>
  <r>
    <s v="TXN-1231"/>
    <d v="2023-09-05T00:00:00"/>
    <x v="3"/>
    <s v="Electronics"/>
    <x v="1"/>
    <n v="5"/>
    <x v="0"/>
    <n v="5"/>
    <n v="95.65"/>
    <n v="95.65"/>
    <n v="478.25"/>
    <n v="478.25"/>
    <s v="invalid_email_at_gmail.com"/>
    <x v="4"/>
    <s v="invalid_email@gmail.com"/>
  </r>
  <r>
    <s v="TXN-1232"/>
    <d v="2023-09-26T00:00:00"/>
    <x v="0"/>
    <s v="Office Supplies"/>
    <x v="0"/>
    <n v="6"/>
    <x v="0"/>
    <n v="6"/>
    <n v="493.68"/>
    <n v="493.68"/>
    <n v="2962.08"/>
    <n v="2962.08"/>
    <s v="user_at_company"/>
    <x v="2"/>
    <s v="user@company"/>
  </r>
  <r>
    <s v="TXN-1233"/>
    <d v="2023-04-10T00:00:00"/>
    <x v="0"/>
    <s v="Furniture"/>
    <x v="2"/>
    <n v="5"/>
    <x v="0"/>
    <n v="5"/>
    <n v="284.95999999999998"/>
    <n v="284.95999999999998"/>
    <n v="1424.8"/>
    <n v="1424.8"/>
    <s v="user_233@company.com"/>
    <x v="3"/>
    <s v="user_233@company.com"/>
  </r>
  <r>
    <s v="TXN-1234"/>
    <d v="2023-04-02T00:00:00"/>
    <x v="0"/>
    <s v="Electronics"/>
    <x v="1"/>
    <n v="4"/>
    <x v="0"/>
    <n v="4"/>
    <m/>
    <n v="0"/>
    <n v="0"/>
    <n v="1387.36"/>
    <s v="user_234@company.com"/>
    <x v="3"/>
    <s v="user_234@company.com"/>
  </r>
  <r>
    <s v="TXN-1235"/>
    <d v="1899-12-31T00:00:00"/>
    <x v="0"/>
    <s v="Furniture "/>
    <x v="2"/>
    <m/>
    <x v="0"/>
    <n v="7"/>
    <n v="169.45"/>
    <n v="169.45"/>
    <n v="1186.1500000000001"/>
    <n v="1186.1500000000001"/>
    <s v="user_235@company.com"/>
    <x v="0"/>
    <s v="user_235@company.com"/>
  </r>
  <r>
    <s v="TXN-1236"/>
    <d v="2023-05-21T00:00:00"/>
    <x v="1"/>
    <s v="Office Supplies"/>
    <x v="0"/>
    <n v="1"/>
    <x v="1"/>
    <n v="1"/>
    <n v="56.42"/>
    <n v="56.42"/>
    <n v="56.42"/>
    <n v="56.42"/>
    <s v="user_236@company.com"/>
    <x v="4"/>
    <s v="user_236@company.com"/>
  </r>
  <r>
    <s v="TXN-1237"/>
    <d v="2023-10-11T00:00:00"/>
    <x v="2"/>
    <s v="Office Supplies"/>
    <x v="0"/>
    <n v="8"/>
    <x v="2"/>
    <n v="8"/>
    <n v="488.18"/>
    <n v="488.18"/>
    <n v="3905.44"/>
    <n v="3905.44"/>
    <s v="user_237@company.com"/>
    <x v="0"/>
    <s v="user_237@company.com"/>
  </r>
  <r>
    <s v="TXN-1238"/>
    <d v="2023-03-06T00:00:00"/>
    <x v="0"/>
    <s v="Office Supplies"/>
    <x v="0"/>
    <n v="4"/>
    <x v="0"/>
    <n v="4"/>
    <n v="150.27000000000001"/>
    <n v="150.27000000000001"/>
    <n v="601.08000000000004"/>
    <n v="601.08000000000004"/>
    <s v="user_238@company.com"/>
    <x v="0"/>
    <s v="user_238@company.com"/>
  </r>
  <r>
    <s v="TXN-1239"/>
    <d v="2023-01-07T00:00:00"/>
    <x v="1"/>
    <s v="Office Supplies"/>
    <x v="0"/>
    <n v="5"/>
    <x v="0"/>
    <n v="5"/>
    <n v="217.67"/>
    <n v="217.67"/>
    <n v="1088.3499999999999"/>
    <n v="1088.3499999999999"/>
    <s v="user_239@company.com"/>
    <x v="4"/>
    <s v="user_239@company.com"/>
  </r>
  <r>
    <s v="TXN-1240"/>
    <d v="2023-08-14T00:00:00"/>
    <x v="4"/>
    <s v="Electronics"/>
    <x v="1"/>
    <n v="3"/>
    <x v="1"/>
    <n v="3"/>
    <n v="328.43"/>
    <n v="328.43"/>
    <n v="985.29"/>
    <m/>
    <s v="user_240@company.com"/>
    <x v="3"/>
    <s v="user_240@company.com"/>
  </r>
  <r>
    <s v="TXN-1241"/>
    <d v="2023-01-27T00:00:00"/>
    <x v="3"/>
    <s v="Office Supplies"/>
    <x v="0"/>
    <n v="7"/>
    <x v="0"/>
    <n v="7"/>
    <n v="22.1"/>
    <n v="22.1"/>
    <n v="154.69999999999999"/>
    <n v="154.69999999999999"/>
    <s v="user_241@company.com"/>
    <x v="1"/>
    <s v="user_241@company.com"/>
  </r>
  <r>
    <s v="TXN-1242"/>
    <d v="2023-09-02T00:00:00"/>
    <x v="3"/>
    <s v="Furniture "/>
    <x v="2"/>
    <n v="2"/>
    <x v="1"/>
    <n v="2"/>
    <n v="407.03"/>
    <n v="407.03"/>
    <n v="814.06"/>
    <n v="814.06"/>
    <s v="user_242@company.com"/>
    <x v="4"/>
    <s v="user_242@company.com"/>
  </r>
  <r>
    <s v="TXN-1243"/>
    <d v="2023-07-25T00:00:00"/>
    <x v="1"/>
    <s v="Office Supplies"/>
    <x v="0"/>
    <n v="5"/>
    <x v="0"/>
    <n v="5"/>
    <n v="272.92"/>
    <n v="272.92"/>
    <n v="1364.6"/>
    <n v="1364.6"/>
    <s v="user_243@company.com"/>
    <x v="0"/>
    <s v="user_243@company.com"/>
  </r>
  <r>
    <s v="TXN-1244"/>
    <d v="1899-12-31T00:00:00"/>
    <x v="1"/>
    <s v="Electronics"/>
    <x v="1"/>
    <n v="10"/>
    <x v="2"/>
    <n v="10"/>
    <n v="146.33000000000001"/>
    <n v="146.33000000000001"/>
    <n v="1463.3"/>
    <n v="1463.3"/>
    <s v="user_244@company.com"/>
    <x v="4"/>
    <s v="user_244@company.com"/>
  </r>
  <r>
    <s v="TXN-1245"/>
    <d v="1899-12-31T00:00:00"/>
    <x v="2"/>
    <s v="Electronics"/>
    <x v="1"/>
    <n v="7"/>
    <x v="0"/>
    <n v="7"/>
    <n v="-46.98"/>
    <n v="46.98"/>
    <n v="328.86"/>
    <n v="281.33"/>
    <s v="user_245@company.com"/>
    <x v="2"/>
    <s v="user_245@company.com"/>
  </r>
  <r>
    <s v="TXN-1246"/>
    <d v="2023-10-16T00:00:00"/>
    <x v="0"/>
    <s v="Office Supplies"/>
    <x v="0"/>
    <n v="7"/>
    <x v="0"/>
    <n v="7"/>
    <n v="-150.11000000000001"/>
    <n v="150.11000000000001"/>
    <n v="1050.77"/>
    <n v="1106.71"/>
    <s v="user_246@company.com"/>
    <x v="0"/>
    <s v="user_246@company.com"/>
  </r>
  <r>
    <s v="TXN-1247"/>
    <d v="1899-12-31T00:00:00"/>
    <x v="0"/>
    <s v="Office Supplies"/>
    <x v="0"/>
    <n v="10"/>
    <x v="2"/>
    <n v="10"/>
    <n v="448.57"/>
    <n v="448.57"/>
    <n v="4485.7"/>
    <n v="4485.7"/>
    <s v="user_247@company.com"/>
    <x v="4"/>
    <s v="user_247@company.com"/>
  </r>
  <r>
    <s v="TXN-1248"/>
    <d v="2023-10-13T00:00:00"/>
    <x v="3"/>
    <s v="Office Supplies"/>
    <x v="0"/>
    <n v="1"/>
    <x v="1"/>
    <n v="1"/>
    <n v="346.15"/>
    <n v="346.15"/>
    <n v="346.15"/>
    <n v="346.15"/>
    <s v="user_248@company.com"/>
    <x v="0"/>
    <s v="user_248@company.com"/>
  </r>
  <r>
    <s v="TXN-1249"/>
    <d v="1899-12-31T00:00:00"/>
    <x v="3"/>
    <s v="Electronics"/>
    <x v="1"/>
    <n v="5"/>
    <x v="0"/>
    <n v="5"/>
    <n v="132.44999999999999"/>
    <n v="132.44999999999999"/>
    <n v="662.25"/>
    <n v="662.25"/>
    <s v="user_249@company.com"/>
    <x v="0"/>
    <s v="user_249@company.com"/>
  </r>
  <r>
    <s v="TXN-1250"/>
    <d v="2023-07-14T00:00:00"/>
    <x v="3"/>
    <s v="Electronics"/>
    <x v="1"/>
    <n v="3"/>
    <x v="1"/>
    <n v="3"/>
    <n v="42.14"/>
    <n v="42.14"/>
    <n v="126.42"/>
    <n v="126.42"/>
    <s v="user_250@company.com"/>
    <x v="2"/>
    <s v="user_250@company.com"/>
  </r>
  <r>
    <s v="TXN-1251"/>
    <d v="2023-06-02T00:00:00"/>
    <x v="1"/>
    <s v="Electronics"/>
    <x v="1"/>
    <n v="8"/>
    <x v="2"/>
    <n v="8"/>
    <n v="348.4"/>
    <n v="348.4"/>
    <n v="2787.2"/>
    <n v="2787.2"/>
    <s v="user_251@company.com"/>
    <x v="4"/>
    <s v="user_251@company.com"/>
  </r>
  <r>
    <s v="TXN-1252"/>
    <d v="2023-11-14T00:00:00"/>
    <x v="4"/>
    <s v="Office Supplies"/>
    <x v="0"/>
    <n v="7"/>
    <x v="0"/>
    <n v="7"/>
    <m/>
    <n v="0"/>
    <n v="0"/>
    <n v="2033.36"/>
    <m/>
    <x v="4"/>
    <s v="unknown@domain.com"/>
  </r>
  <r>
    <s v="TXN-1253"/>
    <d v="1899-12-31T00:00:00"/>
    <x v="4"/>
    <s v="Furniture"/>
    <x v="2"/>
    <n v="3"/>
    <x v="1"/>
    <n v="3"/>
    <n v="208.21"/>
    <n v="208.21"/>
    <n v="624.63"/>
    <n v="624.63"/>
    <m/>
    <x v="0"/>
    <s v="unknown@domain.com"/>
  </r>
  <r>
    <s v="TXN-1254"/>
    <d v="2023-05-16T00:00:00"/>
    <x v="0"/>
    <s v="Office Supplies"/>
    <x v="0"/>
    <n v="1"/>
    <x v="1"/>
    <n v="1"/>
    <n v="188.17"/>
    <n v="188.17"/>
    <n v="188.17"/>
    <n v="188.17"/>
    <s v="user_254@company.com"/>
    <x v="2"/>
    <s v="user_254@company.com"/>
  </r>
  <r>
    <s v="TXN-1255"/>
    <d v="2023-03-30T00:00:00"/>
    <x v="3"/>
    <s v="Office Supplies"/>
    <x v="0"/>
    <n v="5"/>
    <x v="0"/>
    <n v="5"/>
    <n v="116.24"/>
    <n v="116.24"/>
    <n v="581.20000000000005"/>
    <n v="581.20000000000005"/>
    <s v="user_255@company.com"/>
    <x v="2"/>
    <s v="user_255@company.com"/>
  </r>
  <r>
    <s v="TXN-1256"/>
    <d v="2023-07-29T00:00:00"/>
    <x v="0"/>
    <s v="Furniture "/>
    <x v="2"/>
    <n v="9999"/>
    <x v="0"/>
    <n v="5"/>
    <n v="338.11"/>
    <n v="338.11"/>
    <n v="1690.55"/>
    <n v="1304.9100000000001"/>
    <s v="user_256@company.com"/>
    <x v="4"/>
    <s v="user_256@company.com"/>
  </r>
  <r>
    <s v="TXN-1257"/>
    <d v="2023-08-29T00:00:00"/>
    <x v="2"/>
    <s v="Furniture "/>
    <x v="2"/>
    <m/>
    <x v="0"/>
    <n v="6"/>
    <n v="485.63"/>
    <n v="485.63"/>
    <n v="2913.78"/>
    <n v="2913.78"/>
    <s v="user_257@company.com"/>
    <x v="1"/>
    <s v="user_257@company.com"/>
  </r>
  <r>
    <s v="TXN-1258"/>
    <d v="1899-12-31T00:00:00"/>
    <x v="2"/>
    <s v="Office Supplies"/>
    <x v="0"/>
    <n v="3"/>
    <x v="1"/>
    <n v="3"/>
    <n v="96.1"/>
    <n v="96.1"/>
    <n v="288.3"/>
    <n v="545.14"/>
    <s v="user_258@company.com"/>
    <x v="3"/>
    <s v="user_258@company.com"/>
  </r>
  <r>
    <s v="TXN-1259"/>
    <d v="2023-05-25T00:00:00"/>
    <x v="3"/>
    <s v="Furniture "/>
    <x v="2"/>
    <m/>
    <x v="0"/>
    <n v="4"/>
    <n v="302.58999999999997"/>
    <n v="302.58999999999997"/>
    <n v="1210.3599999999999"/>
    <n v="1210.3599999999999"/>
    <s v="user_259@company.com"/>
    <x v="2"/>
    <s v="user_259@company.com"/>
  </r>
  <r>
    <s v="TXN-1260"/>
    <d v="1899-12-31T00:00:00"/>
    <x v="2"/>
    <s v="Office Supplies"/>
    <x v="0"/>
    <n v="5"/>
    <x v="0"/>
    <n v="5"/>
    <n v="217.85"/>
    <n v="217.85"/>
    <n v="1089.25"/>
    <n v="1089.25"/>
    <m/>
    <x v="4"/>
    <s v="unknown@domain.com"/>
  </r>
  <r>
    <s v="TXN-1261"/>
    <d v="1899-12-31T00:00:00"/>
    <x v="0"/>
    <s v="Office Supplies"/>
    <x v="0"/>
    <n v="8"/>
    <x v="2"/>
    <n v="8"/>
    <n v="228.88"/>
    <n v="228.88"/>
    <n v="1831.04"/>
    <n v="1831.04"/>
    <s v="user_261@company.com"/>
    <x v="0"/>
    <s v="user_261@company.com"/>
  </r>
  <r>
    <s v="TXN-1262"/>
    <d v="2023-06-10T00:00:00"/>
    <x v="1"/>
    <s v="Office Supplies"/>
    <x v="0"/>
    <n v="7"/>
    <x v="0"/>
    <n v="7"/>
    <n v="-82.94"/>
    <n v="82.94"/>
    <n v="580.58000000000004"/>
    <n v="1164.58"/>
    <s v="user_262@company.com"/>
    <x v="2"/>
    <s v="user_262@company.com"/>
  </r>
  <r>
    <s v="TXN-1263"/>
    <d v="1899-12-31T00:00:00"/>
    <x v="2"/>
    <s v="Office Supplies"/>
    <x v="0"/>
    <n v="5"/>
    <x v="0"/>
    <n v="5"/>
    <n v="414.32"/>
    <n v="414.32"/>
    <n v="2071.6"/>
    <n v="2071.6"/>
    <m/>
    <x v="0"/>
    <s v="unknown@domain.com"/>
  </r>
  <r>
    <s v="TXN-1264"/>
    <d v="1899-12-31T00:00:00"/>
    <x v="1"/>
    <s v="Electronics"/>
    <x v="1"/>
    <n v="4"/>
    <x v="0"/>
    <n v="4"/>
    <n v="247.78"/>
    <n v="247.78"/>
    <n v="991.12"/>
    <n v="991.12"/>
    <s v="user_264@company.com"/>
    <x v="2"/>
    <s v="user_264@company.com"/>
  </r>
  <r>
    <s v="TXN-1265"/>
    <d v="2023-06-07T00:00:00"/>
    <x v="0"/>
    <s v="Electronics"/>
    <x v="1"/>
    <n v="6"/>
    <x v="0"/>
    <n v="6"/>
    <n v="276.27"/>
    <n v="276.27"/>
    <n v="1657.62"/>
    <n v="1657.62"/>
    <s v="user_265@company.com"/>
    <x v="2"/>
    <s v="user_265@company.com"/>
  </r>
  <r>
    <s v="TXN-1266"/>
    <d v="2023-08-28T00:00:00"/>
    <x v="1"/>
    <s v="Electronics"/>
    <x v="1"/>
    <n v="8"/>
    <x v="2"/>
    <n v="8"/>
    <m/>
    <n v="0"/>
    <n v="0"/>
    <n v="1274.6400000000001"/>
    <s v="user_266@company.com"/>
    <x v="0"/>
    <s v="user_266@company.com"/>
  </r>
  <r>
    <s v="TXN-1267"/>
    <d v="2023-05-20T00:00:00"/>
    <x v="2"/>
    <s v="Electronics"/>
    <x v="1"/>
    <n v="4"/>
    <x v="0"/>
    <n v="4"/>
    <n v="99.09"/>
    <n v="99.09"/>
    <n v="396.36"/>
    <n v="396.36"/>
    <s v="user_267@company.com"/>
    <x v="0"/>
    <s v="user_267@company.com"/>
  </r>
  <r>
    <s v="TXN-1268"/>
    <d v="2023-11-03T00:00:00"/>
    <x v="1"/>
    <s v="Furniture"/>
    <x v="2"/>
    <n v="3"/>
    <x v="1"/>
    <n v="3"/>
    <n v="52.1"/>
    <n v="52.1"/>
    <n v="156.30000000000001"/>
    <n v="491.06"/>
    <s v="user_268@company.com"/>
    <x v="0"/>
    <s v="user_268@company.com"/>
  </r>
  <r>
    <s v="TXN-1269"/>
    <d v="2023-06-15T00:00:00"/>
    <x v="0"/>
    <s v="Furniture "/>
    <x v="2"/>
    <n v="2"/>
    <x v="1"/>
    <n v="2"/>
    <n v="359.92"/>
    <n v="359.92"/>
    <n v="719.84"/>
    <n v="719.84"/>
    <s v="user_269@company.com"/>
    <x v="1"/>
    <s v="user_269@company.com"/>
  </r>
  <r>
    <s v="TXN-1270"/>
    <d v="1899-12-31T00:00:00"/>
    <x v="2"/>
    <s v="Electronics"/>
    <x v="1"/>
    <m/>
    <x v="1"/>
    <n v="3"/>
    <n v="106.15"/>
    <n v="106.15"/>
    <n v="318.45"/>
    <n v="318.45"/>
    <s v="user_270@company.com"/>
    <x v="0"/>
    <s v="user_270@company.com"/>
  </r>
  <r>
    <s v="TXN-1271"/>
    <d v="2023-12-12T00:00:00"/>
    <x v="1"/>
    <s v="Furniture"/>
    <x v="2"/>
    <n v="9"/>
    <x v="2"/>
    <n v="9"/>
    <n v="348.14"/>
    <n v="348.14"/>
    <n v="3133.26"/>
    <n v="3133.26"/>
    <s v="user_271@company.com"/>
    <x v="0"/>
    <s v="user_271@company.com"/>
  </r>
  <r>
    <s v="TXN-1272"/>
    <d v="2023-12-11T00:00:00"/>
    <x v="3"/>
    <s v="Electronics"/>
    <x v="1"/>
    <n v="5"/>
    <x v="0"/>
    <n v="5"/>
    <n v="201.28"/>
    <n v="201.28"/>
    <n v="1006.4"/>
    <n v="1006.4"/>
    <s v="user_272@company.com"/>
    <x v="1"/>
    <s v="user_272@company.com"/>
  </r>
  <r>
    <s v="TXN-1273"/>
    <d v="2023-03-31T00:00:00"/>
    <x v="1"/>
    <s v="Office Supplies"/>
    <x v="0"/>
    <n v="4"/>
    <x v="0"/>
    <n v="4"/>
    <n v="213.73"/>
    <n v="213.73"/>
    <n v="854.92"/>
    <n v="854.92"/>
    <s v="user_273@company.com"/>
    <x v="4"/>
    <s v="user_273@company.com"/>
  </r>
  <r>
    <s v="TXN-1274"/>
    <d v="2023-08-15T00:00:00"/>
    <x v="0"/>
    <s v="Electronics"/>
    <x v="1"/>
    <n v="-10"/>
    <x v="2"/>
    <n v="10"/>
    <n v="239.9"/>
    <n v="239.9"/>
    <n v="2399"/>
    <n v="1679.3"/>
    <s v="user_274@company.com"/>
    <x v="0"/>
    <s v="user_274@company.com"/>
  </r>
  <r>
    <s v="TXN-1275"/>
    <d v="2023-10-27T00:00:00"/>
    <x v="3"/>
    <s v="Electronics"/>
    <x v="1"/>
    <n v="8"/>
    <x v="2"/>
    <n v="8"/>
    <n v="190.18"/>
    <n v="190.18"/>
    <n v="1521.44"/>
    <n v="1814.69"/>
    <s v="user_275@company.com"/>
    <x v="4"/>
    <s v="user_275@company.com"/>
  </r>
  <r>
    <s v="TXN-1276"/>
    <d v="2023-09-09T00:00:00"/>
    <x v="0"/>
    <s v="Electronics"/>
    <x v="1"/>
    <n v="5"/>
    <x v="0"/>
    <n v="5"/>
    <n v="59.3"/>
    <n v="59.3"/>
    <n v="296.5"/>
    <n v="237.2"/>
    <s v="user_at_company"/>
    <x v="4"/>
    <s v="user@company"/>
  </r>
  <r>
    <s v="TXN-1277"/>
    <d v="2023-07-29T00:00:00"/>
    <x v="0"/>
    <s v="Office Supplies"/>
    <x v="0"/>
    <n v="4"/>
    <x v="0"/>
    <n v="4"/>
    <n v="161.72"/>
    <n v="161.72"/>
    <n v="646.88"/>
    <n v="646.88"/>
    <s v="user_277@company.com"/>
    <x v="2"/>
    <s v="user_277@company.com"/>
  </r>
  <r>
    <s v="TXN-1279"/>
    <d v="2023-12-22T00:00:00"/>
    <x v="3"/>
    <s v="Electronics"/>
    <x v="1"/>
    <n v="5"/>
    <x v="0"/>
    <n v="5"/>
    <n v="336.23"/>
    <n v="336.23"/>
    <n v="1681.15"/>
    <n v="1681.15"/>
    <s v="user_279@company.com"/>
    <x v="2"/>
    <s v="user_279@company.com"/>
  </r>
  <r>
    <s v="TXN-1280"/>
    <d v="2023-07-25T00:00:00"/>
    <x v="3"/>
    <s v="Office Supplies"/>
    <x v="0"/>
    <n v="5"/>
    <x v="0"/>
    <n v="5"/>
    <n v="150.25"/>
    <n v="150.25"/>
    <n v="751.25"/>
    <n v="751.25"/>
    <s v="user_280@company.com"/>
    <x v="2"/>
    <s v="user_280@company.com"/>
  </r>
  <r>
    <s v="TXN-1281"/>
    <d v="2023-06-11T00:00:00"/>
    <x v="0"/>
    <s v="Electronics"/>
    <x v="1"/>
    <n v="6"/>
    <x v="0"/>
    <n v="6"/>
    <n v="235.45"/>
    <n v="235.45"/>
    <n v="1412.7"/>
    <n v="1487.92"/>
    <s v="user_281@company.com"/>
    <x v="0"/>
    <s v="user_281@company.com"/>
  </r>
  <r>
    <s v="TXN-1282"/>
    <d v="2023-07-26T00:00:00"/>
    <x v="4"/>
    <s v="Electronics"/>
    <x v="1"/>
    <n v="7"/>
    <x v="0"/>
    <n v="7"/>
    <n v="104.79"/>
    <n v="104.79"/>
    <n v="733.53"/>
    <n v="733.53"/>
    <s v="user_282@company.com"/>
    <x v="4"/>
    <s v="user_282@company.com"/>
  </r>
  <r>
    <s v="TXN-1283"/>
    <d v="2023-10-05T00:00:00"/>
    <x v="0"/>
    <s v="Furniture "/>
    <x v="2"/>
    <n v="2"/>
    <x v="1"/>
    <n v="2"/>
    <n v="113.08"/>
    <n v="113.08"/>
    <n v="226.16"/>
    <n v="329.34"/>
    <s v="user_283@company.com"/>
    <x v="2"/>
    <s v="user_283@company.com"/>
  </r>
  <r>
    <s v="TXN-1284"/>
    <d v="2023-04-07T00:00:00"/>
    <x v="2"/>
    <s v="Electronics"/>
    <x v="1"/>
    <n v="1"/>
    <x v="1"/>
    <n v="1"/>
    <n v="21.29"/>
    <n v="21.29"/>
    <n v="21.29"/>
    <n v="21.29"/>
    <s v="user_284@company.com"/>
    <x v="2"/>
    <s v="user_284@company.com"/>
  </r>
  <r>
    <s v="TXN-1285"/>
    <d v="2023-09-13T00:00:00"/>
    <x v="1"/>
    <s v="Electronics"/>
    <x v="1"/>
    <n v="7"/>
    <x v="0"/>
    <n v="7"/>
    <n v="449.41"/>
    <n v="449.41"/>
    <n v="3145.87"/>
    <n v="3145.87"/>
    <s v="user_285@company.com"/>
    <x v="2"/>
    <s v="user_285@company.com"/>
  </r>
  <r>
    <s v="TXN-1286"/>
    <d v="2023-04-15T00:00:00"/>
    <x v="2"/>
    <s v="Office Supplies"/>
    <x v="0"/>
    <n v="5"/>
    <x v="0"/>
    <n v="5"/>
    <n v="113.25"/>
    <n v="113.25"/>
    <n v="566.25"/>
    <m/>
    <s v="user_286@company.com"/>
    <x v="4"/>
    <s v="user_286@company.com"/>
  </r>
  <r>
    <s v="TXN-1287"/>
    <d v="2023-05-28T00:00:00"/>
    <x v="1"/>
    <s v="Furniture "/>
    <x v="2"/>
    <n v="-6"/>
    <x v="0"/>
    <n v="6"/>
    <s v="$250.00"/>
    <n v="250"/>
    <n v="1500"/>
    <n v="485.96"/>
    <s v="user_287@company.com"/>
    <x v="0"/>
    <s v="user_287@company.com"/>
  </r>
  <r>
    <s v="TXN-1288"/>
    <d v="2023-09-06T00:00:00"/>
    <x v="4"/>
    <s v="Furniture"/>
    <x v="2"/>
    <n v="4"/>
    <x v="0"/>
    <n v="4"/>
    <n v="147"/>
    <n v="147"/>
    <n v="588"/>
    <n v="588"/>
    <s v="user_288@company.com"/>
    <x v="0"/>
    <s v="user_288@company.com"/>
  </r>
  <r>
    <s v="TXN-1290"/>
    <d v="2023-03-05T00:00:00"/>
    <x v="4"/>
    <s v="Furniture "/>
    <x v="2"/>
    <n v="8"/>
    <x v="2"/>
    <n v="8"/>
    <n v="323.24"/>
    <n v="323.24"/>
    <n v="2585.92"/>
    <n v="2585.92"/>
    <s v="user_290@company.com"/>
    <x v="0"/>
    <s v="user_290@company.com"/>
  </r>
  <r>
    <s v="TXN-1291"/>
    <d v="2023-01-08T00:00:00"/>
    <x v="1"/>
    <s v="Office Supplies"/>
    <x v="0"/>
    <n v="7"/>
    <x v="0"/>
    <n v="7"/>
    <n v="46.82"/>
    <n v="46.82"/>
    <n v="327.74"/>
    <n v="327.74"/>
    <s v="user_291@company.com"/>
    <x v="4"/>
    <s v="user_291@company.com"/>
  </r>
  <r>
    <s v="TXN-1292"/>
    <d v="1899-12-31T00:00:00"/>
    <x v="2"/>
    <s v="Electronics"/>
    <x v="1"/>
    <n v="1"/>
    <x v="1"/>
    <n v="1"/>
    <n v="-170.15"/>
    <n v="170.15"/>
    <n v="170.15"/>
    <n v="189.48"/>
    <s v="user_292@company.com"/>
    <x v="0"/>
    <s v="user_292@company.com"/>
  </r>
  <r>
    <s v="TXN-1293"/>
    <d v="2023-02-28T00:00:00"/>
    <x v="0"/>
    <s v="Electronics"/>
    <x v="1"/>
    <n v="9999"/>
    <x v="0"/>
    <n v="5"/>
    <n v="325.93"/>
    <n v="325.93"/>
    <n v="1629.65"/>
    <n v="651.86"/>
    <s v="user_293@company.com"/>
    <x v="3"/>
    <s v="user_293@company.com"/>
  </r>
  <r>
    <s v="TXN-1294"/>
    <d v="1899-12-31T00:00:00"/>
    <x v="2"/>
    <s v="Electronics"/>
    <x v="1"/>
    <n v="4"/>
    <x v="0"/>
    <n v="4"/>
    <n v="176.43"/>
    <n v="176.43"/>
    <n v="705.72"/>
    <n v="705.72"/>
    <s v="user_294@company.com"/>
    <x v="2"/>
    <s v="user_294@company.com"/>
  </r>
  <r>
    <s v="TXN-1295"/>
    <d v="2023-05-30T00:00:00"/>
    <x v="1"/>
    <s v="Electronics"/>
    <x v="1"/>
    <n v="6"/>
    <x v="0"/>
    <n v="6"/>
    <n v="356.89"/>
    <n v="356.89"/>
    <n v="2141.34"/>
    <n v="2141.34"/>
    <s v="user_295@company.com"/>
    <x v="4"/>
    <s v="user_295@company.com"/>
  </r>
  <r>
    <s v="TXN-1296"/>
    <d v="2023-09-05T00:00:00"/>
    <x v="3"/>
    <s v="Electronics"/>
    <x v="1"/>
    <n v="4"/>
    <x v="0"/>
    <n v="4"/>
    <n v="283.14"/>
    <n v="283.14"/>
    <n v="1132.56"/>
    <n v="1498.14"/>
    <s v="user_296@company.com"/>
    <x v="0"/>
    <s v="user_296@company.com"/>
  </r>
  <r>
    <s v="TXN-1297"/>
    <d v="2023-10-10T00:00:00"/>
    <x v="2"/>
    <s v="Office Supplies"/>
    <x v="0"/>
    <n v="6"/>
    <x v="0"/>
    <n v="6"/>
    <n v="135.44999999999999"/>
    <n v="135.44999999999999"/>
    <n v="812.7"/>
    <n v="812.7"/>
    <s v="user_297@company.com"/>
    <x v="3"/>
    <s v="user_297@company.com"/>
  </r>
  <r>
    <s v="TXN-1299"/>
    <d v="2023-05-22T00:00:00"/>
    <x v="3"/>
    <s v="Office Supplies"/>
    <x v="0"/>
    <n v="7"/>
    <x v="0"/>
    <n v="7"/>
    <n v="66.97"/>
    <n v="66.97"/>
    <n v="468.79"/>
    <n v="657.09"/>
    <s v="user_299@company.com"/>
    <x v="4"/>
    <s v="user_299@company.com"/>
  </r>
  <r>
    <s v="TXN-1300"/>
    <d v="2023-09-17T00:00:00"/>
    <x v="1"/>
    <s v="Office Supplies"/>
    <x v="0"/>
    <n v="5"/>
    <x v="0"/>
    <n v="5"/>
    <n v="272.83999999999997"/>
    <n v="272.83999999999997"/>
    <n v="1364.2"/>
    <n v="1364.2"/>
    <s v="user_300@company.com"/>
    <x v="2"/>
    <s v="user_300@company.com"/>
  </r>
  <r>
    <s v="TXN-1301"/>
    <d v="2023-05-25T00:00:00"/>
    <x v="1"/>
    <s v="Furniture "/>
    <x v="2"/>
    <n v="2"/>
    <x v="1"/>
    <n v="2"/>
    <s v="$250.00"/>
    <n v="250"/>
    <n v="500"/>
    <n v="448.4"/>
    <m/>
    <x v="2"/>
    <s v="unknown@domain.com"/>
  </r>
  <r>
    <s v="TXN-1302"/>
    <d v="2023-10-24T00:00:00"/>
    <x v="1"/>
    <s v="Office Supplies"/>
    <x v="0"/>
    <n v="1"/>
    <x v="1"/>
    <n v="1"/>
    <n v="141.26"/>
    <n v="141.26"/>
    <n v="141.26"/>
    <n v="141.26"/>
    <s v="user_302@company.com"/>
    <x v="4"/>
    <s v="user_302@company.com"/>
  </r>
  <r>
    <s v="TXN-1303"/>
    <d v="2023-08-17T00:00:00"/>
    <x v="0"/>
    <s v="Electronics"/>
    <x v="1"/>
    <n v="7"/>
    <x v="0"/>
    <n v="7"/>
    <m/>
    <n v="0"/>
    <n v="0"/>
    <n v="2141.7199999999998"/>
    <s v="user_303@company.com"/>
    <x v="0"/>
    <s v="user_303@company.com"/>
  </r>
  <r>
    <s v="TXN-1304"/>
    <d v="2023-10-10T00:00:00"/>
    <x v="3"/>
    <s v="Electronics"/>
    <x v="1"/>
    <n v="4"/>
    <x v="0"/>
    <n v="4"/>
    <n v="436.95"/>
    <n v="436.95"/>
    <n v="1747.8"/>
    <n v="1747.8"/>
    <s v="user_304@company.com"/>
    <x v="0"/>
    <s v="user_304@company.com"/>
  </r>
  <r>
    <s v="TXN-1305"/>
    <d v="1899-12-31T00:00:00"/>
    <x v="3"/>
    <s v="Office Supplies"/>
    <x v="0"/>
    <n v="1"/>
    <x v="1"/>
    <n v="1"/>
    <n v="499.46"/>
    <n v="499.46"/>
    <n v="499.46"/>
    <n v="499.46"/>
    <s v="user_305@company.com"/>
    <x v="0"/>
    <s v="user_305@company.com"/>
  </r>
  <r>
    <s v="TXN-1306"/>
    <d v="2023-05-03T00:00:00"/>
    <x v="4"/>
    <s v="Office Supplies"/>
    <x v="0"/>
    <n v="6"/>
    <x v="0"/>
    <n v="6"/>
    <n v="307.8"/>
    <n v="307.8"/>
    <n v="1846.8"/>
    <n v="1846.8"/>
    <s v="user_306@company.com"/>
    <x v="1"/>
    <s v="user_306@company.com"/>
  </r>
  <r>
    <s v="TXN-1307"/>
    <d v="2023-07-30T00:00:00"/>
    <x v="2"/>
    <s v="Furniture "/>
    <x v="2"/>
    <n v="5"/>
    <x v="0"/>
    <n v="5"/>
    <n v="208.31"/>
    <n v="208.31"/>
    <n v="1041.55"/>
    <n v="1041.55"/>
    <s v="user_307@company.com"/>
    <x v="1"/>
    <s v="user_307@company.com"/>
  </r>
  <r>
    <s v="TXN-1308"/>
    <d v="2023-08-31T00:00:00"/>
    <x v="1"/>
    <s v="Office Supplies"/>
    <x v="0"/>
    <n v="8"/>
    <x v="2"/>
    <n v="8"/>
    <n v="120.35"/>
    <n v="120.35"/>
    <n v="962.8"/>
    <n v="962.8"/>
    <s v="user_308@company.com"/>
    <x v="0"/>
    <s v="user_308@company.com"/>
  </r>
  <r>
    <s v="TXN-1310"/>
    <d v="1899-12-31T00:00:00"/>
    <x v="1"/>
    <s v="Furniture"/>
    <x v="2"/>
    <n v="4"/>
    <x v="0"/>
    <n v="4"/>
    <n v="244.93"/>
    <n v="244.93"/>
    <n v="979.72"/>
    <n v="979.72"/>
    <s v="user_310@company.com"/>
    <x v="2"/>
    <s v="user_310@company.com"/>
  </r>
  <r>
    <s v="TXN-1311"/>
    <d v="2023-10-30T00:00:00"/>
    <x v="1"/>
    <s v="Electronics"/>
    <x v="1"/>
    <n v="10"/>
    <x v="2"/>
    <n v="10"/>
    <n v="189.97"/>
    <n v="189.97"/>
    <n v="1899.7"/>
    <n v="1899.7"/>
    <s v="user_311@company.com"/>
    <x v="0"/>
    <s v="user_311@company.com"/>
  </r>
  <r>
    <s v="TXN-1312"/>
    <d v="2023-08-14T00:00:00"/>
    <x v="2"/>
    <s v="Office Supplies"/>
    <x v="0"/>
    <n v="9999"/>
    <x v="0"/>
    <n v="5"/>
    <n v="457.77"/>
    <n v="457.77"/>
    <n v="2288.85"/>
    <n v="3204.39"/>
    <s v="user_312@company.com"/>
    <x v="3"/>
    <s v="user_312@company.com"/>
  </r>
  <r>
    <s v="TXN-1313"/>
    <d v="2023-08-22T00:00:00"/>
    <x v="3"/>
    <s v="Furniture "/>
    <x v="2"/>
    <n v="4"/>
    <x v="0"/>
    <n v="4"/>
    <n v="190.46"/>
    <n v="190.46"/>
    <n v="761.84"/>
    <n v="761.84"/>
    <s v="user_313@company.com"/>
    <x v="4"/>
    <s v="user_313@company.com"/>
  </r>
  <r>
    <s v="TXN-1314"/>
    <d v="1899-12-31T00:00:00"/>
    <x v="1"/>
    <s v="Office Supplies"/>
    <x v="0"/>
    <n v="8"/>
    <x v="2"/>
    <n v="8"/>
    <n v="192.99"/>
    <n v="192.99"/>
    <n v="1543.92"/>
    <n v="1543.92"/>
    <s v="user_314@company.com"/>
    <x v="4"/>
    <s v="user_314@company.com"/>
  </r>
  <r>
    <s v="TXN-1315"/>
    <d v="1899-12-31T00:00:00"/>
    <x v="3"/>
    <s v="Office Supplies"/>
    <x v="0"/>
    <n v="5"/>
    <x v="0"/>
    <n v="5"/>
    <n v="197.93"/>
    <n v="197.93"/>
    <n v="989.65"/>
    <n v="989.65"/>
    <s v="user_315@company.com"/>
    <x v="4"/>
    <s v="user_315@company.com"/>
  </r>
  <r>
    <s v="TXN-1316"/>
    <d v="2023-05-16T00:00:00"/>
    <x v="1"/>
    <s v="Furniture "/>
    <x v="2"/>
    <n v="5"/>
    <x v="0"/>
    <n v="5"/>
    <n v="419.94"/>
    <n v="419.94"/>
    <n v="2099.6999999999998"/>
    <n v="2099.6999999999998"/>
    <s v="user_316@company.com"/>
    <x v="2"/>
    <s v="user_316@company.com"/>
  </r>
  <r>
    <s v="TXN-1317"/>
    <d v="2023-07-23T00:00:00"/>
    <x v="1"/>
    <s v="Electronics"/>
    <x v="1"/>
    <n v="5"/>
    <x v="0"/>
    <n v="5"/>
    <n v="328.89"/>
    <n v="328.89"/>
    <n v="1644.45"/>
    <n v="1644.45"/>
    <s v="user_317@company.com"/>
    <x v="2"/>
    <s v="user_317@company.com"/>
  </r>
  <r>
    <s v="TXN-1318"/>
    <d v="2023-12-12T00:00:00"/>
    <x v="2"/>
    <s v="Furniture "/>
    <x v="2"/>
    <n v="2"/>
    <x v="1"/>
    <n v="2"/>
    <n v="310.94"/>
    <n v="310.94"/>
    <n v="621.88"/>
    <n v="621.88"/>
    <s v="user_318@company.com"/>
    <x v="0"/>
    <s v="user_318@company.com"/>
  </r>
  <r>
    <s v="TXN-1319"/>
    <d v="2023-11-17T00:00:00"/>
    <x v="0"/>
    <s v="Electronics"/>
    <x v="1"/>
    <n v="3"/>
    <x v="1"/>
    <n v="3"/>
    <n v="173.73"/>
    <n v="173.73"/>
    <n v="521.19000000000005"/>
    <n v="521.19000000000005"/>
    <s v="user_319@company.com"/>
    <x v="1"/>
    <s v="user_319@company.com"/>
  </r>
  <r>
    <s v="TXN-1320"/>
    <d v="2023-01-19T00:00:00"/>
    <x v="0"/>
    <s v="Electronics"/>
    <x v="1"/>
    <n v="4"/>
    <x v="0"/>
    <n v="4"/>
    <n v="410.77"/>
    <n v="410.77"/>
    <n v="1643.08"/>
    <n v="1643.08"/>
    <s v="invalid_email_at_gmail.com"/>
    <x v="4"/>
    <s v="invalid_email@gmail.com"/>
  </r>
  <r>
    <s v="TXN-1321"/>
    <d v="2023-12-17T00:00:00"/>
    <x v="1"/>
    <s v="Electronics"/>
    <x v="1"/>
    <n v="9"/>
    <x v="2"/>
    <n v="9"/>
    <n v="28.8"/>
    <n v="28.8"/>
    <n v="259.2"/>
    <n v="259.2"/>
    <s v="invalid_email_at_gmail.com"/>
    <x v="3"/>
    <s v="invalid_email@gmail.com"/>
  </r>
  <r>
    <s v="TXN-1322"/>
    <d v="2023-02-16T00:00:00"/>
    <x v="4"/>
    <s v="Office Supplies"/>
    <x v="0"/>
    <n v="0"/>
    <x v="3"/>
    <n v="0"/>
    <n v="436.69"/>
    <n v="436.69"/>
    <n v="0"/>
    <n v="0"/>
    <s v="user_322@company.com"/>
    <x v="2"/>
    <s v="user_322@company.com"/>
  </r>
  <r>
    <s v="TXN-1323"/>
    <d v="2023-11-21T00:00:00"/>
    <x v="1"/>
    <s v="Furniture "/>
    <x v="2"/>
    <n v="5"/>
    <x v="0"/>
    <n v="5"/>
    <n v="261.25"/>
    <n v="261.25"/>
    <n v="1306.25"/>
    <n v="1306.25"/>
    <m/>
    <x v="1"/>
    <s v="unknown@domain.com"/>
  </r>
  <r>
    <s v="TXN-1324"/>
    <d v="2023-12-22T00:00:00"/>
    <x v="2"/>
    <s v="Office Supplies"/>
    <x v="0"/>
    <n v="9999"/>
    <x v="0"/>
    <n v="5"/>
    <n v="205.14"/>
    <n v="205.14"/>
    <n v="1025.7"/>
    <n v="1025.7"/>
    <s v="user_324@company.com"/>
    <x v="0"/>
    <s v="user_324@company.com"/>
  </r>
  <r>
    <s v="TXN-1325"/>
    <d v="2023-01-24T00:00:00"/>
    <x v="1"/>
    <s v="Electronics"/>
    <x v="1"/>
    <n v="5"/>
    <x v="0"/>
    <n v="5"/>
    <n v="253.61"/>
    <n v="253.61"/>
    <n v="1268.05"/>
    <n v="1268.05"/>
    <s v="user_325@company.com"/>
    <x v="3"/>
    <s v="user_325@company.com"/>
  </r>
  <r>
    <s v="TXN-1326"/>
    <d v="2023-05-31T00:00:00"/>
    <x v="1"/>
    <s v="Office Supplies"/>
    <x v="0"/>
    <n v="5"/>
    <x v="0"/>
    <n v="5"/>
    <n v="337.03"/>
    <n v="337.03"/>
    <n v="1685.15"/>
    <n v="1685.15"/>
    <s v="user_326@company.com"/>
    <x v="0"/>
    <s v="user_326@company.com"/>
  </r>
  <r>
    <s v="TXN-1327"/>
    <d v="1899-12-31T00:00:00"/>
    <x v="4"/>
    <s v="Office Supplies"/>
    <x v="0"/>
    <n v="4"/>
    <x v="0"/>
    <n v="4"/>
    <n v="16.260000000000002"/>
    <n v="16.260000000000002"/>
    <n v="65.040000000000006"/>
    <n v="65.040000000000006"/>
    <s v="user_327@company.com"/>
    <x v="0"/>
    <s v="user_327@company.com"/>
  </r>
  <r>
    <s v="TXN-1329"/>
    <d v="2023-02-10T00:00:00"/>
    <x v="3"/>
    <s v="Electronics"/>
    <x v="1"/>
    <n v="6"/>
    <x v="0"/>
    <n v="6"/>
    <n v="228.9"/>
    <n v="228.9"/>
    <n v="1373.4"/>
    <n v="1373.4"/>
    <s v="user_329@company.com"/>
    <x v="4"/>
    <s v="user_329@company.com"/>
  </r>
  <r>
    <s v="TXN-1330"/>
    <d v="2023-05-04T00:00:00"/>
    <x v="3"/>
    <s v="Office Supplies"/>
    <x v="0"/>
    <n v="2"/>
    <x v="1"/>
    <n v="2"/>
    <n v="178.05"/>
    <n v="178.05"/>
    <n v="356.1"/>
    <n v="451.09"/>
    <s v="user_330@company.com"/>
    <x v="4"/>
    <s v="user_330@company.com"/>
  </r>
  <r>
    <s v="TXN-1331"/>
    <d v="1899-12-31T00:00:00"/>
    <x v="3"/>
    <s v="Furniture "/>
    <x v="2"/>
    <n v="6"/>
    <x v="0"/>
    <n v="6"/>
    <n v="77.739999999999995"/>
    <n v="77.739999999999995"/>
    <n v="466.44"/>
    <n v="466.44"/>
    <s v="user_331@company.com"/>
    <x v="0"/>
    <s v="user_331@company.com"/>
  </r>
  <r>
    <s v="TXN-1332"/>
    <d v="2023-05-11T00:00:00"/>
    <x v="2"/>
    <s v="Furniture"/>
    <x v="2"/>
    <n v="6"/>
    <x v="0"/>
    <n v="6"/>
    <n v="225.34"/>
    <n v="225.34"/>
    <n v="1352.04"/>
    <n v="1352.04"/>
    <s v="user_332@company.com"/>
    <x v="4"/>
    <s v="user_332@company.com"/>
  </r>
  <r>
    <s v="TXN-1333"/>
    <d v="2023-01-05T00:00:00"/>
    <x v="3"/>
    <s v="Electronics"/>
    <x v="1"/>
    <n v="6"/>
    <x v="0"/>
    <n v="6"/>
    <n v="253.2"/>
    <n v="253.2"/>
    <n v="1519.2"/>
    <n v="1519.2"/>
    <s v="user_333@company.com"/>
    <x v="4"/>
    <s v="user_333@company.com"/>
  </r>
  <r>
    <s v="TXN-1334"/>
    <d v="1899-12-31T00:00:00"/>
    <x v="1"/>
    <s v="Office Supplies"/>
    <x v="0"/>
    <n v="5"/>
    <x v="0"/>
    <n v="5"/>
    <n v="207.79"/>
    <n v="207.79"/>
    <n v="1038.95"/>
    <n v="1308.0899999999999"/>
    <s v="user_334@company.com"/>
    <x v="2"/>
    <s v="user_334@company.com"/>
  </r>
  <r>
    <s v="TXN-1335"/>
    <d v="1899-12-31T00:00:00"/>
    <x v="1"/>
    <s v="Furniture"/>
    <x v="2"/>
    <n v="2"/>
    <x v="1"/>
    <n v="2"/>
    <n v="342.54"/>
    <n v="342.54"/>
    <n v="685.08"/>
    <n v="815.82"/>
    <s v="user_335@company.com"/>
    <x v="0"/>
    <s v="user_335@company.com"/>
  </r>
  <r>
    <s v="TXN-1336"/>
    <d v="2023-10-28T00:00:00"/>
    <x v="2"/>
    <s v="Office Supplies"/>
    <x v="0"/>
    <n v="5"/>
    <x v="0"/>
    <n v="5"/>
    <n v="216.24"/>
    <n v="216.24"/>
    <n v="1081.2"/>
    <n v="1424.49"/>
    <s v="user_336@company.com"/>
    <x v="4"/>
    <s v="user_336@company.com"/>
  </r>
  <r>
    <s v="TXN-1337"/>
    <d v="2023-08-06T00:00:00"/>
    <x v="0"/>
    <s v="Office Supplies"/>
    <x v="0"/>
    <n v="3"/>
    <x v="1"/>
    <n v="3"/>
    <n v="481.09"/>
    <n v="481.09"/>
    <n v="1443.27"/>
    <n v="1443.27"/>
    <s v="user_337@company.com"/>
    <x v="2"/>
    <s v="user_337@company.com"/>
  </r>
  <r>
    <s v="TXN-1338"/>
    <d v="2023-04-06T00:00:00"/>
    <x v="3"/>
    <s v="Office Supplies"/>
    <x v="0"/>
    <n v="3"/>
    <x v="1"/>
    <n v="3"/>
    <n v="303.64999999999998"/>
    <n v="303.64999999999998"/>
    <n v="910.95"/>
    <n v="910.95"/>
    <m/>
    <x v="2"/>
    <s v="unknown@domain.com"/>
  </r>
  <r>
    <s v="TXN-1339"/>
    <d v="2023-09-05T00:00:00"/>
    <x v="1"/>
    <s v="Furniture"/>
    <x v="2"/>
    <n v="3"/>
    <x v="1"/>
    <n v="3"/>
    <n v="405.66"/>
    <n v="405.66"/>
    <n v="1216.98"/>
    <m/>
    <s v="user_at_company"/>
    <x v="0"/>
    <s v="user@company"/>
  </r>
  <r>
    <s v="TXN-1340"/>
    <d v="2023-10-20T00:00:00"/>
    <x v="3"/>
    <s v="Electronics"/>
    <x v="1"/>
    <n v="6"/>
    <x v="0"/>
    <n v="6"/>
    <n v="63.58"/>
    <n v="63.58"/>
    <n v="381.48"/>
    <n v="381.48"/>
    <s v="user_340@company.com"/>
    <x v="4"/>
    <s v="user_340@company.com"/>
  </r>
  <r>
    <s v="TXN-1341"/>
    <d v="2023-12-25T00:00:00"/>
    <x v="2"/>
    <s v="Office Supplies"/>
    <x v="0"/>
    <n v="6"/>
    <x v="0"/>
    <n v="6"/>
    <n v="204.67"/>
    <n v="204.67"/>
    <n v="1228.02"/>
    <n v="1228.02"/>
    <s v="user_341@company.com"/>
    <x v="3"/>
    <s v="user_341@company.com"/>
  </r>
  <r>
    <s v="TXN-1342"/>
    <d v="1899-12-31T00:00:00"/>
    <x v="0"/>
    <s v="Office Supplies"/>
    <x v="0"/>
    <n v="4"/>
    <x v="0"/>
    <n v="4"/>
    <n v="175.06"/>
    <n v="175.06"/>
    <n v="700.24"/>
    <n v="700.24"/>
    <s v="user_342@company.com"/>
    <x v="0"/>
    <s v="user_342@company.com"/>
  </r>
  <r>
    <s v="TXN-1343"/>
    <d v="2023-07-22T00:00:00"/>
    <x v="1"/>
    <s v="Furniture"/>
    <x v="2"/>
    <n v="9999"/>
    <x v="0"/>
    <n v="5"/>
    <n v="289.05"/>
    <n v="289.05"/>
    <n v="1445.25"/>
    <n v="1445.25"/>
    <s v="invalid_email_at_gmail.com"/>
    <x v="2"/>
    <s v="invalid_email@gmail.com"/>
  </r>
  <r>
    <s v="TXN-1344"/>
    <d v="1899-12-31T00:00:00"/>
    <x v="1"/>
    <s v="Furniture "/>
    <x v="2"/>
    <n v="5"/>
    <x v="0"/>
    <n v="5"/>
    <n v="431.95"/>
    <n v="431.95"/>
    <n v="2159.75"/>
    <n v="2159.75"/>
    <s v="user_344@company.com"/>
    <x v="4"/>
    <s v="user_344@company.com"/>
  </r>
  <r>
    <s v="TXN-1345"/>
    <d v="2023-01-26T00:00:00"/>
    <x v="0"/>
    <s v="Electronics"/>
    <x v="1"/>
    <n v="7"/>
    <x v="0"/>
    <n v="7"/>
    <n v="48.39"/>
    <n v="48.39"/>
    <n v="338.73"/>
    <n v="338.73"/>
    <s v="user_345@company.com"/>
    <x v="0"/>
    <s v="user_345@company.com"/>
  </r>
  <r>
    <s v="TXN-1346"/>
    <d v="1899-12-31T00:00:00"/>
    <x v="0"/>
    <s v="Office Supplies"/>
    <x v="0"/>
    <n v="5"/>
    <x v="0"/>
    <n v="5"/>
    <n v="45.56"/>
    <n v="45.56"/>
    <n v="227.8"/>
    <n v="227.8"/>
    <s v="user_346@company.com"/>
    <x v="0"/>
    <s v="user_346@company.com"/>
  </r>
  <r>
    <s v="TXN-1347"/>
    <d v="1899-12-31T00:00:00"/>
    <x v="3"/>
    <s v="Furniture"/>
    <x v="2"/>
    <n v="3"/>
    <x v="1"/>
    <n v="3"/>
    <n v="426.66"/>
    <n v="426.66"/>
    <n v="1279.98"/>
    <n v="1279.98"/>
    <s v="user_347@company.com"/>
    <x v="2"/>
    <s v="user_347@company.com"/>
  </r>
  <r>
    <s v="TXN-1348"/>
    <d v="2023-11-14T00:00:00"/>
    <x v="0"/>
    <s v="Furniture "/>
    <x v="2"/>
    <n v="4"/>
    <x v="0"/>
    <n v="4"/>
    <n v="114.3"/>
    <n v="114.3"/>
    <n v="457.2"/>
    <n v="588.20000000000005"/>
    <s v="user_348@company.com"/>
    <x v="0"/>
    <s v="user_348@company.com"/>
  </r>
  <r>
    <s v="TXN-1349"/>
    <d v="2023-04-12T00:00:00"/>
    <x v="1"/>
    <s v="Furniture "/>
    <x v="2"/>
    <n v="7"/>
    <x v="0"/>
    <n v="7"/>
    <n v="337.69"/>
    <n v="337.69"/>
    <n v="2363.83"/>
    <n v="2363.83"/>
    <s v="user_349@company.com"/>
    <x v="0"/>
    <s v="user_349@company.com"/>
  </r>
  <r>
    <s v="TXN-1350"/>
    <d v="2023-11-18T00:00:00"/>
    <x v="1"/>
    <s v="Furniture "/>
    <x v="2"/>
    <n v="5"/>
    <x v="0"/>
    <n v="5"/>
    <s v="$250.00"/>
    <n v="250"/>
    <n v="1250"/>
    <n v="1380.05"/>
    <s v="user_350@company.com"/>
    <x v="0"/>
    <s v="user_350@company.com"/>
  </r>
  <r>
    <s v="TXN-1351"/>
    <d v="2023-08-14T00:00:00"/>
    <x v="3"/>
    <s v="Office Supplies"/>
    <x v="0"/>
    <n v="7"/>
    <x v="0"/>
    <n v="7"/>
    <n v="418.12"/>
    <n v="418.12"/>
    <n v="2926.84"/>
    <n v="2926.84"/>
    <s v="user_351@company.com"/>
    <x v="1"/>
    <s v="user_351@company.com"/>
  </r>
  <r>
    <s v="TXN-1352"/>
    <d v="2023-03-09T00:00:00"/>
    <x v="2"/>
    <s v="Furniture"/>
    <x v="2"/>
    <n v="8"/>
    <x v="2"/>
    <n v="8"/>
    <n v="71.290000000000006"/>
    <n v="71.290000000000006"/>
    <n v="570.32000000000005"/>
    <n v="570.32000000000005"/>
    <s v="user_352@company.com"/>
    <x v="0"/>
    <s v="user_352@company.com"/>
  </r>
  <r>
    <s v="TXN-1353"/>
    <d v="2023-06-17T00:00:00"/>
    <x v="4"/>
    <s v="Electronics"/>
    <x v="1"/>
    <n v="7"/>
    <x v="0"/>
    <n v="7"/>
    <m/>
    <n v="0"/>
    <n v="0"/>
    <m/>
    <s v="user_353@company.com"/>
    <x v="0"/>
    <s v="user_353@company.com"/>
  </r>
  <r>
    <s v="TXN-1354"/>
    <d v="2023-03-09T00:00:00"/>
    <x v="0"/>
    <s v="Electronics"/>
    <x v="1"/>
    <n v="5"/>
    <x v="0"/>
    <n v="5"/>
    <n v="282.83999999999997"/>
    <n v="282.83999999999997"/>
    <n v="1414.2"/>
    <n v="1570.24"/>
    <s v="invalid_email_at_gmail.com"/>
    <x v="3"/>
    <s v="invalid_email@gmail.com"/>
  </r>
  <r>
    <s v="TXN-1356"/>
    <d v="2023-09-04T00:00:00"/>
    <x v="1"/>
    <s v="Furniture "/>
    <x v="2"/>
    <n v="4"/>
    <x v="0"/>
    <n v="4"/>
    <n v="213.35"/>
    <n v="213.35"/>
    <n v="853.4"/>
    <n v="853.4"/>
    <s v="user_356@company.com"/>
    <x v="0"/>
    <s v="user_356@company.com"/>
  </r>
  <r>
    <s v="TXN-1357"/>
    <d v="2023-06-23T00:00:00"/>
    <x v="1"/>
    <s v="Electronics"/>
    <x v="1"/>
    <n v="6"/>
    <x v="0"/>
    <n v="6"/>
    <n v="170.2"/>
    <n v="170.2"/>
    <n v="1021.2"/>
    <n v="1234.06"/>
    <s v="user_357@company.com"/>
    <x v="2"/>
    <s v="user_357@company.com"/>
  </r>
  <r>
    <s v="TXN-1358"/>
    <d v="2023-08-02T00:00:00"/>
    <x v="0"/>
    <s v="Office Supplies"/>
    <x v="0"/>
    <n v="8"/>
    <x v="2"/>
    <n v="8"/>
    <n v="307.27999999999997"/>
    <n v="307.27999999999997"/>
    <n v="2458.2399999999998"/>
    <n v="2458.2399999999998"/>
    <s v="user_358@company.com"/>
    <x v="2"/>
    <s v="user_358@company.com"/>
  </r>
  <r>
    <s v="TXN-1359"/>
    <d v="2023-04-26T00:00:00"/>
    <x v="0"/>
    <s v="Office Supplies"/>
    <x v="0"/>
    <n v="6"/>
    <x v="0"/>
    <n v="6"/>
    <n v="465.92"/>
    <n v="465.92"/>
    <n v="2795.52"/>
    <n v="2795.52"/>
    <s v="user_359@company.com"/>
    <x v="4"/>
    <s v="user_359@company.com"/>
  </r>
  <r>
    <s v="TXN-1360"/>
    <d v="2023-10-13T00:00:00"/>
    <x v="2"/>
    <s v="Furniture "/>
    <x v="2"/>
    <n v="3"/>
    <x v="1"/>
    <n v="3"/>
    <n v="420.09"/>
    <n v="420.09"/>
    <n v="1260.27"/>
    <n v="1260.27"/>
    <s v="user_360@company.com"/>
    <x v="4"/>
    <s v="user_360@company.com"/>
  </r>
  <r>
    <s v="TXN-1361"/>
    <d v="1899-12-31T00:00:00"/>
    <x v="2"/>
    <s v="Office Supplies"/>
    <x v="0"/>
    <n v="8"/>
    <x v="2"/>
    <n v="8"/>
    <n v="-37.11"/>
    <n v="37.11"/>
    <n v="296.88"/>
    <n v="3982.32"/>
    <m/>
    <x v="0"/>
    <s v="unknown@domain.com"/>
  </r>
  <r>
    <s v="TXN-1362"/>
    <d v="2023-05-16T00:00:00"/>
    <x v="4"/>
    <s v="Furniture"/>
    <x v="2"/>
    <n v="4"/>
    <x v="0"/>
    <n v="4"/>
    <n v="21.06"/>
    <n v="21.06"/>
    <n v="84.24"/>
    <n v="84.24"/>
    <s v="user_362@company.com"/>
    <x v="4"/>
    <s v="user_362@company.com"/>
  </r>
  <r>
    <s v="TXN-1363"/>
    <d v="2023-12-11T00:00:00"/>
    <x v="2"/>
    <s v="Office Supplies"/>
    <x v="0"/>
    <n v="7"/>
    <x v="0"/>
    <n v="7"/>
    <n v="65.3"/>
    <n v="65.3"/>
    <n v="457.1"/>
    <n v="457.1"/>
    <s v="user_363@company.com"/>
    <x v="0"/>
    <s v="user_363@company.com"/>
  </r>
  <r>
    <s v="TXN-1364"/>
    <d v="2023-11-23T00:00:00"/>
    <x v="3"/>
    <s v="Electronics"/>
    <x v="1"/>
    <n v="2"/>
    <x v="1"/>
    <n v="2"/>
    <n v="308.64"/>
    <n v="308.64"/>
    <n v="617.28"/>
    <n v="617.28"/>
    <s v="user_364@company.com"/>
    <x v="0"/>
    <s v="user_364@company.com"/>
  </r>
  <r>
    <s v="TXN-1365"/>
    <d v="2023-04-30T00:00:00"/>
    <x v="3"/>
    <s v="Electronics"/>
    <x v="1"/>
    <n v="10"/>
    <x v="2"/>
    <n v="10"/>
    <n v="412.08"/>
    <n v="412.08"/>
    <n v="4120.8"/>
    <n v="4120.8"/>
    <s v="user_365@company.com"/>
    <x v="1"/>
    <s v="user_365@company.com"/>
  </r>
  <r>
    <s v="TXN-1366"/>
    <d v="1899-12-31T00:00:00"/>
    <x v="1"/>
    <s v="Electronics"/>
    <x v="1"/>
    <n v="6"/>
    <x v="0"/>
    <n v="6"/>
    <n v="149.77000000000001"/>
    <n v="149.77000000000001"/>
    <n v="898.62"/>
    <n v="898.62"/>
    <s v="user_366@company.com"/>
    <x v="0"/>
    <s v="user_366@company.com"/>
  </r>
  <r>
    <s v="TXN-1367"/>
    <d v="2023-10-15T00:00:00"/>
    <x v="3"/>
    <s v="Electronics"/>
    <x v="1"/>
    <n v="4"/>
    <x v="0"/>
    <n v="4"/>
    <n v="127.21"/>
    <n v="127.21"/>
    <n v="508.84"/>
    <n v="508.84"/>
    <s v="user_367@company.com"/>
    <x v="0"/>
    <s v="user_367@company.com"/>
  </r>
  <r>
    <s v="TXN-1368"/>
    <d v="2023-04-24T00:00:00"/>
    <x v="2"/>
    <s v="Electronics"/>
    <x v="1"/>
    <n v="5"/>
    <x v="0"/>
    <n v="5"/>
    <n v="395.62"/>
    <n v="395.62"/>
    <n v="1978.1"/>
    <n v="1978.1"/>
    <s v="invalid_email_at_gmail.com"/>
    <x v="4"/>
    <s v="invalid_email@gmail.com"/>
  </r>
  <r>
    <s v="TXN-1369"/>
    <d v="2023-08-26T00:00:00"/>
    <x v="3"/>
    <s v="Electronics"/>
    <x v="1"/>
    <n v="6"/>
    <x v="0"/>
    <n v="6"/>
    <n v="37.630000000000003"/>
    <n v="37.630000000000003"/>
    <n v="225.78"/>
    <n v="225.78"/>
    <s v="user_369@company.com"/>
    <x v="0"/>
    <s v="user_369@company.com"/>
  </r>
  <r>
    <s v="TXN-1370"/>
    <d v="2023-01-03T00:00:00"/>
    <x v="0"/>
    <s v="Furniture "/>
    <x v="2"/>
    <n v="4"/>
    <x v="0"/>
    <n v="4"/>
    <n v="191"/>
    <n v="191"/>
    <n v="764"/>
    <n v="764"/>
    <s v="user_370@company.com"/>
    <x v="0"/>
    <s v="user_370@company.com"/>
  </r>
  <r>
    <s v="TXN-1371"/>
    <d v="1899-12-31T00:00:00"/>
    <x v="1"/>
    <s v="Furniture "/>
    <x v="2"/>
    <n v="5"/>
    <x v="0"/>
    <n v="5"/>
    <n v="257.85000000000002"/>
    <n v="257.85000000000002"/>
    <n v="1289.25"/>
    <n v="1629.44"/>
    <s v="user_371@company.com"/>
    <x v="0"/>
    <s v="user_371@company.com"/>
  </r>
  <r>
    <s v="TXN-1372"/>
    <d v="1899-12-31T00:00:00"/>
    <x v="3"/>
    <s v="Electronics"/>
    <x v="1"/>
    <n v="6"/>
    <x v="0"/>
    <n v="6"/>
    <n v="284.57"/>
    <n v="284.57"/>
    <n v="1707.42"/>
    <n v="1707.42"/>
    <s v="user_372@company.com"/>
    <x v="3"/>
    <s v="user_372@company.com"/>
  </r>
  <r>
    <s v="TXN-1373"/>
    <d v="2023-03-01T00:00:00"/>
    <x v="1"/>
    <s v="Office Supplies"/>
    <x v="0"/>
    <n v="3"/>
    <x v="1"/>
    <n v="3"/>
    <n v="367.02"/>
    <n v="367.02"/>
    <n v="1101.06"/>
    <n v="1101.06"/>
    <m/>
    <x v="2"/>
    <s v="unknown@domain.com"/>
  </r>
  <r>
    <s v="TXN-1374"/>
    <d v="2023-03-10T00:00:00"/>
    <x v="0"/>
    <s v="Electronics"/>
    <x v="1"/>
    <n v="7"/>
    <x v="0"/>
    <n v="7"/>
    <n v="183.87"/>
    <n v="183.87"/>
    <n v="1287.0899999999999"/>
    <n v="1287.0899999999999"/>
    <s v="user_374@company.com"/>
    <x v="2"/>
    <s v="user_374@company.com"/>
  </r>
  <r>
    <s v="TXN-1375"/>
    <d v="2023-07-09T00:00:00"/>
    <x v="0"/>
    <s v="Furniture"/>
    <x v="2"/>
    <m/>
    <x v="0"/>
    <n v="7"/>
    <n v="310.22000000000003"/>
    <n v="310.22000000000003"/>
    <n v="2171.54"/>
    <n v="2171.54"/>
    <s v="user_375@company.com"/>
    <x v="4"/>
    <s v="user_375@company.com"/>
  </r>
  <r>
    <s v="TXN-1376"/>
    <d v="2023-03-21T00:00:00"/>
    <x v="1"/>
    <s v="Electronics"/>
    <x v="1"/>
    <n v="8"/>
    <x v="2"/>
    <n v="8"/>
    <n v="296.83"/>
    <n v="296.83"/>
    <n v="2374.64"/>
    <n v="2374.64"/>
    <s v="user_376@company.com"/>
    <x v="4"/>
    <s v="user_376@company.com"/>
  </r>
  <r>
    <s v="TXN-1377"/>
    <d v="2023-09-08T00:00:00"/>
    <x v="0"/>
    <s v="Electronics"/>
    <x v="1"/>
    <n v="4"/>
    <x v="0"/>
    <n v="4"/>
    <n v="278.33"/>
    <n v="278.33"/>
    <n v="1113.32"/>
    <n v="1496.51"/>
    <s v="user_377@company.com"/>
    <x v="2"/>
    <s v="user_377@company.com"/>
  </r>
  <r>
    <s v="TXN-1378"/>
    <d v="2023-05-24T00:00:00"/>
    <x v="1"/>
    <s v="Electronics"/>
    <x v="1"/>
    <n v="7"/>
    <x v="0"/>
    <n v="7"/>
    <n v="323.83999999999997"/>
    <n v="323.83999999999997"/>
    <n v="2266.88"/>
    <n v="2266.88"/>
    <s v="user_378@company.com"/>
    <x v="4"/>
    <s v="user_378@company.com"/>
  </r>
  <r>
    <s v="TXN-1379"/>
    <d v="2023-04-22T00:00:00"/>
    <x v="4"/>
    <s v="Office Supplies"/>
    <x v="0"/>
    <n v="3"/>
    <x v="1"/>
    <n v="3"/>
    <n v="137.13"/>
    <n v="137.13"/>
    <n v="411.39"/>
    <n v="411.39"/>
    <s v="user_379@company.com"/>
    <x v="0"/>
    <s v="user_379@company.com"/>
  </r>
  <r>
    <s v="TXN-1380"/>
    <d v="2023-05-01T00:00:00"/>
    <x v="2"/>
    <s v="Furniture"/>
    <x v="2"/>
    <n v="-2"/>
    <x v="1"/>
    <n v="2"/>
    <n v="51.48"/>
    <n v="51.48"/>
    <n v="102.96"/>
    <n v="205.92"/>
    <s v="user_380@company.com"/>
    <x v="0"/>
    <s v="user_380@company.com"/>
  </r>
  <r>
    <s v="TXN-1381"/>
    <d v="1899-12-31T00:00:00"/>
    <x v="1"/>
    <s v="Office Supplies"/>
    <x v="0"/>
    <n v="4"/>
    <x v="0"/>
    <n v="4"/>
    <n v="68.44"/>
    <n v="68.44"/>
    <n v="273.76"/>
    <n v="273.76"/>
    <s v="user_381@company.com"/>
    <x v="4"/>
    <s v="user_381@company.com"/>
  </r>
  <r>
    <s v="TXN-1382"/>
    <d v="2023-10-06T00:00:00"/>
    <x v="1"/>
    <s v="Office Supplies"/>
    <x v="0"/>
    <n v="0"/>
    <x v="3"/>
    <n v="0"/>
    <n v="120.05"/>
    <n v="120.05"/>
    <n v="0"/>
    <n v="0"/>
    <s v="user_382@company.com"/>
    <x v="0"/>
    <s v="user_382@company.com"/>
  </r>
  <r>
    <s v="TXN-1383"/>
    <d v="1899-12-31T00:00:00"/>
    <x v="3"/>
    <s v="Furniture "/>
    <x v="2"/>
    <n v="1"/>
    <x v="1"/>
    <n v="1"/>
    <n v="255.1"/>
    <n v="255.1"/>
    <n v="255.1"/>
    <n v="255.1"/>
    <s v="user_383@company.com"/>
    <x v="3"/>
    <s v="user_383@company.com"/>
  </r>
  <r>
    <s v="TXN-1384"/>
    <d v="2023-03-04T00:00:00"/>
    <x v="1"/>
    <s v="Office Supplies"/>
    <x v="0"/>
    <n v="1"/>
    <x v="1"/>
    <n v="1"/>
    <n v="421.82"/>
    <n v="421.82"/>
    <n v="421.82"/>
    <n v="421.82"/>
    <m/>
    <x v="0"/>
    <s v="unknown@domain.com"/>
  </r>
  <r>
    <s v="TXN-1385"/>
    <d v="1899-12-31T00:00:00"/>
    <x v="3"/>
    <s v="Office Supplies"/>
    <x v="0"/>
    <n v="7"/>
    <x v="0"/>
    <n v="7"/>
    <n v="353.63"/>
    <n v="353.63"/>
    <n v="2475.41"/>
    <n v="2475.41"/>
    <s v="user_385@company.com"/>
    <x v="0"/>
    <s v="user_385@company.com"/>
  </r>
  <r>
    <s v="TXN-1386"/>
    <d v="2023-11-24T00:00:00"/>
    <x v="0"/>
    <s v="Office Supplies"/>
    <x v="0"/>
    <n v="5"/>
    <x v="0"/>
    <n v="5"/>
    <n v="396.63"/>
    <n v="396.63"/>
    <n v="1983.15"/>
    <m/>
    <s v="user_386@company.com"/>
    <x v="4"/>
    <s v="user_386@company.com"/>
  </r>
  <r>
    <s v="TXN-1387"/>
    <d v="1899-12-31T00:00:00"/>
    <x v="2"/>
    <s v="Electronics"/>
    <x v="1"/>
    <n v="5"/>
    <x v="0"/>
    <n v="5"/>
    <n v="181.98"/>
    <n v="181.98"/>
    <n v="909.9"/>
    <n v="909.9"/>
    <s v="user_387@company.com"/>
    <x v="0"/>
    <s v="user_387@company.com"/>
  </r>
  <r>
    <s v="TXN-1388"/>
    <d v="2023-06-03T00:00:00"/>
    <x v="4"/>
    <s v="Office Supplies"/>
    <x v="0"/>
    <n v="8"/>
    <x v="2"/>
    <n v="8"/>
    <n v="208.28"/>
    <n v="208.28"/>
    <n v="1666.24"/>
    <n v="1666.24"/>
    <s v="user_388@company.com"/>
    <x v="1"/>
    <s v="user_388@company.com"/>
  </r>
  <r>
    <s v="TXN-1389"/>
    <d v="1899-12-31T00:00:00"/>
    <x v="1"/>
    <s v="Electronics"/>
    <x v="1"/>
    <n v="3"/>
    <x v="1"/>
    <n v="3"/>
    <s v="$250.00"/>
    <n v="250"/>
    <n v="750"/>
    <n v="608.70000000000005"/>
    <s v="user_389@company.com"/>
    <x v="4"/>
    <s v="user_389@company.com"/>
  </r>
  <r>
    <s v="TXN-1390"/>
    <d v="1899-12-31T00:00:00"/>
    <x v="4"/>
    <s v="Electronics"/>
    <x v="1"/>
    <n v="5"/>
    <x v="0"/>
    <n v="5"/>
    <n v="104.02"/>
    <n v="104.02"/>
    <n v="520.1"/>
    <n v="520.1"/>
    <s v="user_390@company.com"/>
    <x v="1"/>
    <s v="user_390@company.com"/>
  </r>
  <r>
    <s v="TXN-1391"/>
    <d v="2023-04-30T00:00:00"/>
    <x v="1"/>
    <s v="Electronics"/>
    <x v="1"/>
    <n v="3"/>
    <x v="1"/>
    <n v="3"/>
    <n v="40"/>
    <n v="40"/>
    <n v="120"/>
    <n v="120"/>
    <s v="user_391@company.com"/>
    <x v="0"/>
    <s v="user_391@company.com"/>
  </r>
  <r>
    <s v="TXN-1392"/>
    <d v="2023-11-02T00:00:00"/>
    <x v="1"/>
    <s v="Furniture "/>
    <x v="2"/>
    <n v="5"/>
    <x v="0"/>
    <n v="5"/>
    <s v="$250.00"/>
    <n v="250"/>
    <n v="1250"/>
    <n v="1879.74"/>
    <s v="user_392@company.com"/>
    <x v="0"/>
    <s v="user_392@company.com"/>
  </r>
  <r>
    <s v="TXN-1393"/>
    <d v="1899-12-31T00:00:00"/>
    <x v="1"/>
    <s v="Office Supplies"/>
    <x v="0"/>
    <n v="1"/>
    <x v="1"/>
    <n v="1"/>
    <n v="494.72"/>
    <n v="494.72"/>
    <n v="494.72"/>
    <n v="494.72"/>
    <s v="user_393@company.com"/>
    <x v="0"/>
    <s v="user_393@company.com"/>
  </r>
  <r>
    <s v="TXN-1394"/>
    <d v="2023-03-31T00:00:00"/>
    <x v="1"/>
    <s v="Electronics"/>
    <x v="1"/>
    <n v="7"/>
    <x v="0"/>
    <n v="7"/>
    <n v="-15.31"/>
    <n v="15.31"/>
    <n v="107.17"/>
    <m/>
    <s v="user_394@company.com"/>
    <x v="0"/>
    <s v="user_394@company.com"/>
  </r>
  <r>
    <s v="TXN-1395"/>
    <d v="1899-12-31T00:00:00"/>
    <x v="1"/>
    <s v="Office Supplies"/>
    <x v="0"/>
    <n v="2"/>
    <x v="1"/>
    <n v="2"/>
    <n v="32.880000000000003"/>
    <n v="32.880000000000003"/>
    <n v="65.760000000000005"/>
    <n v="65.760000000000005"/>
    <s v="user_395@company.com"/>
    <x v="4"/>
    <s v="user_395@company.com"/>
  </r>
  <r>
    <s v="TXN-1396"/>
    <d v="1899-12-31T00:00:00"/>
    <x v="3"/>
    <s v="Electronics"/>
    <x v="1"/>
    <n v="4"/>
    <x v="0"/>
    <n v="4"/>
    <n v="391.97"/>
    <n v="391.97"/>
    <n v="1567.88"/>
    <n v="1567.88"/>
    <s v="user_396@company.com"/>
    <x v="2"/>
    <s v="user_396@company.com"/>
  </r>
  <r>
    <s v="TXN-1397"/>
    <d v="2023-05-02T00:00:00"/>
    <x v="2"/>
    <s v="Furniture"/>
    <x v="2"/>
    <n v="6"/>
    <x v="0"/>
    <n v="6"/>
    <n v="133.77000000000001"/>
    <n v="133.77000000000001"/>
    <n v="802.62"/>
    <m/>
    <s v="user_397@company.com"/>
    <x v="0"/>
    <s v="user_397@company.com"/>
  </r>
  <r>
    <s v="TXN-1398"/>
    <d v="1899-12-31T00:00:00"/>
    <x v="3"/>
    <s v="Furniture "/>
    <x v="2"/>
    <n v="7"/>
    <x v="0"/>
    <n v="7"/>
    <n v="416.53"/>
    <n v="416.53"/>
    <n v="2915.71"/>
    <n v="2915.71"/>
    <s v="user_398@company.com"/>
    <x v="4"/>
    <s v="user_398@company.com"/>
  </r>
  <r>
    <s v="TXN-1399"/>
    <d v="2023-03-06T00:00:00"/>
    <x v="1"/>
    <s v="Office Supplies"/>
    <x v="0"/>
    <n v="9"/>
    <x v="2"/>
    <n v="9"/>
    <n v="354.93"/>
    <n v="354.93"/>
    <n v="3194.37"/>
    <n v="3194.37"/>
    <s v="user_399@company.com"/>
    <x v="0"/>
    <s v="user_399@company.com"/>
  </r>
  <r>
    <s v="TXN-1400"/>
    <d v="2023-02-02T00:00:00"/>
    <x v="2"/>
    <s v="Electronics"/>
    <x v="1"/>
    <n v="4"/>
    <x v="0"/>
    <n v="4"/>
    <n v="473.38"/>
    <n v="473.38"/>
    <n v="1893.52"/>
    <n v="1893.52"/>
    <s v="user_400@company.com"/>
    <x v="0"/>
    <s v="user_400@company.com"/>
  </r>
  <r>
    <s v="TXN-1401"/>
    <d v="2023-07-05T00:00:00"/>
    <x v="0"/>
    <s v="Electronics"/>
    <x v="1"/>
    <n v="1"/>
    <x v="1"/>
    <n v="1"/>
    <n v="210.37"/>
    <n v="210.37"/>
    <n v="210.37"/>
    <m/>
    <s v="user_401@company.com"/>
    <x v="3"/>
    <s v="user_401@company.com"/>
  </r>
  <r>
    <s v="TXN-1402"/>
    <d v="2023-04-24T00:00:00"/>
    <x v="2"/>
    <s v="Furniture"/>
    <x v="2"/>
    <n v="4"/>
    <x v="0"/>
    <n v="4"/>
    <n v="-50.43"/>
    <n v="50.43"/>
    <n v="201.72"/>
    <n v="1337.48"/>
    <s v="user_402@company.com"/>
    <x v="3"/>
    <s v="user_402@company.com"/>
  </r>
  <r>
    <s v="TXN-1403"/>
    <d v="2023-12-04T00:00:00"/>
    <x v="1"/>
    <s v="Office Supplies"/>
    <x v="0"/>
    <n v="6"/>
    <x v="0"/>
    <n v="6"/>
    <n v="237.78"/>
    <n v="237.78"/>
    <n v="1426.68"/>
    <n v="1426.68"/>
    <s v="invalid_email_at_gmail.com"/>
    <x v="4"/>
    <s v="invalid_email@gmail.com"/>
  </r>
  <r>
    <s v="TXN-1404"/>
    <d v="2023-01-16T00:00:00"/>
    <x v="0"/>
    <s v="Office Supplies"/>
    <x v="0"/>
    <n v="5"/>
    <x v="0"/>
    <n v="5"/>
    <n v="318.99"/>
    <n v="318.99"/>
    <n v="1594.95"/>
    <n v="956.97"/>
    <s v="user_404@company.com"/>
    <x v="1"/>
    <s v="user_404@company.com"/>
  </r>
  <r>
    <s v="TXN-1405"/>
    <d v="2023-07-25T00:00:00"/>
    <x v="1"/>
    <s v="Furniture"/>
    <x v="2"/>
    <n v="4"/>
    <x v="0"/>
    <n v="4"/>
    <n v="230.3"/>
    <n v="230.3"/>
    <n v="921.2"/>
    <n v="921.2"/>
    <s v="user_405@company.com"/>
    <x v="3"/>
    <s v="user_405@company.com"/>
  </r>
  <r>
    <s v="TXN-1406"/>
    <d v="2023-09-09T00:00:00"/>
    <x v="0"/>
    <s v="Electronics"/>
    <x v="1"/>
    <n v="2"/>
    <x v="1"/>
    <n v="2"/>
    <n v="102.43"/>
    <n v="102.43"/>
    <n v="204.86"/>
    <n v="204.86"/>
    <s v="user_406@company.com"/>
    <x v="0"/>
    <s v="user_406@company.com"/>
  </r>
  <r>
    <s v="TXN-1407"/>
    <d v="1899-12-31T00:00:00"/>
    <x v="3"/>
    <s v="Furniture"/>
    <x v="2"/>
    <n v="6"/>
    <x v="0"/>
    <n v="6"/>
    <n v="258.87"/>
    <n v="258.87"/>
    <n v="1553.22"/>
    <n v="1553.22"/>
    <s v="user_407@company.com"/>
    <x v="0"/>
    <s v="user_407@company.com"/>
  </r>
  <r>
    <s v="TXN-1408"/>
    <d v="1899-12-31T00:00:00"/>
    <x v="1"/>
    <s v="Office Supplies"/>
    <x v="0"/>
    <n v="8"/>
    <x v="2"/>
    <n v="8"/>
    <n v="269.01"/>
    <n v="269.01"/>
    <n v="2152.08"/>
    <n v="2152.08"/>
    <s v="user_408@company.com"/>
    <x v="2"/>
    <s v="user_408@company.com"/>
  </r>
  <r>
    <s v="TXN-1409"/>
    <d v="2023-03-02T00:00:00"/>
    <x v="2"/>
    <s v="Electronics"/>
    <x v="1"/>
    <n v="7"/>
    <x v="0"/>
    <n v="7"/>
    <n v="407.2"/>
    <n v="407.2"/>
    <n v="2850.4"/>
    <n v="2850.4"/>
    <s v="user_409@company.com"/>
    <x v="3"/>
    <s v="user_409@company.com"/>
  </r>
  <r>
    <s v="TXN-1410"/>
    <d v="2023-11-21T00:00:00"/>
    <x v="0"/>
    <s v="Furniture"/>
    <x v="2"/>
    <n v="2"/>
    <x v="1"/>
    <n v="2"/>
    <n v="370.41"/>
    <n v="370.41"/>
    <n v="740.82"/>
    <n v="852.25"/>
    <s v="user_410@company.com"/>
    <x v="3"/>
    <s v="user_410@company.com"/>
  </r>
  <r>
    <s v="TXN-1411"/>
    <d v="2023-11-02T00:00:00"/>
    <x v="4"/>
    <s v="Office Supplies"/>
    <x v="0"/>
    <n v="6"/>
    <x v="0"/>
    <n v="6"/>
    <n v="335.26"/>
    <n v="335.26"/>
    <n v="2011.56"/>
    <n v="2011.56"/>
    <s v="user_411@company.com"/>
    <x v="2"/>
    <s v="user_411@company.com"/>
  </r>
  <r>
    <s v="TXN-1412"/>
    <d v="2023-11-06T00:00:00"/>
    <x v="4"/>
    <s v="Office Supplies"/>
    <x v="0"/>
    <n v="-10"/>
    <x v="2"/>
    <n v="10"/>
    <n v="65.56"/>
    <n v="65.56"/>
    <n v="655.6"/>
    <n v="590.04"/>
    <s v="user_412@company.com"/>
    <x v="0"/>
    <s v="user_412@company.com"/>
  </r>
  <r>
    <s v="TXN-1413"/>
    <d v="1899-12-31T00:00:00"/>
    <x v="1"/>
    <s v="Furniture "/>
    <x v="2"/>
    <n v="3"/>
    <x v="1"/>
    <n v="3"/>
    <n v="363.1"/>
    <n v="363.1"/>
    <n v="1089.3"/>
    <n v="1089.3"/>
    <s v="user_413@company.com"/>
    <x v="4"/>
    <s v="user_413@company.com"/>
  </r>
  <r>
    <s v="TXN-1414"/>
    <d v="2023-02-12T00:00:00"/>
    <x v="3"/>
    <s v="Office Supplies"/>
    <x v="0"/>
    <n v="-1"/>
    <x v="1"/>
    <n v="1"/>
    <n v="255.15"/>
    <n v="255.15"/>
    <n v="255.15"/>
    <n v="2041.2"/>
    <s v="user_414@company.com"/>
    <x v="1"/>
    <s v="user_414@company.com"/>
  </r>
  <r>
    <s v="TXN-1415"/>
    <d v="2023-04-27T00:00:00"/>
    <x v="1"/>
    <s v="Electronics"/>
    <x v="1"/>
    <n v="7"/>
    <x v="0"/>
    <n v="7"/>
    <n v="448.11"/>
    <n v="448.11"/>
    <n v="3136.77"/>
    <n v="3136.77"/>
    <m/>
    <x v="4"/>
    <s v="unknown@domain.com"/>
  </r>
  <r>
    <s v="TXN-1416"/>
    <d v="2023-08-21T00:00:00"/>
    <x v="2"/>
    <s v="Electronics"/>
    <x v="1"/>
    <n v="6"/>
    <x v="0"/>
    <n v="6"/>
    <m/>
    <n v="0"/>
    <n v="0"/>
    <n v="2764.44"/>
    <m/>
    <x v="0"/>
    <s v="unknown@domain.com"/>
  </r>
  <r>
    <s v="TXN-1417"/>
    <d v="2023-02-18T00:00:00"/>
    <x v="4"/>
    <s v="Electronics"/>
    <x v="1"/>
    <n v="10"/>
    <x v="2"/>
    <n v="10"/>
    <n v="37.03"/>
    <n v="37.03"/>
    <n v="370.3"/>
    <n v="370.3"/>
    <s v="user_417@company.com"/>
    <x v="3"/>
    <s v="user_417@company.com"/>
  </r>
  <r>
    <s v="TXN-1418"/>
    <d v="2023-12-07T00:00:00"/>
    <x v="1"/>
    <s v="Furniture "/>
    <x v="2"/>
    <n v="9999"/>
    <x v="0"/>
    <n v="5"/>
    <n v="412.11"/>
    <n v="412.11"/>
    <n v="2060.5500000000002"/>
    <n v="2060.5500000000002"/>
    <s v="user_418@company.com"/>
    <x v="3"/>
    <s v="user_418@company.com"/>
  </r>
  <r>
    <s v="TXN-1419"/>
    <d v="2023-03-20T00:00:00"/>
    <x v="0"/>
    <s v="Office Supplies"/>
    <x v="0"/>
    <n v="5"/>
    <x v="0"/>
    <n v="5"/>
    <n v="28.47"/>
    <n v="28.47"/>
    <n v="142.35"/>
    <n v="142.35"/>
    <s v="user_419@company.com"/>
    <x v="2"/>
    <s v="user_419@company.com"/>
  </r>
  <r>
    <s v="TXN-1420"/>
    <d v="1899-12-31T00:00:00"/>
    <x v="1"/>
    <s v="Furniture "/>
    <x v="2"/>
    <n v="5"/>
    <x v="0"/>
    <n v="5"/>
    <n v="189.91"/>
    <n v="189.91"/>
    <n v="949.55"/>
    <n v="949.55"/>
    <s v="user_420@company.com"/>
    <x v="0"/>
    <s v="user_420@company.com"/>
  </r>
  <r>
    <s v="TXN-1421"/>
    <d v="2023-02-17T00:00:00"/>
    <x v="1"/>
    <s v="Furniture"/>
    <x v="2"/>
    <n v="5"/>
    <x v="0"/>
    <n v="5"/>
    <n v="275.73"/>
    <n v="275.73"/>
    <n v="1378.65"/>
    <n v="1378.65"/>
    <s v="user_421@company.com"/>
    <x v="2"/>
    <s v="user_421@company.com"/>
  </r>
  <r>
    <s v="TXN-1422"/>
    <d v="1899-12-31T00:00:00"/>
    <x v="2"/>
    <s v="Office Supplies"/>
    <x v="0"/>
    <n v="4"/>
    <x v="0"/>
    <n v="4"/>
    <n v="-170.92"/>
    <n v="170.92"/>
    <n v="683.68"/>
    <n v="330.28"/>
    <s v="user_422@company.com"/>
    <x v="1"/>
    <s v="user_422@company.com"/>
  </r>
  <r>
    <s v="TXN-1423"/>
    <d v="2023-03-08T00:00:00"/>
    <x v="0"/>
    <s v="Electronics"/>
    <x v="1"/>
    <n v="10"/>
    <x v="2"/>
    <n v="10"/>
    <n v="375.69"/>
    <n v="375.69"/>
    <n v="3756.9"/>
    <n v="4192.54"/>
    <s v="user_423@company.com"/>
    <x v="0"/>
    <s v="user_423@company.com"/>
  </r>
  <r>
    <s v="TXN-1424"/>
    <d v="2023-10-15T00:00:00"/>
    <x v="4"/>
    <s v="Furniture"/>
    <x v="2"/>
    <n v="3"/>
    <x v="1"/>
    <n v="3"/>
    <n v="14.09"/>
    <n v="14.09"/>
    <n v="42.27"/>
    <n v="42.27"/>
    <s v="user_424@company.com"/>
    <x v="0"/>
    <s v="user_424@company.com"/>
  </r>
  <r>
    <s v="TXN-1425"/>
    <d v="2023-07-30T00:00:00"/>
    <x v="0"/>
    <s v="Electronics"/>
    <x v="1"/>
    <n v="2"/>
    <x v="1"/>
    <n v="2"/>
    <n v="92.61"/>
    <n v="92.61"/>
    <n v="185.22"/>
    <n v="185.22"/>
    <s v="invalid_email_at_gmail.com"/>
    <x v="2"/>
    <s v="invalid_email@gmail.com"/>
  </r>
  <r>
    <s v="TXN-1427"/>
    <d v="2023-11-04T00:00:00"/>
    <x v="2"/>
    <s v="Office Supplies"/>
    <x v="0"/>
    <n v="4"/>
    <x v="0"/>
    <n v="4"/>
    <m/>
    <n v="0"/>
    <n v="0"/>
    <n v="1440.2"/>
    <s v="user_427@company.com"/>
    <x v="0"/>
    <s v="user_427@company.com"/>
  </r>
  <r>
    <s v="TXN-1428"/>
    <d v="1899-12-31T00:00:00"/>
    <x v="0"/>
    <s v="Office Supplies"/>
    <x v="0"/>
    <n v="4"/>
    <x v="0"/>
    <n v="4"/>
    <n v="459.16"/>
    <n v="459.16"/>
    <n v="1836.64"/>
    <n v="1836.64"/>
    <s v="user_428@company.com"/>
    <x v="4"/>
    <s v="user_428@company.com"/>
  </r>
  <r>
    <s v="TXN-1429"/>
    <d v="2023-04-09T00:00:00"/>
    <x v="3"/>
    <s v="Electronics"/>
    <x v="1"/>
    <n v="8"/>
    <x v="2"/>
    <n v="8"/>
    <n v="355.69"/>
    <n v="355.69"/>
    <n v="2845.52"/>
    <n v="2845.52"/>
    <s v="user_429@company.com"/>
    <x v="2"/>
    <s v="user_429@company.com"/>
  </r>
  <r>
    <s v="TXN-1430"/>
    <d v="2023-06-29T00:00:00"/>
    <x v="3"/>
    <s v="Electronics"/>
    <x v="1"/>
    <n v="5"/>
    <x v="0"/>
    <n v="5"/>
    <n v="339.17"/>
    <n v="339.17"/>
    <n v="1695.85"/>
    <n v="1695.85"/>
    <s v="user_430@company.com"/>
    <x v="0"/>
    <s v="user_430@company.com"/>
  </r>
  <r>
    <s v="TXN-1431"/>
    <d v="1899-12-31T00:00:00"/>
    <x v="0"/>
    <s v="Furniture "/>
    <x v="2"/>
    <n v="4"/>
    <x v="0"/>
    <n v="4"/>
    <n v="203.23"/>
    <n v="203.23"/>
    <n v="812.92"/>
    <n v="812.92"/>
    <s v="user_431@company.com"/>
    <x v="2"/>
    <s v="user_431@company.com"/>
  </r>
  <r>
    <s v="TXN-1432"/>
    <d v="2023-10-15T00:00:00"/>
    <x v="1"/>
    <s v="Electronics"/>
    <x v="1"/>
    <n v="7"/>
    <x v="0"/>
    <n v="7"/>
    <n v="10.63"/>
    <n v="10.63"/>
    <n v="74.41"/>
    <n v="74.41"/>
    <s v="user_432@company.com"/>
    <x v="2"/>
    <s v="user_432@company.com"/>
  </r>
  <r>
    <s v="TXN-1433"/>
    <d v="2023-12-03T00:00:00"/>
    <x v="1"/>
    <s v="Office Supplies"/>
    <x v="0"/>
    <n v="4"/>
    <x v="0"/>
    <n v="4"/>
    <n v="68.88"/>
    <n v="68.88"/>
    <n v="275.52"/>
    <n v="275.52"/>
    <s v="user_433@company.com"/>
    <x v="2"/>
    <s v="user_433@company.com"/>
  </r>
  <r>
    <s v="TXN-1434"/>
    <d v="1899-12-31T00:00:00"/>
    <x v="2"/>
    <s v="Furniture"/>
    <x v="2"/>
    <n v="2"/>
    <x v="1"/>
    <n v="2"/>
    <n v="271.93"/>
    <n v="271.93"/>
    <n v="543.86"/>
    <n v="543.86"/>
    <s v="user_434@company.com"/>
    <x v="0"/>
    <s v="user_434@company.com"/>
  </r>
  <r>
    <s v="TXN-1435"/>
    <d v="2023-06-08T00:00:00"/>
    <x v="2"/>
    <s v="Electronics"/>
    <x v="1"/>
    <n v="2"/>
    <x v="1"/>
    <n v="2"/>
    <n v="340.81"/>
    <n v="340.81"/>
    <n v="681.62"/>
    <n v="681.62"/>
    <s v="user_435@company.com"/>
    <x v="2"/>
    <s v="user_435@company.com"/>
  </r>
  <r>
    <s v="TXN-1436"/>
    <d v="2023-03-04T00:00:00"/>
    <x v="0"/>
    <s v="Electronics"/>
    <x v="1"/>
    <n v="3"/>
    <x v="1"/>
    <n v="3"/>
    <n v="214.55"/>
    <n v="214.55"/>
    <n v="643.65"/>
    <n v="643.65"/>
    <s v="user_436@company.com"/>
    <x v="4"/>
    <s v="user_436@company.com"/>
  </r>
  <r>
    <s v="TXN-1437"/>
    <d v="2023-07-25T00:00:00"/>
    <x v="2"/>
    <s v="Office Supplies"/>
    <x v="0"/>
    <n v="3"/>
    <x v="1"/>
    <n v="3"/>
    <n v="368.03"/>
    <n v="368.03"/>
    <n v="1104.0899999999999"/>
    <n v="1104.0899999999999"/>
    <s v="user_437@company.com"/>
    <x v="3"/>
    <s v="user_437@company.com"/>
  </r>
  <r>
    <s v="TXN-1438"/>
    <d v="2023-11-21T00:00:00"/>
    <x v="3"/>
    <s v="Electronics"/>
    <x v="1"/>
    <n v="-7"/>
    <x v="0"/>
    <n v="7"/>
    <n v="265.70999999999998"/>
    <n v="265.70999999999998"/>
    <n v="1859.97"/>
    <n v="2616.7600000000002"/>
    <s v="user_438@company.com"/>
    <x v="1"/>
    <s v="user_438@company.com"/>
  </r>
  <r>
    <s v="TXN-1439"/>
    <d v="1899-12-31T00:00:00"/>
    <x v="0"/>
    <s v="Office Supplies"/>
    <x v="0"/>
    <n v="6"/>
    <x v="0"/>
    <n v="6"/>
    <n v="46.35"/>
    <n v="46.35"/>
    <n v="278.10000000000002"/>
    <n v="539.89"/>
    <s v="user_439@company.com"/>
    <x v="1"/>
    <s v="user_439@company.com"/>
  </r>
  <r>
    <s v="TXN-1440"/>
    <d v="2023-07-12T00:00:00"/>
    <x v="1"/>
    <s v="Electronics"/>
    <x v="1"/>
    <n v="0"/>
    <x v="3"/>
    <n v="0"/>
    <n v="104.09"/>
    <n v="104.09"/>
    <n v="0"/>
    <n v="0"/>
    <s v="user_440@company.com"/>
    <x v="2"/>
    <s v="user_440@company.com"/>
  </r>
  <r>
    <s v="TXN-1441"/>
    <d v="2023-03-22T00:00:00"/>
    <x v="1"/>
    <s v="Furniture"/>
    <x v="2"/>
    <n v="8"/>
    <x v="2"/>
    <n v="8"/>
    <n v="421.6"/>
    <n v="421.6"/>
    <n v="3372.8"/>
    <n v="3661.8"/>
    <s v="user_441@company.com"/>
    <x v="0"/>
    <s v="user_441@company.com"/>
  </r>
  <r>
    <s v="TXN-1442"/>
    <d v="2023-06-16T00:00:00"/>
    <x v="1"/>
    <s v="Electronics"/>
    <x v="1"/>
    <n v="5"/>
    <x v="0"/>
    <n v="5"/>
    <n v="365.21"/>
    <n v="365.21"/>
    <n v="1826.05"/>
    <n v="1826.05"/>
    <s v="user_442@company.com"/>
    <x v="4"/>
    <s v="user_442@company.com"/>
  </r>
  <r>
    <s v="TXN-1443"/>
    <d v="1899-12-31T00:00:00"/>
    <x v="1"/>
    <s v="Office Supplies"/>
    <x v="0"/>
    <n v="4"/>
    <x v="0"/>
    <n v="4"/>
    <n v="448.43"/>
    <n v="448.43"/>
    <n v="1793.72"/>
    <m/>
    <s v="user_443@company.com"/>
    <x v="4"/>
    <s v="user_443@company.com"/>
  </r>
  <r>
    <s v="TXN-1444"/>
    <d v="2023-01-26T00:00:00"/>
    <x v="4"/>
    <s v="Electronics"/>
    <x v="1"/>
    <n v="5"/>
    <x v="0"/>
    <n v="5"/>
    <n v="67.599999999999994"/>
    <n v="67.599999999999994"/>
    <n v="338"/>
    <n v="338"/>
    <s v="user_444@company.com"/>
    <x v="4"/>
    <s v="user_444@company.com"/>
  </r>
  <r>
    <s v="TXN-1445"/>
    <d v="2023-12-05T00:00:00"/>
    <x v="2"/>
    <s v="Office Supplies"/>
    <x v="0"/>
    <n v="7"/>
    <x v="0"/>
    <n v="7"/>
    <n v="495.21"/>
    <n v="495.21"/>
    <n v="3466.47"/>
    <n v="3466.47"/>
    <s v="user_445@company.com"/>
    <x v="0"/>
    <s v="user_445@company.com"/>
  </r>
  <r>
    <s v="TXN-1446"/>
    <d v="2023-08-15T00:00:00"/>
    <x v="1"/>
    <s v="Electronics"/>
    <x v="1"/>
    <n v="6"/>
    <x v="0"/>
    <n v="6"/>
    <n v="112.61"/>
    <n v="112.61"/>
    <n v="675.66"/>
    <n v="675.66"/>
    <s v="user_446@company.com"/>
    <x v="0"/>
    <s v="user_446@company.com"/>
  </r>
  <r>
    <s v="TXN-1447"/>
    <d v="2023-09-20T00:00:00"/>
    <x v="1"/>
    <s v="Electronics"/>
    <x v="1"/>
    <n v="3"/>
    <x v="1"/>
    <n v="3"/>
    <n v="15.77"/>
    <n v="15.77"/>
    <n v="47.31"/>
    <n v="47.31"/>
    <s v="user_447@company.com"/>
    <x v="4"/>
    <s v="user_447@company.com"/>
  </r>
  <r>
    <s v="TXN-1448"/>
    <d v="2023-02-26T00:00:00"/>
    <x v="2"/>
    <s v="Office Supplies"/>
    <x v="0"/>
    <n v="4"/>
    <x v="0"/>
    <n v="4"/>
    <n v="498.74"/>
    <n v="498.74"/>
    <n v="1994.96"/>
    <n v="2374.2600000000002"/>
    <s v="user_448@company.com"/>
    <x v="0"/>
    <s v="user_448@company.com"/>
  </r>
  <r>
    <s v="TXN-1449"/>
    <d v="2023-10-31T00:00:00"/>
    <x v="1"/>
    <s v="Electronics"/>
    <x v="1"/>
    <n v="2"/>
    <x v="1"/>
    <n v="2"/>
    <n v="147.72999999999999"/>
    <n v="147.72999999999999"/>
    <n v="295.45999999999998"/>
    <n v="295.45999999999998"/>
    <s v="user_449@company.com"/>
    <x v="2"/>
    <s v="user_449@company.com"/>
  </r>
  <r>
    <s v="TXN-1450"/>
    <d v="2023-06-07T00:00:00"/>
    <x v="1"/>
    <s v="Electronics"/>
    <x v="1"/>
    <n v="4"/>
    <x v="0"/>
    <n v="4"/>
    <n v="337.33"/>
    <n v="337.33"/>
    <n v="1349.32"/>
    <n v="1349.32"/>
    <s v="user_450@company.com"/>
    <x v="0"/>
    <s v="user_450@company.com"/>
  </r>
  <r>
    <s v="TXN-1451"/>
    <d v="2023-11-03T00:00:00"/>
    <x v="0"/>
    <s v="Electronics"/>
    <x v="1"/>
    <n v="1"/>
    <x v="1"/>
    <n v="1"/>
    <n v="96.57"/>
    <n v="96.57"/>
    <n v="96.57"/>
    <n v="96.57"/>
    <s v="user_451@company.com"/>
    <x v="0"/>
    <s v="user_451@company.com"/>
  </r>
  <r>
    <s v="TXN-1452"/>
    <d v="1899-12-31T00:00:00"/>
    <x v="0"/>
    <s v="Office Supplies"/>
    <x v="0"/>
    <n v="5"/>
    <x v="0"/>
    <n v="5"/>
    <n v="294.31"/>
    <n v="294.31"/>
    <n v="1471.55"/>
    <n v="2648.79"/>
    <s v="user_452@company.com"/>
    <x v="0"/>
    <s v="user_452@company.com"/>
  </r>
  <r>
    <s v="TXN-1453"/>
    <d v="1899-12-31T00:00:00"/>
    <x v="2"/>
    <s v="Furniture"/>
    <x v="2"/>
    <n v="3"/>
    <x v="1"/>
    <n v="3"/>
    <n v="452.98"/>
    <n v="452.98"/>
    <n v="1358.94"/>
    <n v="1624.84"/>
    <s v="user_453@company.com"/>
    <x v="0"/>
    <s v="user_453@company.com"/>
  </r>
  <r>
    <s v="TXN-1454"/>
    <d v="2023-05-29T00:00:00"/>
    <x v="0"/>
    <s v="Office Supplies"/>
    <x v="0"/>
    <n v="1"/>
    <x v="1"/>
    <n v="1"/>
    <n v="166.89"/>
    <n v="166.89"/>
    <n v="166.89"/>
    <m/>
    <s v="user_454@company.com"/>
    <x v="2"/>
    <s v="user_454@company.com"/>
  </r>
  <r>
    <s v="TXN-1455"/>
    <d v="2023-09-12T00:00:00"/>
    <x v="0"/>
    <s v="Office Supplies"/>
    <x v="0"/>
    <n v="5"/>
    <x v="0"/>
    <n v="5"/>
    <n v="338.42"/>
    <n v="338.42"/>
    <n v="1692.1"/>
    <n v="1692.1"/>
    <s v="user_455@company.com"/>
    <x v="0"/>
    <s v="user_455@company.com"/>
  </r>
  <r>
    <s v="TXN-1456"/>
    <d v="1899-12-31T00:00:00"/>
    <x v="2"/>
    <s v="Office Supplies"/>
    <x v="0"/>
    <n v="4"/>
    <x v="0"/>
    <n v="4"/>
    <n v="102.07"/>
    <n v="102.07"/>
    <n v="408.28"/>
    <n v="408.28"/>
    <s v="user_456@company.com"/>
    <x v="4"/>
    <s v="user_456@company.com"/>
  </r>
  <r>
    <s v="TXN-1457"/>
    <d v="2023-12-09T00:00:00"/>
    <x v="1"/>
    <s v="Furniture"/>
    <x v="2"/>
    <n v="6"/>
    <x v="0"/>
    <n v="6"/>
    <n v="316.14999999999998"/>
    <n v="316.14999999999998"/>
    <n v="1896.9"/>
    <n v="1896.9"/>
    <s v="invalid_email_at_gmail.com"/>
    <x v="4"/>
    <s v="invalid_email@gmail.com"/>
  </r>
  <r>
    <s v="TXN-1458"/>
    <d v="1899-12-31T00:00:00"/>
    <x v="1"/>
    <s v="Electronics"/>
    <x v="1"/>
    <n v="5"/>
    <x v="0"/>
    <n v="5"/>
    <n v="174.86"/>
    <n v="174.86"/>
    <n v="874.3"/>
    <n v="1128.98"/>
    <s v="user_458@company.com"/>
    <x v="0"/>
    <s v="user_458@company.com"/>
  </r>
  <r>
    <s v="TXN-1459"/>
    <d v="2023-01-22T00:00:00"/>
    <x v="1"/>
    <s v="Office Supplies"/>
    <x v="0"/>
    <n v="8"/>
    <x v="2"/>
    <n v="8"/>
    <n v="113.49"/>
    <n v="113.49"/>
    <n v="907.92"/>
    <n v="907.92"/>
    <s v="user_459@company.com"/>
    <x v="3"/>
    <s v="user_459@company.com"/>
  </r>
  <r>
    <s v="TXN-1460"/>
    <d v="1899-12-31T00:00:00"/>
    <x v="1"/>
    <s v="Office Supplies"/>
    <x v="0"/>
    <n v="5"/>
    <x v="0"/>
    <n v="5"/>
    <n v="163.46"/>
    <n v="163.46"/>
    <n v="817.3"/>
    <n v="817.3"/>
    <s v="user_at_company"/>
    <x v="3"/>
    <s v="user@company"/>
  </r>
  <r>
    <s v="TXN-1461"/>
    <d v="2023-06-10T00:00:00"/>
    <x v="0"/>
    <s v="Electronics"/>
    <x v="1"/>
    <n v="7"/>
    <x v="0"/>
    <n v="7"/>
    <n v="97.63"/>
    <n v="97.63"/>
    <n v="683.41"/>
    <n v="683.41"/>
    <s v="user_461@company.com"/>
    <x v="4"/>
    <s v="user_461@company.com"/>
  </r>
  <r>
    <s v="TXN-1462"/>
    <d v="2023-12-30T00:00:00"/>
    <x v="3"/>
    <s v="Furniture "/>
    <x v="2"/>
    <n v="4"/>
    <x v="0"/>
    <n v="4"/>
    <n v="451.94"/>
    <n v="451.94"/>
    <n v="1807.76"/>
    <n v="1807.76"/>
    <s v="user_462@company.com"/>
    <x v="2"/>
    <s v="user_462@company.com"/>
  </r>
  <r>
    <s v="TXN-1463"/>
    <d v="2023-07-27T00:00:00"/>
    <x v="3"/>
    <s v="Electronics"/>
    <x v="1"/>
    <n v="1"/>
    <x v="1"/>
    <n v="1"/>
    <n v="204.62"/>
    <n v="204.62"/>
    <n v="204.62"/>
    <n v="204.62"/>
    <s v="user_463@company.com"/>
    <x v="4"/>
    <s v="user_463@company.com"/>
  </r>
  <r>
    <s v="TXN-1464"/>
    <d v="2023-03-29T00:00:00"/>
    <x v="3"/>
    <s v="Office Supplies"/>
    <x v="0"/>
    <n v="5"/>
    <x v="0"/>
    <n v="5"/>
    <n v="130.19"/>
    <n v="130.19"/>
    <n v="650.95000000000005"/>
    <n v="650.95000000000005"/>
    <s v="user_464@company.com"/>
    <x v="3"/>
    <s v="user_464@company.com"/>
  </r>
  <r>
    <s v="TXN-1465"/>
    <d v="2023-07-05T00:00:00"/>
    <x v="1"/>
    <s v="Office Supplies"/>
    <x v="0"/>
    <n v="4"/>
    <x v="0"/>
    <n v="4"/>
    <n v="229.72"/>
    <n v="229.72"/>
    <n v="918.88"/>
    <n v="918.88"/>
    <s v="user_465@company.com"/>
    <x v="2"/>
    <s v="user_465@company.com"/>
  </r>
  <r>
    <s v="TXN-1466"/>
    <d v="1899-12-31T00:00:00"/>
    <x v="1"/>
    <s v="Furniture "/>
    <x v="2"/>
    <n v="3"/>
    <x v="1"/>
    <n v="3"/>
    <n v="167.06"/>
    <n v="167.06"/>
    <n v="501.18"/>
    <n v="501.18"/>
    <s v="user_466@company.com"/>
    <x v="3"/>
    <s v="user_466@company.com"/>
  </r>
  <r>
    <s v="TXN-1467"/>
    <d v="2023-07-25T00:00:00"/>
    <x v="1"/>
    <s v="Office Supplies"/>
    <x v="0"/>
    <n v="2"/>
    <x v="1"/>
    <n v="2"/>
    <n v="-42"/>
    <n v="42"/>
    <n v="84"/>
    <n v="1201.5899999999999"/>
    <s v="user_at_company"/>
    <x v="2"/>
    <s v="user@company"/>
  </r>
  <r>
    <s v="TXN-1468"/>
    <d v="2023-06-08T00:00:00"/>
    <x v="1"/>
    <s v="Furniture"/>
    <x v="2"/>
    <n v="12"/>
    <x v="2"/>
    <n v="12"/>
    <n v="485.9"/>
    <n v="485.9"/>
    <n v="5830.8"/>
    <n v="5830.8"/>
    <s v="user_468@company.com"/>
    <x v="1"/>
    <s v="user_468@company.com"/>
  </r>
  <r>
    <s v="TXN-1469"/>
    <d v="2023-03-28T00:00:00"/>
    <x v="1"/>
    <s v="Electronics"/>
    <x v="1"/>
    <n v="5"/>
    <x v="0"/>
    <n v="5"/>
    <n v="224.64"/>
    <n v="224.64"/>
    <n v="1123.2"/>
    <n v="1364.86"/>
    <s v="user_469@company.com"/>
    <x v="3"/>
    <s v="user_469@company.com"/>
  </r>
  <r>
    <s v="TXN-1470"/>
    <d v="1899-12-31T00:00:00"/>
    <x v="1"/>
    <s v="Office Supplies"/>
    <x v="0"/>
    <n v="10"/>
    <x v="2"/>
    <n v="10"/>
    <n v="431.91"/>
    <n v="431.91"/>
    <n v="4319.1000000000004"/>
    <n v="4319.1000000000004"/>
    <s v="user_470@company.com"/>
    <x v="0"/>
    <s v="user_470@company.com"/>
  </r>
  <r>
    <s v="TXN-1471"/>
    <d v="2023-06-28T00:00:00"/>
    <x v="3"/>
    <s v="Office Supplies"/>
    <x v="0"/>
    <n v="6"/>
    <x v="0"/>
    <n v="6"/>
    <n v="287.27"/>
    <n v="287.27"/>
    <n v="1723.62"/>
    <n v="1723.62"/>
    <s v="user_471@company.com"/>
    <x v="2"/>
    <s v="user_471@company.com"/>
  </r>
  <r>
    <s v="TXN-1472"/>
    <d v="1899-12-31T00:00:00"/>
    <x v="3"/>
    <s v="Office Supplies"/>
    <x v="0"/>
    <n v="1"/>
    <x v="1"/>
    <n v="1"/>
    <n v="87.05"/>
    <n v="87.05"/>
    <n v="87.05"/>
    <n v="87.05"/>
    <s v="user_472@company.com"/>
    <x v="1"/>
    <s v="user_472@company.com"/>
  </r>
  <r>
    <s v="TXN-1473"/>
    <d v="2023-03-16T00:00:00"/>
    <x v="2"/>
    <s v="Furniture "/>
    <x v="2"/>
    <n v="6"/>
    <x v="0"/>
    <n v="6"/>
    <n v="348.41"/>
    <n v="348.41"/>
    <n v="2090.46"/>
    <n v="2090.46"/>
    <s v="user_473@company.com"/>
    <x v="4"/>
    <s v="user_473@company.com"/>
  </r>
  <r>
    <s v="TXN-1474"/>
    <d v="2023-05-11T00:00:00"/>
    <x v="4"/>
    <s v="Electronics"/>
    <x v="1"/>
    <n v="2"/>
    <x v="1"/>
    <n v="2"/>
    <n v="261.58"/>
    <n v="261.58"/>
    <n v="523.16"/>
    <n v="523.16"/>
    <s v="user_474@company.com"/>
    <x v="4"/>
    <s v="user_474@company.com"/>
  </r>
  <r>
    <s v="TXN-1475"/>
    <d v="2023-12-02T00:00:00"/>
    <x v="0"/>
    <s v="Electronics"/>
    <x v="1"/>
    <n v="4"/>
    <x v="0"/>
    <n v="4"/>
    <n v="328.8"/>
    <n v="328.8"/>
    <n v="1315.2"/>
    <n v="1761.58"/>
    <s v="user_475@company.com"/>
    <x v="0"/>
    <s v="user_475@company.com"/>
  </r>
  <r>
    <s v="TXN-1476"/>
    <d v="2023-11-18T00:00:00"/>
    <x v="1"/>
    <s v="Electronics"/>
    <x v="1"/>
    <m/>
    <x v="0"/>
    <n v="5"/>
    <n v="445.95"/>
    <n v="445.95"/>
    <n v="2229.75"/>
    <n v="2229.75"/>
    <s v="user_476@company.com"/>
    <x v="2"/>
    <s v="user_476@company.com"/>
  </r>
  <r>
    <s v="TXN-1477"/>
    <d v="2023-10-16T00:00:00"/>
    <x v="3"/>
    <s v="Office Supplies"/>
    <x v="0"/>
    <m/>
    <x v="0"/>
    <n v="5"/>
    <n v="-54.61"/>
    <n v="54.61"/>
    <n v="273.05"/>
    <n v="2281.88"/>
    <s v="user_477@company.com"/>
    <x v="4"/>
    <s v="user_477@company.com"/>
  </r>
  <r>
    <s v="TXN-1478"/>
    <d v="2023-10-17T00:00:00"/>
    <x v="3"/>
    <s v="Furniture "/>
    <x v="2"/>
    <n v="4"/>
    <x v="0"/>
    <n v="4"/>
    <n v="-60.56"/>
    <n v="60.56"/>
    <n v="242.24"/>
    <n v="1806.32"/>
    <s v="user_478@company.com"/>
    <x v="3"/>
    <s v="user_478@company.com"/>
  </r>
  <r>
    <s v="TXN-1479"/>
    <d v="2023-11-18T00:00:00"/>
    <x v="1"/>
    <s v="Furniture "/>
    <x v="2"/>
    <n v="2"/>
    <x v="1"/>
    <n v="2"/>
    <n v="377.83"/>
    <n v="377.83"/>
    <n v="755.66"/>
    <m/>
    <s v="user_479@company.com"/>
    <x v="1"/>
    <s v="user_479@company.com"/>
  </r>
  <r>
    <s v="TXN-1480"/>
    <d v="2023-02-04T00:00:00"/>
    <x v="1"/>
    <s v="Office Supplies"/>
    <x v="0"/>
    <n v="1"/>
    <x v="1"/>
    <n v="1"/>
    <n v="249.42"/>
    <n v="249.42"/>
    <n v="249.42"/>
    <n v="249.42"/>
    <s v="user_480@company.com"/>
    <x v="3"/>
    <s v="user_480@company.com"/>
  </r>
  <r>
    <s v="TXN-1481"/>
    <d v="2023-06-05T00:00:00"/>
    <x v="3"/>
    <s v="Office Supplies"/>
    <x v="0"/>
    <n v="8"/>
    <x v="2"/>
    <n v="8"/>
    <n v="305.58"/>
    <n v="305.58"/>
    <n v="2444.64"/>
    <n v="2444.64"/>
    <s v="user_481@company.com"/>
    <x v="0"/>
    <s v="user_481@company.com"/>
  </r>
  <r>
    <s v="TXN-1482"/>
    <d v="2023-06-30T00:00:00"/>
    <x v="3"/>
    <s v="Electronics"/>
    <x v="1"/>
    <n v="8"/>
    <x v="2"/>
    <n v="8"/>
    <n v="169.53"/>
    <n v="169.53"/>
    <n v="1356.24"/>
    <n v="1356.24"/>
    <s v="user_482@company.com"/>
    <x v="4"/>
    <s v="user_482@company.com"/>
  </r>
  <r>
    <s v="TXN-1483"/>
    <d v="2023-08-20T00:00:00"/>
    <x v="2"/>
    <s v="Office Supplies"/>
    <x v="0"/>
    <n v="4"/>
    <x v="0"/>
    <n v="4"/>
    <n v="491.96"/>
    <n v="491.96"/>
    <n v="1967.84"/>
    <n v="1967.84"/>
    <s v="user_483@company.com"/>
    <x v="1"/>
    <s v="user_483@company.com"/>
  </r>
  <r>
    <s v="TXN-1484"/>
    <d v="1899-12-31T00:00:00"/>
    <x v="0"/>
    <s v="Electronics"/>
    <x v="1"/>
    <n v="1"/>
    <x v="1"/>
    <n v="1"/>
    <n v="337"/>
    <n v="337"/>
    <n v="337"/>
    <n v="337"/>
    <s v="user_484@company.com"/>
    <x v="2"/>
    <s v="user_484@company.com"/>
  </r>
  <r>
    <s v="TXN-1485"/>
    <d v="2023-02-09T00:00:00"/>
    <x v="3"/>
    <s v="Electronics"/>
    <x v="1"/>
    <n v="9"/>
    <x v="2"/>
    <n v="9"/>
    <n v="31.48"/>
    <n v="31.48"/>
    <n v="283.32"/>
    <n v="283.32"/>
    <s v="user_at_company"/>
    <x v="0"/>
    <s v="user@company"/>
  </r>
  <r>
    <s v="TXN-1486"/>
    <d v="2023-09-17T00:00:00"/>
    <x v="2"/>
    <s v="Office Supplies"/>
    <x v="0"/>
    <n v="4"/>
    <x v="0"/>
    <n v="4"/>
    <n v="170.04"/>
    <n v="170.04"/>
    <n v="680.16"/>
    <m/>
    <s v="user_486@company.com"/>
    <x v="4"/>
    <s v="user_486@company.com"/>
  </r>
  <r>
    <s v="TXN-1487"/>
    <d v="2023-10-11T00:00:00"/>
    <x v="3"/>
    <s v="Furniture"/>
    <x v="2"/>
    <n v="2"/>
    <x v="1"/>
    <n v="2"/>
    <n v="315.42"/>
    <n v="315.42"/>
    <n v="630.84"/>
    <n v="630.84"/>
    <s v="user_487@company.com"/>
    <x v="4"/>
    <s v="user_487@company.com"/>
  </r>
  <r>
    <s v="TXN-1488"/>
    <d v="1899-12-31T00:00:00"/>
    <x v="1"/>
    <s v="Office Supplies"/>
    <x v="0"/>
    <n v="4"/>
    <x v="0"/>
    <n v="4"/>
    <n v="-33.35"/>
    <n v="33.35"/>
    <n v="133.4"/>
    <n v="150.4"/>
    <s v="user_488@company.com"/>
    <x v="0"/>
    <s v="user_488@company.com"/>
  </r>
  <r>
    <s v="TXN-1489"/>
    <d v="2023-01-09T00:00:00"/>
    <x v="1"/>
    <s v="Electronics"/>
    <x v="1"/>
    <n v="3"/>
    <x v="1"/>
    <n v="3"/>
    <n v="21.7"/>
    <n v="21.7"/>
    <n v="65.099999999999994"/>
    <n v="65.099999999999994"/>
    <s v="user_489@company.com"/>
    <x v="1"/>
    <s v="user_489@company.com"/>
  </r>
  <r>
    <s v="TXN-1490"/>
    <d v="2023-08-19T00:00:00"/>
    <x v="1"/>
    <s v="Office Supplies"/>
    <x v="0"/>
    <n v="8"/>
    <x v="2"/>
    <n v="8"/>
    <n v="230.51"/>
    <n v="230.51"/>
    <n v="1844.08"/>
    <n v="1844.08"/>
    <m/>
    <x v="0"/>
    <s v="unknown@domain.com"/>
  </r>
  <r>
    <s v="TXN-1491"/>
    <d v="2023-06-25T00:00:00"/>
    <x v="1"/>
    <s v="Furniture"/>
    <x v="2"/>
    <n v="9"/>
    <x v="2"/>
    <n v="9"/>
    <n v="173.02"/>
    <n v="173.02"/>
    <n v="1557.18"/>
    <m/>
    <s v="user_491@company.com"/>
    <x v="0"/>
    <s v="user_491@company.com"/>
  </r>
  <r>
    <s v="TXN-1492"/>
    <d v="2023-03-30T00:00:00"/>
    <x v="1"/>
    <s v="Office Supplies"/>
    <x v="0"/>
    <n v="4"/>
    <x v="0"/>
    <n v="4"/>
    <n v="224.77"/>
    <n v="224.77"/>
    <n v="899.08"/>
    <n v="899.08"/>
    <s v="user_492@company.com"/>
    <x v="2"/>
    <s v="user_492@company.com"/>
  </r>
  <r>
    <s v="TXN-1493"/>
    <d v="2023-08-13T00:00:00"/>
    <x v="1"/>
    <s v="Electronics"/>
    <x v="1"/>
    <n v="4"/>
    <x v="0"/>
    <n v="4"/>
    <n v="138.72"/>
    <n v="138.72"/>
    <n v="554.88"/>
    <n v="554.88"/>
    <s v="user_493@company.com"/>
    <x v="3"/>
    <s v="user_493@company.com"/>
  </r>
  <r>
    <s v="TXN-1494"/>
    <d v="2023-09-11T00:00:00"/>
    <x v="3"/>
    <s v="Furniture "/>
    <x v="2"/>
    <n v="5"/>
    <x v="0"/>
    <n v="5"/>
    <n v="90.71"/>
    <n v="90.71"/>
    <n v="453.55"/>
    <n v="453.55"/>
    <s v="user_494@company.com"/>
    <x v="0"/>
    <s v="user_494@company.com"/>
  </r>
  <r>
    <s v="TXN-1495"/>
    <d v="2023-05-25T00:00:00"/>
    <x v="4"/>
    <s v="Office Supplies"/>
    <x v="0"/>
    <n v="11"/>
    <x v="2"/>
    <n v="11"/>
    <n v="347.68"/>
    <n v="347.68"/>
    <n v="3824.48"/>
    <n v="3824.48"/>
    <s v="user_495@company.com"/>
    <x v="0"/>
    <s v="user_495@company.com"/>
  </r>
  <r>
    <s v="TXN-1496"/>
    <d v="2023-06-23T00:00:00"/>
    <x v="2"/>
    <s v="Office Supplies"/>
    <x v="0"/>
    <n v="8"/>
    <x v="2"/>
    <n v="8"/>
    <n v="262.14"/>
    <n v="262.14"/>
    <n v="2097.12"/>
    <n v="2097.12"/>
    <s v="user_496@company.com"/>
    <x v="1"/>
    <s v="user_496@company.com"/>
  </r>
  <r>
    <s v="TXN-1497"/>
    <d v="2023-11-28T00:00:00"/>
    <x v="4"/>
    <s v="Office Supplies"/>
    <x v="0"/>
    <n v="6"/>
    <x v="0"/>
    <n v="6"/>
    <n v="108.08"/>
    <n v="108.08"/>
    <n v="648.48"/>
    <n v="648.48"/>
    <s v="user_497@company.com"/>
    <x v="2"/>
    <s v="user_497@company.com"/>
  </r>
  <r>
    <s v="TXN-1498"/>
    <d v="1899-12-31T00:00:00"/>
    <x v="2"/>
    <s v="Electronics"/>
    <x v="1"/>
    <n v="2"/>
    <x v="1"/>
    <n v="2"/>
    <n v="166.6"/>
    <n v="166.6"/>
    <n v="333.2"/>
    <n v="333.2"/>
    <s v="user_498@company.com"/>
    <x v="0"/>
    <s v="user_498@company.com"/>
  </r>
  <r>
    <s v="TXN-1499"/>
    <d v="1899-12-31T00:00:00"/>
    <x v="1"/>
    <s v="Electronics"/>
    <x v="1"/>
    <n v="8"/>
    <x v="2"/>
    <n v="8"/>
    <n v="299.99"/>
    <n v="299.99"/>
    <n v="2399.92"/>
    <n v="2399.92"/>
    <s v="user_499@company.com"/>
    <x v="4"/>
    <s v="user_499@company.com"/>
  </r>
  <r>
    <s v="TXN-1500"/>
    <d v="2023-05-26T00:00:00"/>
    <x v="4"/>
    <s v="Electronics"/>
    <x v="1"/>
    <n v="7"/>
    <x v="0"/>
    <n v="7"/>
    <n v="45.39"/>
    <n v="45.39"/>
    <n v="317.73"/>
    <m/>
    <s v="user_500@company.com"/>
    <x v="2"/>
    <s v="user_500@company.com"/>
  </r>
  <r>
    <s v="TXN-1501"/>
    <d v="2023-03-12T00:00:00"/>
    <x v="3"/>
    <s v="Electronics"/>
    <x v="1"/>
    <n v="6"/>
    <x v="0"/>
    <n v="6"/>
    <n v="82.25"/>
    <n v="82.25"/>
    <n v="493.5"/>
    <n v="493.5"/>
    <s v="user_501@company.com"/>
    <x v="3"/>
    <s v="user_501@company.com"/>
  </r>
  <r>
    <s v="TXN-1502"/>
    <d v="1899-12-31T00:00:00"/>
    <x v="3"/>
    <s v="Electronics"/>
    <x v="1"/>
    <n v="5"/>
    <x v="0"/>
    <n v="5"/>
    <n v="45.89"/>
    <n v="45.89"/>
    <n v="229.45"/>
    <n v="434.8"/>
    <s v="user_502@company.com"/>
    <x v="4"/>
    <s v="user_502@company.com"/>
  </r>
  <r>
    <s v="TXN-1503"/>
    <d v="2023-06-08T00:00:00"/>
    <x v="4"/>
    <s v="Electronics"/>
    <x v="1"/>
    <n v="3"/>
    <x v="1"/>
    <n v="3"/>
    <n v="408.04"/>
    <n v="408.04"/>
    <n v="1224.1199999999999"/>
    <n v="1224.1199999999999"/>
    <s v="user_503@company.com"/>
    <x v="1"/>
    <s v="user_503@company.com"/>
  </r>
  <r>
    <s v="TXN-1504"/>
    <d v="2023-12-29T00:00:00"/>
    <x v="1"/>
    <s v="Electronics"/>
    <x v="1"/>
    <n v="5"/>
    <x v="0"/>
    <n v="5"/>
    <n v="378.68"/>
    <n v="378.68"/>
    <n v="1893.4"/>
    <n v="1893.4"/>
    <s v="user_504@company.com"/>
    <x v="0"/>
    <s v="user_504@company.com"/>
  </r>
  <r>
    <s v="TXN-1505"/>
    <d v="2023-07-12T00:00:00"/>
    <x v="1"/>
    <s v="Furniture"/>
    <x v="2"/>
    <n v="3"/>
    <x v="1"/>
    <n v="3"/>
    <n v="379.12"/>
    <n v="379.12"/>
    <n v="1137.3599999999999"/>
    <n v="1137.3599999999999"/>
    <m/>
    <x v="1"/>
    <s v="unknown@domain.com"/>
  </r>
  <r>
    <s v="TXN-1506"/>
    <d v="2023-12-10T00:00:00"/>
    <x v="2"/>
    <s v="Electronics"/>
    <x v="1"/>
    <n v="3"/>
    <x v="1"/>
    <n v="3"/>
    <n v="-186.51"/>
    <n v="186.51"/>
    <n v="559.53"/>
    <n v="1083"/>
    <s v="user_506@company.com"/>
    <x v="0"/>
    <s v="user_506@company.com"/>
  </r>
  <r>
    <s v="TXN-1508"/>
    <d v="1899-12-31T00:00:00"/>
    <x v="1"/>
    <s v="Furniture"/>
    <x v="2"/>
    <n v="4"/>
    <x v="0"/>
    <n v="4"/>
    <n v="243.73"/>
    <n v="243.73"/>
    <n v="974.92"/>
    <n v="974.92"/>
    <s v="user_508@company.com"/>
    <x v="1"/>
    <s v="user_508@company.com"/>
  </r>
  <r>
    <s v="TXN-1509"/>
    <d v="2023-04-20T00:00:00"/>
    <x v="3"/>
    <s v="Electronics"/>
    <x v="1"/>
    <n v="4"/>
    <x v="0"/>
    <n v="4"/>
    <n v="324.72000000000003"/>
    <n v="324.72000000000003"/>
    <n v="1298.8800000000001"/>
    <n v="1298.8800000000001"/>
    <s v="user_509@company.com"/>
    <x v="2"/>
    <s v="user_509@company.com"/>
  </r>
  <r>
    <s v="TXN-1510"/>
    <d v="2023-06-09T00:00:00"/>
    <x v="2"/>
    <s v="Electronics"/>
    <x v="1"/>
    <n v="6"/>
    <x v="0"/>
    <n v="6"/>
    <n v="28.8"/>
    <n v="28.8"/>
    <n v="172.8"/>
    <n v="172.8"/>
    <s v="user_510@company.com"/>
    <x v="0"/>
    <s v="user_510@company.com"/>
  </r>
  <r>
    <s v="TXN-1511"/>
    <d v="2023-12-03T00:00:00"/>
    <x v="1"/>
    <s v="Office Supplies"/>
    <x v="0"/>
    <n v="6"/>
    <x v="0"/>
    <n v="6"/>
    <n v="314.52"/>
    <n v="314.52"/>
    <n v="1887.12"/>
    <n v="1887.12"/>
    <s v="user_511@company.com"/>
    <x v="2"/>
    <s v="user_511@company.com"/>
  </r>
  <r>
    <s v="TXN-1512"/>
    <d v="1899-12-31T00:00:00"/>
    <x v="1"/>
    <s v="Office Supplies"/>
    <x v="0"/>
    <m/>
    <x v="1"/>
    <n v="3"/>
    <n v="391.16"/>
    <n v="391.16"/>
    <n v="1173.48"/>
    <n v="1173.48"/>
    <s v="user_at_company"/>
    <x v="0"/>
    <s v="user@company"/>
  </r>
  <r>
    <s v="TXN-1513"/>
    <d v="2023-02-21T00:00:00"/>
    <x v="0"/>
    <s v="Furniture "/>
    <x v="2"/>
    <n v="4"/>
    <x v="0"/>
    <n v="4"/>
    <n v="255.18"/>
    <n v="255.18"/>
    <n v="1020.72"/>
    <n v="1020.72"/>
    <s v="user_513@company.com"/>
    <x v="2"/>
    <s v="user_513@company.com"/>
  </r>
  <r>
    <s v="TXN-1514"/>
    <d v="1899-12-31T00:00:00"/>
    <x v="3"/>
    <s v="Electronics"/>
    <x v="1"/>
    <n v="6"/>
    <x v="0"/>
    <n v="6"/>
    <n v="185.18"/>
    <n v="185.18"/>
    <n v="1111.08"/>
    <n v="1111.08"/>
    <s v="user_514@company.com"/>
    <x v="4"/>
    <s v="user_514@company.com"/>
  </r>
  <r>
    <s v="TXN-1515"/>
    <d v="1899-12-31T00:00:00"/>
    <x v="1"/>
    <s v="Office Supplies"/>
    <x v="0"/>
    <n v="6"/>
    <x v="0"/>
    <n v="6"/>
    <n v="145.94"/>
    <n v="145.94"/>
    <n v="875.64"/>
    <n v="1327"/>
    <s v="user_515@company.com"/>
    <x v="1"/>
    <s v="user_515@company.com"/>
  </r>
  <r>
    <s v="TXN-1516"/>
    <d v="1899-12-31T00:00:00"/>
    <x v="2"/>
    <s v="Furniture"/>
    <x v="2"/>
    <n v="6"/>
    <x v="0"/>
    <n v="6"/>
    <n v="324.97000000000003"/>
    <n v="324.97000000000003"/>
    <n v="1949.82"/>
    <n v="1949.82"/>
    <s v="user_516@company.com"/>
    <x v="0"/>
    <s v="user_516@company.com"/>
  </r>
  <r>
    <s v="TXN-1517"/>
    <d v="2023-01-23T00:00:00"/>
    <x v="4"/>
    <s v="Electronics"/>
    <x v="1"/>
    <n v="6"/>
    <x v="0"/>
    <n v="6"/>
    <n v="349.47"/>
    <n v="349.47"/>
    <n v="2096.8200000000002"/>
    <n v="2550.9"/>
    <s v="user_517@company.com"/>
    <x v="1"/>
    <s v="user_517@company.com"/>
  </r>
  <r>
    <s v="TXN-1518"/>
    <d v="2023-05-02T00:00:00"/>
    <x v="4"/>
    <s v="Electronics"/>
    <x v="1"/>
    <n v="3"/>
    <x v="1"/>
    <n v="3"/>
    <n v="436.77"/>
    <n v="436.77"/>
    <n v="1310.31"/>
    <n v="1310.31"/>
    <m/>
    <x v="1"/>
    <s v="unknown@domain.com"/>
  </r>
  <r>
    <s v="TXN-1519"/>
    <d v="1899-12-31T00:00:00"/>
    <x v="0"/>
    <s v="Furniture"/>
    <x v="2"/>
    <n v="5"/>
    <x v="0"/>
    <n v="5"/>
    <n v="177.74"/>
    <n v="177.74"/>
    <n v="888.7"/>
    <n v="888.7"/>
    <s v="user_519@company.com"/>
    <x v="0"/>
    <s v="user_519@company.com"/>
  </r>
  <r>
    <s v="TXN-1520"/>
    <d v="2023-06-08T00:00:00"/>
    <x v="3"/>
    <s v="Office Supplies"/>
    <x v="0"/>
    <n v="2"/>
    <x v="1"/>
    <n v="2"/>
    <n v="387.19"/>
    <n v="387.19"/>
    <n v="774.38"/>
    <n v="774.38"/>
    <s v="user_520@company.com"/>
    <x v="1"/>
    <s v="user_520@company.com"/>
  </r>
  <r>
    <s v="TXN-1521"/>
    <d v="2023-04-10T00:00:00"/>
    <x v="2"/>
    <s v="Electronics"/>
    <x v="1"/>
    <n v="5"/>
    <x v="0"/>
    <n v="5"/>
    <n v="285.06"/>
    <n v="285.06"/>
    <n v="1425.3"/>
    <n v="1425.3"/>
    <s v="user_521@company.com"/>
    <x v="4"/>
    <s v="user_521@company.com"/>
  </r>
  <r>
    <s v="TXN-1522"/>
    <d v="2023-10-20T00:00:00"/>
    <x v="2"/>
    <s v="Office Supplies"/>
    <x v="0"/>
    <n v="3"/>
    <x v="1"/>
    <n v="3"/>
    <n v="442.59"/>
    <n v="442.59"/>
    <n v="1327.77"/>
    <n v="1327.77"/>
    <s v="user_522@company.com"/>
    <x v="1"/>
    <s v="user_522@company.com"/>
  </r>
  <r>
    <s v="TXN-1523"/>
    <d v="2023-05-25T00:00:00"/>
    <x v="4"/>
    <s v="Electronics"/>
    <x v="1"/>
    <n v="3"/>
    <x v="1"/>
    <n v="3"/>
    <n v="-171.95"/>
    <n v="171.95"/>
    <n v="515.85"/>
    <n v="805.89"/>
    <s v="user_523@company.com"/>
    <x v="2"/>
    <s v="user_523@company.com"/>
  </r>
  <r>
    <s v="TXN-1524"/>
    <d v="2023-03-08T00:00:00"/>
    <x v="1"/>
    <s v="Office Supplies"/>
    <x v="0"/>
    <n v="5"/>
    <x v="0"/>
    <n v="5"/>
    <n v="263.64"/>
    <n v="263.64"/>
    <n v="1318.2"/>
    <n v="1318.2"/>
    <s v="user_524@company.com"/>
    <x v="1"/>
    <s v="user_524@company.com"/>
  </r>
  <r>
    <s v="TXN-1525"/>
    <d v="2023-06-11T00:00:00"/>
    <x v="3"/>
    <s v="Office Supplies"/>
    <x v="0"/>
    <n v="11"/>
    <x v="2"/>
    <n v="11"/>
    <n v="293.16000000000003"/>
    <n v="293.16000000000003"/>
    <n v="3224.76"/>
    <n v="3224.76"/>
    <s v="user_525@company.com"/>
    <x v="0"/>
    <s v="user_525@company.com"/>
  </r>
  <r>
    <s v="TXN-1526"/>
    <d v="2023-01-27T00:00:00"/>
    <x v="0"/>
    <s v="Office Supplies"/>
    <x v="0"/>
    <n v="7"/>
    <x v="0"/>
    <n v="7"/>
    <n v="377.16"/>
    <n v="377.16"/>
    <n v="2640.12"/>
    <n v="2640.12"/>
    <s v="user_526@company.com"/>
    <x v="4"/>
    <s v="user_526@company.com"/>
  </r>
  <r>
    <s v="TXN-1527"/>
    <d v="2023-10-11T00:00:00"/>
    <x v="2"/>
    <s v="Electronics"/>
    <x v="1"/>
    <n v="9999"/>
    <x v="0"/>
    <n v="5"/>
    <n v="482.7"/>
    <n v="482.7"/>
    <n v="2413.5"/>
    <n v="3378.9"/>
    <s v="user_527@company.com"/>
    <x v="0"/>
    <s v="user_527@company.com"/>
  </r>
  <r>
    <s v="TXN-1528"/>
    <d v="2023-09-22T00:00:00"/>
    <x v="3"/>
    <s v="Furniture "/>
    <x v="2"/>
    <n v="4"/>
    <x v="0"/>
    <n v="4"/>
    <n v="46.05"/>
    <n v="46.05"/>
    <n v="184.2"/>
    <n v="184.2"/>
    <s v="user_528@company.com"/>
    <x v="0"/>
    <s v="user_528@company.com"/>
  </r>
  <r>
    <s v="TXN-1529"/>
    <d v="2023-03-24T00:00:00"/>
    <x v="3"/>
    <s v="Electronics"/>
    <x v="1"/>
    <n v="1"/>
    <x v="1"/>
    <n v="1"/>
    <n v="36.18"/>
    <n v="36.18"/>
    <n v="36.18"/>
    <n v="36.18"/>
    <s v="user_529@company.com"/>
    <x v="0"/>
    <s v="user_529@company.com"/>
  </r>
  <r>
    <s v="TXN-1530"/>
    <d v="1899-12-31T00:00:00"/>
    <x v="1"/>
    <s v="Electronics"/>
    <x v="1"/>
    <n v="4"/>
    <x v="0"/>
    <n v="4"/>
    <n v="469.4"/>
    <n v="469.4"/>
    <n v="1877.6"/>
    <m/>
    <s v="user_530@company.com"/>
    <x v="2"/>
    <s v="user_530@company.com"/>
  </r>
  <r>
    <s v="TXN-1531"/>
    <d v="1899-12-31T00:00:00"/>
    <x v="2"/>
    <s v="Furniture "/>
    <x v="2"/>
    <n v="5"/>
    <x v="0"/>
    <n v="5"/>
    <n v="269.64"/>
    <n v="269.64"/>
    <n v="1348.2"/>
    <n v="1348.2"/>
    <s v="user_531@company.com"/>
    <x v="0"/>
    <s v="user_531@company.com"/>
  </r>
  <r>
    <s v="TXN-1532"/>
    <d v="2023-06-28T00:00:00"/>
    <x v="4"/>
    <s v="Electronics"/>
    <x v="1"/>
    <n v="4"/>
    <x v="0"/>
    <n v="4"/>
    <n v="311.3"/>
    <n v="311.3"/>
    <n v="1245.2"/>
    <n v="1245.2"/>
    <s v="user_532@company.com"/>
    <x v="1"/>
    <s v="user_532@company.com"/>
  </r>
  <r>
    <s v="TXN-1533"/>
    <d v="2023-07-22T00:00:00"/>
    <x v="1"/>
    <s v="Furniture"/>
    <x v="2"/>
    <n v="4"/>
    <x v="0"/>
    <n v="4"/>
    <n v="246.39"/>
    <n v="246.39"/>
    <n v="985.56"/>
    <n v="985.56"/>
    <s v="user_533@company.com"/>
    <x v="4"/>
    <s v="user_533@company.com"/>
  </r>
  <r>
    <s v="TXN-1534"/>
    <d v="2023-02-11T00:00:00"/>
    <x v="1"/>
    <s v="Electronics"/>
    <x v="1"/>
    <n v="7"/>
    <x v="0"/>
    <n v="7"/>
    <n v="55.89"/>
    <n v="55.89"/>
    <n v="391.23"/>
    <n v="391.23"/>
    <s v="user_534@company.com"/>
    <x v="2"/>
    <s v="user_534@company.com"/>
  </r>
  <r>
    <s v="TXN-1535"/>
    <d v="2023-06-13T00:00:00"/>
    <x v="1"/>
    <s v="Electronics"/>
    <x v="1"/>
    <n v="6"/>
    <x v="0"/>
    <n v="6"/>
    <n v="386.36"/>
    <n v="386.36"/>
    <n v="2318.16"/>
    <n v="2760.47"/>
    <s v="user_535@company.com"/>
    <x v="2"/>
    <s v="user_535@company.com"/>
  </r>
  <r>
    <s v="TXN-1536"/>
    <d v="2023-11-29T00:00:00"/>
    <x v="2"/>
    <s v="Furniture"/>
    <x v="2"/>
    <n v="9999"/>
    <x v="0"/>
    <n v="5"/>
    <n v="376.14"/>
    <n v="376.14"/>
    <n v="1880.7"/>
    <n v="3009.12"/>
    <s v="user_536@company.com"/>
    <x v="0"/>
    <s v="user_536@company.com"/>
  </r>
  <r>
    <s v="TXN-1537"/>
    <d v="2023-03-12T00:00:00"/>
    <x v="2"/>
    <s v="Office Supplies"/>
    <x v="0"/>
    <n v="4"/>
    <x v="0"/>
    <n v="4"/>
    <n v="162.72999999999999"/>
    <n v="162.72999999999999"/>
    <n v="650.91999999999996"/>
    <n v="650.91999999999996"/>
    <s v="user_537@company.com"/>
    <x v="4"/>
    <s v="user_537@company.com"/>
  </r>
  <r>
    <s v="TXN-1538"/>
    <d v="1899-12-31T00:00:00"/>
    <x v="2"/>
    <s v="Furniture"/>
    <x v="2"/>
    <m/>
    <x v="1"/>
    <n v="3"/>
    <n v="160.06"/>
    <n v="160.06"/>
    <n v="480.18"/>
    <n v="480.18"/>
    <s v="user_538@company.com"/>
    <x v="2"/>
    <s v="user_538@company.com"/>
  </r>
  <r>
    <s v="TXN-1539"/>
    <d v="2023-08-29T00:00:00"/>
    <x v="1"/>
    <s v="Furniture"/>
    <x v="2"/>
    <n v="0"/>
    <x v="3"/>
    <n v="0"/>
    <n v="420.54"/>
    <n v="420.54"/>
    <n v="0"/>
    <n v="0"/>
    <s v="user_539@company.com"/>
    <x v="4"/>
    <s v="user_539@company.com"/>
  </r>
  <r>
    <s v="TXN-1541"/>
    <d v="2023-03-18T00:00:00"/>
    <x v="2"/>
    <s v="Electronics"/>
    <x v="1"/>
    <n v="1"/>
    <x v="1"/>
    <n v="1"/>
    <m/>
    <n v="0"/>
    <n v="0"/>
    <n v="441.74"/>
    <s v="user_541@company.com"/>
    <x v="4"/>
    <s v="user_541@company.com"/>
  </r>
  <r>
    <s v="TXN-1542"/>
    <d v="1899-12-31T00:00:00"/>
    <x v="3"/>
    <s v="Office Supplies"/>
    <x v="0"/>
    <n v="4"/>
    <x v="0"/>
    <n v="4"/>
    <n v="135.76"/>
    <n v="135.76"/>
    <n v="543.04"/>
    <n v="543.04"/>
    <s v="user_542@company.com"/>
    <x v="3"/>
    <s v="user_542@company.com"/>
  </r>
  <r>
    <s v="TXN-1543"/>
    <d v="1899-12-31T00:00:00"/>
    <x v="0"/>
    <s v="Electronics"/>
    <x v="1"/>
    <n v="3"/>
    <x v="1"/>
    <n v="3"/>
    <n v="300.56"/>
    <n v="300.56"/>
    <n v="901.68"/>
    <n v="901.68"/>
    <s v="user_543@company.com"/>
    <x v="3"/>
    <s v="user_543@company.com"/>
  </r>
  <r>
    <s v="TXN-1544"/>
    <d v="2023-11-15T00:00:00"/>
    <x v="3"/>
    <s v="Office Supplies"/>
    <x v="0"/>
    <n v="5"/>
    <x v="0"/>
    <n v="5"/>
    <n v="468.64"/>
    <n v="468.64"/>
    <n v="2343.1999999999998"/>
    <n v="2343.1999999999998"/>
    <s v="user_544@company.com"/>
    <x v="4"/>
    <s v="user_544@company.com"/>
  </r>
  <r>
    <s v="TXN-1545"/>
    <d v="1899-12-31T00:00:00"/>
    <x v="0"/>
    <s v="Office Supplies"/>
    <x v="0"/>
    <n v="6"/>
    <x v="0"/>
    <n v="6"/>
    <n v="342.28"/>
    <n v="342.28"/>
    <n v="2053.6799999999998"/>
    <n v="2053.6799999999998"/>
    <s v="user_545@company.com"/>
    <x v="0"/>
    <s v="user_545@company.com"/>
  </r>
  <r>
    <s v="TXN-1546"/>
    <d v="2023-09-13T00:00:00"/>
    <x v="1"/>
    <s v="Office Supplies"/>
    <x v="0"/>
    <n v="6"/>
    <x v="0"/>
    <n v="6"/>
    <n v="213.07"/>
    <n v="213.07"/>
    <n v="1278.42"/>
    <n v="1278.42"/>
    <s v="user_546@company.com"/>
    <x v="2"/>
    <s v="user_546@company.com"/>
  </r>
  <r>
    <s v="TXN-1548"/>
    <d v="2023-05-30T00:00:00"/>
    <x v="0"/>
    <s v="Electronics"/>
    <x v="1"/>
    <n v="4"/>
    <x v="0"/>
    <n v="4"/>
    <m/>
    <n v="0"/>
    <n v="0"/>
    <n v="714.2"/>
    <s v="user_548@company.com"/>
    <x v="0"/>
    <s v="user_548@company.com"/>
  </r>
  <r>
    <s v="TXN-1549"/>
    <d v="1899-12-31T00:00:00"/>
    <x v="2"/>
    <s v="Electronics"/>
    <x v="1"/>
    <n v="5"/>
    <x v="0"/>
    <n v="5"/>
    <n v="145.86000000000001"/>
    <n v="145.86000000000001"/>
    <n v="729.3"/>
    <n v="729.3"/>
    <s v="user_549@company.com"/>
    <x v="2"/>
    <s v="user_549@company.com"/>
  </r>
  <r>
    <s v="TXN-1550"/>
    <d v="2023-10-20T00:00:00"/>
    <x v="3"/>
    <s v="Office Supplies"/>
    <x v="0"/>
    <n v="1"/>
    <x v="1"/>
    <n v="1"/>
    <n v="498.37"/>
    <n v="498.37"/>
    <n v="498.37"/>
    <n v="498.37"/>
    <s v="user_550@company.com"/>
    <x v="1"/>
    <s v="user_550@company.com"/>
  </r>
  <r>
    <s v="TXN-1551"/>
    <d v="2023-12-09T00:00:00"/>
    <x v="3"/>
    <s v="Office Supplies"/>
    <x v="0"/>
    <n v="9"/>
    <x v="2"/>
    <n v="9"/>
    <n v="377.89"/>
    <n v="377.89"/>
    <n v="3401.01"/>
    <n v="3401.01"/>
    <s v="user_551@company.com"/>
    <x v="2"/>
    <s v="user_551@company.com"/>
  </r>
  <r>
    <s v="TXN-1552"/>
    <d v="2023-07-04T00:00:00"/>
    <x v="0"/>
    <s v="Electronics"/>
    <x v="1"/>
    <n v="7"/>
    <x v="0"/>
    <n v="7"/>
    <n v="325.91000000000003"/>
    <n v="325.91000000000003"/>
    <n v="2281.37"/>
    <n v="2281.37"/>
    <s v="invalid_email_at_gmail.com"/>
    <x v="2"/>
    <s v="invalid_email@gmail.com"/>
  </r>
  <r>
    <s v="TXN-1553"/>
    <d v="2023-10-06T00:00:00"/>
    <x v="1"/>
    <s v="Office Supplies"/>
    <x v="0"/>
    <n v="5"/>
    <x v="0"/>
    <n v="5"/>
    <n v="184.09"/>
    <n v="184.09"/>
    <n v="920.45"/>
    <n v="920.45"/>
    <s v="user_553@company.com"/>
    <x v="0"/>
    <s v="user_553@company.com"/>
  </r>
  <r>
    <s v="TXN-1554"/>
    <d v="2023-08-29T00:00:00"/>
    <x v="2"/>
    <s v="Office Supplies"/>
    <x v="0"/>
    <n v="4"/>
    <x v="0"/>
    <n v="4"/>
    <n v="34.090000000000003"/>
    <n v="34.090000000000003"/>
    <n v="136.36000000000001"/>
    <n v="136.36000000000001"/>
    <s v="user_554@company.com"/>
    <x v="0"/>
    <s v="user_554@company.com"/>
  </r>
  <r>
    <s v="TXN-1555"/>
    <d v="2023-07-11T00:00:00"/>
    <x v="2"/>
    <s v="Office Supplies"/>
    <x v="0"/>
    <n v="5"/>
    <x v="0"/>
    <n v="5"/>
    <n v="25.22"/>
    <n v="25.22"/>
    <n v="126.1"/>
    <n v="335"/>
    <s v="invalid_email_at_gmail.com"/>
    <x v="4"/>
    <s v="invalid_email@gmail.com"/>
  </r>
  <r>
    <s v="TXN-1556"/>
    <d v="2023-07-02T00:00:00"/>
    <x v="4"/>
    <s v="Office Supplies"/>
    <x v="0"/>
    <n v="4"/>
    <x v="0"/>
    <n v="4"/>
    <n v="281.55"/>
    <n v="281.55"/>
    <n v="1126.2"/>
    <n v="1126.2"/>
    <s v="user_556@company.com"/>
    <x v="0"/>
    <s v="user_556@company.com"/>
  </r>
  <r>
    <s v="TXN-1558"/>
    <d v="1899-12-31T00:00:00"/>
    <x v="1"/>
    <s v="Office Supplies"/>
    <x v="0"/>
    <n v="3"/>
    <x v="1"/>
    <n v="3"/>
    <n v="273.32"/>
    <n v="273.32"/>
    <n v="819.96"/>
    <m/>
    <s v="user_558@company.com"/>
    <x v="3"/>
    <s v="user_558@company.com"/>
  </r>
  <r>
    <s v="TXN-1559"/>
    <d v="1899-12-31T00:00:00"/>
    <x v="2"/>
    <s v="Office Supplies"/>
    <x v="0"/>
    <n v="7"/>
    <x v="0"/>
    <n v="7"/>
    <n v="421.98"/>
    <n v="421.98"/>
    <n v="2953.86"/>
    <n v="2953.86"/>
    <s v="user_559@company.com"/>
    <x v="0"/>
    <s v="user_559@company.com"/>
  </r>
  <r>
    <s v="TXN-1560"/>
    <d v="1899-12-31T00:00:00"/>
    <x v="2"/>
    <s v="Office Supplies"/>
    <x v="0"/>
    <n v="6"/>
    <x v="0"/>
    <n v="6"/>
    <n v="26.38"/>
    <n v="26.38"/>
    <n v="158.28"/>
    <n v="158.28"/>
    <s v="user_560@company.com"/>
    <x v="2"/>
    <s v="user_560@company.com"/>
  </r>
  <r>
    <s v="TXN-1561"/>
    <d v="2023-12-17T00:00:00"/>
    <x v="3"/>
    <s v="Furniture"/>
    <x v="2"/>
    <n v="10"/>
    <x v="2"/>
    <n v="10"/>
    <n v="189.71"/>
    <n v="189.71"/>
    <n v="1897.1"/>
    <n v="1897.1"/>
    <s v="user_561@company.com"/>
    <x v="4"/>
    <s v="user_561@company.com"/>
  </r>
  <r>
    <s v="TXN-1562"/>
    <d v="2023-03-09T00:00:00"/>
    <x v="1"/>
    <s v="Furniture"/>
    <x v="2"/>
    <n v="4"/>
    <x v="0"/>
    <n v="4"/>
    <n v="126.16"/>
    <n v="126.16"/>
    <n v="504.64"/>
    <n v="504.64"/>
    <s v="invalid_email_at_gmail.com"/>
    <x v="0"/>
    <s v="invalid_email@gmail.com"/>
  </r>
  <r>
    <s v="TXN-1563"/>
    <d v="2023-02-02T00:00:00"/>
    <x v="2"/>
    <s v="Office Supplies"/>
    <x v="0"/>
    <n v="5"/>
    <x v="0"/>
    <n v="5"/>
    <n v="229.16"/>
    <n v="229.16"/>
    <n v="1145.8"/>
    <n v="1145.8"/>
    <s v="user_563@company.com"/>
    <x v="4"/>
    <s v="user_563@company.com"/>
  </r>
  <r>
    <s v="TXN-1564"/>
    <d v="1899-12-31T00:00:00"/>
    <x v="1"/>
    <s v="Furniture "/>
    <x v="2"/>
    <n v="6"/>
    <x v="0"/>
    <n v="6"/>
    <n v="-115.65"/>
    <n v="115.65"/>
    <n v="693.9"/>
    <n v="272.76"/>
    <s v="user_564@company.com"/>
    <x v="4"/>
    <s v="user_564@company.com"/>
  </r>
  <r>
    <s v="TXN-1565"/>
    <d v="2023-04-13T00:00:00"/>
    <x v="1"/>
    <s v="Office Supplies"/>
    <x v="0"/>
    <n v="6"/>
    <x v="0"/>
    <n v="6"/>
    <n v="477.52"/>
    <n v="477.52"/>
    <n v="2865.12"/>
    <n v="2865.12"/>
    <s v="invalid_email_at_gmail.com"/>
    <x v="2"/>
    <s v="invalid_email@gmail.com"/>
  </r>
  <r>
    <s v="TXN-1566"/>
    <d v="2023-06-08T00:00:00"/>
    <x v="3"/>
    <s v="Office Supplies"/>
    <x v="0"/>
    <n v="8"/>
    <x v="2"/>
    <n v="8"/>
    <n v="119.4"/>
    <n v="119.4"/>
    <n v="955.2"/>
    <n v="955.2"/>
    <s v="user_566@company.com"/>
    <x v="2"/>
    <s v="user_566@company.com"/>
  </r>
  <r>
    <s v="TXN-1567"/>
    <d v="2023-10-06T00:00:00"/>
    <x v="3"/>
    <s v="Office Supplies"/>
    <x v="0"/>
    <n v="4"/>
    <x v="0"/>
    <n v="4"/>
    <n v="461.93"/>
    <n v="461.93"/>
    <n v="1847.72"/>
    <n v="2040.2"/>
    <s v="user_567@company.com"/>
    <x v="4"/>
    <s v="user_567@company.com"/>
  </r>
  <r>
    <s v="TXN-1568"/>
    <d v="1899-12-31T00:00:00"/>
    <x v="1"/>
    <s v="Office Supplies"/>
    <x v="0"/>
    <n v="3"/>
    <x v="1"/>
    <n v="3"/>
    <n v="218.69"/>
    <n v="218.69"/>
    <n v="656.07"/>
    <n v="656.07"/>
    <s v="user_568@company.com"/>
    <x v="0"/>
    <s v="user_568@company.com"/>
  </r>
  <r>
    <s v="TXN-1569"/>
    <d v="2023-01-25T00:00:00"/>
    <x v="2"/>
    <s v="Electronics"/>
    <x v="1"/>
    <n v="3"/>
    <x v="1"/>
    <n v="3"/>
    <n v="492.91"/>
    <n v="492.91"/>
    <n v="1478.73"/>
    <n v="1478.73"/>
    <s v="user_569@company.com"/>
    <x v="2"/>
    <s v="user_569@company.com"/>
  </r>
  <r>
    <s v="TXN-1570"/>
    <d v="2023-07-08T00:00:00"/>
    <x v="2"/>
    <s v="Electronics"/>
    <x v="1"/>
    <n v="9"/>
    <x v="2"/>
    <n v="9"/>
    <n v="281.49"/>
    <n v="281.49"/>
    <n v="2533.41"/>
    <n v="2533.41"/>
    <s v="user_570@company.com"/>
    <x v="2"/>
    <s v="user_570@company.com"/>
  </r>
  <r>
    <s v="TXN-1571"/>
    <d v="2023-08-14T00:00:00"/>
    <x v="1"/>
    <s v="Furniture "/>
    <x v="2"/>
    <n v="7"/>
    <x v="0"/>
    <n v="7"/>
    <n v="466.11"/>
    <n v="466.11"/>
    <n v="3262.77"/>
    <n v="3262.77"/>
    <s v="user_571@company.com"/>
    <x v="0"/>
    <s v="user_571@company.com"/>
  </r>
  <r>
    <s v="TXN-1572"/>
    <d v="2023-04-06T00:00:00"/>
    <x v="1"/>
    <s v="Electronics"/>
    <x v="1"/>
    <n v="9999"/>
    <x v="0"/>
    <n v="5"/>
    <n v="12.62"/>
    <n v="12.62"/>
    <n v="63.1"/>
    <n v="217.86"/>
    <s v="user_572@company.com"/>
    <x v="4"/>
    <s v="user_572@company.com"/>
  </r>
  <r>
    <s v="TXN-1573"/>
    <d v="2023-07-08T00:00:00"/>
    <x v="4"/>
    <s v="Electronics"/>
    <x v="1"/>
    <n v="2"/>
    <x v="1"/>
    <n v="2"/>
    <n v="376.64"/>
    <n v="376.64"/>
    <n v="753.28"/>
    <n v="753.28"/>
    <s v="user_573@company.com"/>
    <x v="0"/>
    <s v="user_573@company.com"/>
  </r>
  <r>
    <s v="TXN-1574"/>
    <d v="2023-08-06T00:00:00"/>
    <x v="4"/>
    <s v="Furniture "/>
    <x v="2"/>
    <n v="4"/>
    <x v="0"/>
    <n v="4"/>
    <n v="-67.11"/>
    <n v="67.11"/>
    <n v="268.44"/>
    <n v="1809.96"/>
    <s v="user_574@company.com"/>
    <x v="0"/>
    <s v="user_574@company.com"/>
  </r>
  <r>
    <s v="TXN-1575"/>
    <d v="2023-04-03T00:00:00"/>
    <x v="0"/>
    <s v="Electronics"/>
    <x v="1"/>
    <n v="6"/>
    <x v="0"/>
    <n v="6"/>
    <n v="78.459999999999994"/>
    <n v="78.459999999999994"/>
    <n v="470.76"/>
    <n v="470.76"/>
    <s v="user_575@company.com"/>
    <x v="2"/>
    <s v="user_575@company.com"/>
  </r>
  <r>
    <s v="TXN-1576"/>
    <d v="2023-02-10T00:00:00"/>
    <x v="2"/>
    <s v="Furniture "/>
    <x v="2"/>
    <n v="9"/>
    <x v="2"/>
    <n v="9"/>
    <n v="57.1"/>
    <n v="57.1"/>
    <n v="513.9"/>
    <n v="513.9"/>
    <s v="user_576@company.com"/>
    <x v="3"/>
    <s v="user_576@company.com"/>
  </r>
  <r>
    <s v="TXN-1577"/>
    <d v="2023-06-06T00:00:00"/>
    <x v="2"/>
    <s v="Furniture"/>
    <x v="2"/>
    <n v="11"/>
    <x v="2"/>
    <n v="11"/>
    <n v="218.04"/>
    <n v="218.04"/>
    <n v="2398.44"/>
    <n v="2398.44"/>
    <s v="user_577@company.com"/>
    <x v="0"/>
    <s v="user_577@company.com"/>
  </r>
  <r>
    <s v="TXN-1578"/>
    <d v="2023-07-08T00:00:00"/>
    <x v="0"/>
    <s v="Furniture"/>
    <x v="2"/>
    <n v="4"/>
    <x v="0"/>
    <n v="4"/>
    <n v="467.5"/>
    <n v="467.5"/>
    <n v="1870"/>
    <n v="1870"/>
    <s v="user_578@company.com"/>
    <x v="2"/>
    <s v="user_578@company.com"/>
  </r>
  <r>
    <s v="TXN-1579"/>
    <d v="2023-06-29T00:00:00"/>
    <x v="2"/>
    <s v="Office Supplies"/>
    <x v="0"/>
    <n v="7"/>
    <x v="0"/>
    <n v="7"/>
    <n v="275.77"/>
    <n v="275.77"/>
    <n v="1930.39"/>
    <n v="1930.39"/>
    <s v="user_579@company.com"/>
    <x v="4"/>
    <s v="user_579@company.com"/>
  </r>
  <r>
    <s v="TXN-1580"/>
    <d v="1899-12-31T00:00:00"/>
    <x v="3"/>
    <s v="Electronics"/>
    <x v="1"/>
    <n v="7"/>
    <x v="0"/>
    <n v="7"/>
    <n v="268.45"/>
    <n v="268.45"/>
    <n v="1879.15"/>
    <n v="1879.15"/>
    <s v="invalid_email_at_gmail.com"/>
    <x v="0"/>
    <s v="invalid_email@gmail.com"/>
  </r>
  <r>
    <s v="TXN-1581"/>
    <d v="2023-06-30T00:00:00"/>
    <x v="3"/>
    <s v="Furniture "/>
    <x v="2"/>
    <n v="3"/>
    <x v="1"/>
    <n v="3"/>
    <n v="79.150000000000006"/>
    <n v="79.150000000000006"/>
    <n v="237.45"/>
    <n v="237.45"/>
    <s v="invalid_email_at_gmail.com"/>
    <x v="0"/>
    <s v="invalid_email@gmail.com"/>
  </r>
  <r>
    <s v="TXN-1582"/>
    <d v="2023-01-30T00:00:00"/>
    <x v="1"/>
    <s v="Electronics"/>
    <x v="1"/>
    <n v="7"/>
    <x v="0"/>
    <n v="7"/>
    <n v="10.39"/>
    <n v="10.39"/>
    <n v="72.73"/>
    <n v="72.73"/>
    <s v="user_582@company.com"/>
    <x v="1"/>
    <s v="user_582@company.com"/>
  </r>
  <r>
    <s v="TXN-1583"/>
    <d v="2023-07-27T00:00:00"/>
    <x v="0"/>
    <s v="Electronics"/>
    <x v="1"/>
    <n v="5"/>
    <x v="0"/>
    <n v="5"/>
    <n v="406.97"/>
    <n v="406.97"/>
    <n v="2034.85"/>
    <n v="2034.85"/>
    <s v="user_583@company.com"/>
    <x v="2"/>
    <s v="user_583@company.com"/>
  </r>
  <r>
    <s v="TXN-1584"/>
    <d v="1899-12-31T00:00:00"/>
    <x v="2"/>
    <s v="Electronics"/>
    <x v="1"/>
    <n v="2"/>
    <x v="1"/>
    <n v="2"/>
    <n v="52.91"/>
    <n v="52.91"/>
    <n v="105.82"/>
    <n v="488.14"/>
    <s v="user_584@company.com"/>
    <x v="1"/>
    <s v="user_584@company.com"/>
  </r>
  <r>
    <s v="TXN-1585"/>
    <d v="2023-03-15T00:00:00"/>
    <x v="3"/>
    <s v="Office Supplies"/>
    <x v="0"/>
    <n v="9"/>
    <x v="2"/>
    <n v="9"/>
    <n v="320.58999999999997"/>
    <n v="320.58999999999997"/>
    <n v="2885.31"/>
    <n v="2885.31"/>
    <s v="user_585@company.com"/>
    <x v="0"/>
    <s v="user_585@company.com"/>
  </r>
  <r>
    <s v="TXN-1586"/>
    <d v="1899-12-31T00:00:00"/>
    <x v="2"/>
    <s v="Office Supplies"/>
    <x v="0"/>
    <m/>
    <x v="0"/>
    <n v="6"/>
    <n v="458.16"/>
    <n v="458.16"/>
    <n v="2748.96"/>
    <n v="2748.96"/>
    <s v="user_586@company.com"/>
    <x v="3"/>
    <s v="user_586@company.com"/>
  </r>
  <r>
    <s v="TXN-1587"/>
    <d v="1899-12-31T00:00:00"/>
    <x v="4"/>
    <s v="Electronics"/>
    <x v="1"/>
    <n v="3"/>
    <x v="1"/>
    <n v="3"/>
    <n v="112.24"/>
    <n v="112.24"/>
    <n v="336.72"/>
    <n v="336.72"/>
    <s v="user_587@company.com"/>
    <x v="2"/>
    <s v="user_587@company.com"/>
  </r>
  <r>
    <s v="TXN-1588"/>
    <d v="2023-07-07T00:00:00"/>
    <x v="4"/>
    <s v="Electronics"/>
    <x v="1"/>
    <n v="6"/>
    <x v="0"/>
    <n v="6"/>
    <n v="335.98"/>
    <n v="335.98"/>
    <n v="2015.88"/>
    <n v="2015.88"/>
    <s v="user_588@company.com"/>
    <x v="3"/>
    <s v="user_588@company.com"/>
  </r>
  <r>
    <s v="TXN-1589"/>
    <d v="2023-10-18T00:00:00"/>
    <x v="2"/>
    <s v="Furniture "/>
    <x v="2"/>
    <n v="3"/>
    <x v="1"/>
    <n v="3"/>
    <n v="48.56"/>
    <n v="48.56"/>
    <n v="145.68"/>
    <n v="145.68"/>
    <s v="user_at_company"/>
    <x v="2"/>
    <s v="user@company"/>
  </r>
  <r>
    <s v="TXN-1590"/>
    <d v="2023-12-14T00:00:00"/>
    <x v="3"/>
    <s v="Office Supplies"/>
    <x v="0"/>
    <n v="2"/>
    <x v="1"/>
    <n v="2"/>
    <n v="-124.69"/>
    <n v="124.69"/>
    <n v="249.38"/>
    <n v="611.67999999999995"/>
    <s v="user_590@company.com"/>
    <x v="0"/>
    <s v="user_590@company.com"/>
  </r>
  <r>
    <s v="TXN-1591"/>
    <d v="2023-07-10T00:00:00"/>
    <x v="2"/>
    <s v="Furniture"/>
    <x v="2"/>
    <n v="8"/>
    <x v="2"/>
    <n v="8"/>
    <n v="90.33"/>
    <n v="90.33"/>
    <n v="722.64"/>
    <n v="722.64"/>
    <s v="user_at_company"/>
    <x v="1"/>
    <s v="user@company"/>
  </r>
  <r>
    <s v="TXN-1592"/>
    <d v="1899-12-31T00:00:00"/>
    <x v="1"/>
    <s v="Furniture"/>
    <x v="2"/>
    <m/>
    <x v="0"/>
    <n v="4"/>
    <n v="370.62"/>
    <n v="370.62"/>
    <n v="1482.48"/>
    <n v="1482.48"/>
    <m/>
    <x v="3"/>
    <s v="unknown@domain.com"/>
  </r>
  <r>
    <s v="TXN-1593"/>
    <d v="2023-07-23T00:00:00"/>
    <x v="1"/>
    <s v="Furniture "/>
    <x v="2"/>
    <n v="5"/>
    <x v="0"/>
    <n v="5"/>
    <n v="157.6"/>
    <n v="157.6"/>
    <n v="788"/>
    <n v="788"/>
    <s v="user_593@company.com"/>
    <x v="0"/>
    <s v="user_593@company.com"/>
  </r>
  <r>
    <s v="TXN-1594"/>
    <d v="2023-05-08T00:00:00"/>
    <x v="0"/>
    <s v="Furniture "/>
    <x v="2"/>
    <n v="4"/>
    <x v="0"/>
    <n v="4"/>
    <n v="-81.66"/>
    <n v="81.66"/>
    <n v="326.64"/>
    <n v="948.24"/>
    <s v="user_594@company.com"/>
    <x v="0"/>
    <s v="user_594@company.com"/>
  </r>
  <r>
    <s v="TXN-1595"/>
    <d v="1899-12-31T00:00:00"/>
    <x v="1"/>
    <s v="Electronics"/>
    <x v="1"/>
    <n v="3"/>
    <x v="1"/>
    <n v="3"/>
    <n v="303.72000000000003"/>
    <n v="303.72000000000003"/>
    <n v="911.16"/>
    <n v="911.16"/>
    <s v="user_595@company.com"/>
    <x v="4"/>
    <s v="user_595@company.com"/>
  </r>
  <r>
    <s v="TXN-1596"/>
    <d v="2023-09-23T00:00:00"/>
    <x v="3"/>
    <s v="Office Supplies"/>
    <x v="0"/>
    <n v="4"/>
    <x v="0"/>
    <n v="4"/>
    <n v="93.92"/>
    <n v="93.92"/>
    <n v="375.68"/>
    <n v="375.68"/>
    <s v="user_596@company.com"/>
    <x v="2"/>
    <s v="user_596@company.com"/>
  </r>
  <r>
    <s v="TXN-1597"/>
    <d v="2023-03-02T00:00:00"/>
    <x v="3"/>
    <s v="Furniture"/>
    <x v="2"/>
    <n v="3"/>
    <x v="1"/>
    <n v="3"/>
    <n v="373.4"/>
    <n v="373.4"/>
    <n v="1120.2"/>
    <n v="1120.2"/>
    <s v="invalid_email_at_gmail.com"/>
    <x v="0"/>
    <s v="invalid_email@gmail.com"/>
  </r>
  <r>
    <s v="TXN-1598"/>
    <d v="2023-12-27T00:00:00"/>
    <x v="0"/>
    <s v="Electronics"/>
    <x v="1"/>
    <n v="11"/>
    <x v="2"/>
    <n v="11"/>
    <n v="158.29"/>
    <n v="158.29"/>
    <n v="1741.19"/>
    <n v="1741.19"/>
    <s v="user_598@company.com"/>
    <x v="4"/>
    <s v="user_598@company.com"/>
  </r>
  <r>
    <s v="TXN-1599"/>
    <d v="2023-11-10T00:00:00"/>
    <x v="2"/>
    <s v="Office Supplies"/>
    <x v="0"/>
    <n v="6"/>
    <x v="0"/>
    <n v="6"/>
    <n v="334.56"/>
    <n v="334.56"/>
    <n v="2007.36"/>
    <n v="2007.36"/>
    <s v="user_599@company.com"/>
    <x v="2"/>
    <s v="user_599@company.com"/>
  </r>
  <r>
    <s v="TXN-1600"/>
    <d v="2023-09-09T00:00:00"/>
    <x v="2"/>
    <s v="Office Supplies"/>
    <x v="0"/>
    <n v="5"/>
    <x v="0"/>
    <n v="5"/>
    <n v="87.56"/>
    <n v="87.56"/>
    <n v="437.8"/>
    <n v="437.8"/>
    <s v="user_600@company.com"/>
    <x v="0"/>
    <s v="user_600@company.com"/>
  </r>
  <r>
    <s v="TXN-1601"/>
    <d v="2023-02-07T00:00:00"/>
    <x v="3"/>
    <s v="Electronics"/>
    <x v="1"/>
    <n v="5"/>
    <x v="0"/>
    <n v="5"/>
    <n v="347.18"/>
    <n v="347.18"/>
    <n v="1735.9"/>
    <n v="1735.9"/>
    <s v="user_601@company.com"/>
    <x v="3"/>
    <s v="user_601@company.com"/>
  </r>
  <r>
    <s v="TXN-1602"/>
    <d v="2024-01-01T00:00:00"/>
    <x v="1"/>
    <s v="Office Supplies"/>
    <x v="0"/>
    <n v="5"/>
    <x v="0"/>
    <n v="5"/>
    <n v="72.81"/>
    <n v="72.81"/>
    <n v="364.05"/>
    <n v="364.05"/>
    <s v="user_602@company.com"/>
    <x v="4"/>
    <s v="user_602@company.com"/>
  </r>
  <r>
    <s v="TXN-1603"/>
    <d v="2023-12-16T00:00:00"/>
    <x v="1"/>
    <s v="Electronics"/>
    <x v="1"/>
    <n v="3"/>
    <x v="1"/>
    <n v="3"/>
    <n v="-107.58"/>
    <n v="107.58"/>
    <n v="322.74"/>
    <n v="655.26"/>
    <s v="user_603@company.com"/>
    <x v="0"/>
    <s v="user_603@company.com"/>
  </r>
  <r>
    <s v="TXN-1604"/>
    <d v="2023-12-30T00:00:00"/>
    <x v="1"/>
    <s v="Furniture "/>
    <x v="2"/>
    <n v="6"/>
    <x v="0"/>
    <n v="6"/>
    <n v="131.13"/>
    <n v="131.13"/>
    <n v="786.78"/>
    <n v="786.78"/>
    <s v="user_604@company.com"/>
    <x v="3"/>
    <s v="user_604@company.com"/>
  </r>
  <r>
    <s v="TXN-1605"/>
    <d v="2023-05-29T00:00:00"/>
    <x v="2"/>
    <s v="Electronics"/>
    <x v="1"/>
    <n v="5"/>
    <x v="0"/>
    <n v="5"/>
    <n v="376.7"/>
    <n v="376.7"/>
    <n v="1883.5"/>
    <n v="1506.8"/>
    <s v="user_605@company.com"/>
    <x v="2"/>
    <s v="user_605@company.com"/>
  </r>
  <r>
    <s v="TXN-1606"/>
    <d v="1899-12-31T00:00:00"/>
    <x v="1"/>
    <s v="Office Supplies"/>
    <x v="0"/>
    <n v="5"/>
    <x v="0"/>
    <n v="5"/>
    <n v="138.4"/>
    <n v="138.4"/>
    <n v="692"/>
    <n v="766.77"/>
    <s v="user_606@company.com"/>
    <x v="2"/>
    <s v="user_606@company.com"/>
  </r>
  <r>
    <s v="TXN-1607"/>
    <d v="1899-12-31T00:00:00"/>
    <x v="3"/>
    <s v="Electronics"/>
    <x v="1"/>
    <n v="3"/>
    <x v="1"/>
    <n v="3"/>
    <n v="442.04"/>
    <n v="442.04"/>
    <n v="1326.12"/>
    <n v="1326.12"/>
    <s v="user_607@company.com"/>
    <x v="1"/>
    <s v="user_607@company.com"/>
  </r>
  <r>
    <s v="TXN-1608"/>
    <d v="1899-12-31T00:00:00"/>
    <x v="1"/>
    <s v="Electronics"/>
    <x v="1"/>
    <n v="7"/>
    <x v="0"/>
    <n v="7"/>
    <n v="446.99"/>
    <n v="446.99"/>
    <n v="3128.93"/>
    <n v="3128.93"/>
    <s v="user_608@company.com"/>
    <x v="0"/>
    <s v="user_608@company.com"/>
  </r>
  <r>
    <s v="TXN-1609"/>
    <d v="2023-09-10T00:00:00"/>
    <x v="0"/>
    <s v="Office Supplies"/>
    <x v="0"/>
    <n v="3"/>
    <x v="1"/>
    <n v="3"/>
    <n v="106.26"/>
    <n v="106.26"/>
    <n v="318.77999999999997"/>
    <n v="318.77999999999997"/>
    <s v="user_609@company.com"/>
    <x v="0"/>
    <s v="user_609@company.com"/>
  </r>
  <r>
    <s v="TXN-1610"/>
    <d v="2023-10-21T00:00:00"/>
    <x v="4"/>
    <s v="Office Supplies"/>
    <x v="0"/>
    <n v="6"/>
    <x v="0"/>
    <n v="6"/>
    <n v="310.77999999999997"/>
    <n v="310.77999999999997"/>
    <n v="1864.68"/>
    <n v="1864.68"/>
    <s v="user_at_company"/>
    <x v="4"/>
    <s v="user@company"/>
  </r>
  <r>
    <s v="TXN-1611"/>
    <d v="2023-10-10T00:00:00"/>
    <x v="0"/>
    <s v="Office Supplies"/>
    <x v="0"/>
    <n v="7"/>
    <x v="0"/>
    <n v="7"/>
    <n v="52.98"/>
    <n v="52.98"/>
    <n v="370.86"/>
    <n v="370.86"/>
    <s v="user_611@company.com"/>
    <x v="2"/>
    <s v="user_611@company.com"/>
  </r>
  <r>
    <s v="TXN-1612"/>
    <d v="2023-02-14T00:00:00"/>
    <x v="0"/>
    <s v="Office Supplies"/>
    <x v="0"/>
    <n v="1"/>
    <x v="1"/>
    <n v="1"/>
    <n v="201.85"/>
    <n v="201.85"/>
    <n v="201.85"/>
    <n v="494.14"/>
    <s v="user_612@company.com"/>
    <x v="3"/>
    <s v="user_612@company.com"/>
  </r>
  <r>
    <s v="TXN-1613"/>
    <d v="2023-09-03T00:00:00"/>
    <x v="1"/>
    <s v="Electronics"/>
    <x v="1"/>
    <n v="6"/>
    <x v="0"/>
    <n v="6"/>
    <n v="359.53"/>
    <n v="359.53"/>
    <n v="2157.1799999999998"/>
    <m/>
    <s v="user_613@company.com"/>
    <x v="4"/>
    <s v="user_613@company.com"/>
  </r>
  <r>
    <s v="TXN-1614"/>
    <d v="2023-10-22T00:00:00"/>
    <x v="3"/>
    <s v="Furniture"/>
    <x v="2"/>
    <n v="4"/>
    <x v="0"/>
    <n v="4"/>
    <n v="333.12"/>
    <n v="333.12"/>
    <n v="1332.48"/>
    <n v="1332.48"/>
    <m/>
    <x v="4"/>
    <s v="unknown@domain.com"/>
  </r>
  <r>
    <s v="TXN-1615"/>
    <d v="2023-06-12T00:00:00"/>
    <x v="0"/>
    <s v="Electronics"/>
    <x v="1"/>
    <n v="2"/>
    <x v="1"/>
    <n v="2"/>
    <n v="316.10000000000002"/>
    <n v="316.10000000000002"/>
    <n v="632.20000000000005"/>
    <n v="912.5"/>
    <s v="user_615@company.com"/>
    <x v="0"/>
    <s v="user_615@company.com"/>
  </r>
  <r>
    <s v="TXN-1616"/>
    <d v="2023-12-15T00:00:00"/>
    <x v="2"/>
    <s v="Office Supplies"/>
    <x v="0"/>
    <n v="2"/>
    <x v="1"/>
    <n v="2"/>
    <n v="148.44999999999999"/>
    <n v="148.44999999999999"/>
    <n v="296.89999999999998"/>
    <n v="296.89999999999998"/>
    <s v="user_616@company.com"/>
    <x v="0"/>
    <s v="user_616@company.com"/>
  </r>
  <r>
    <s v="TXN-1617"/>
    <d v="2023-10-10T00:00:00"/>
    <x v="0"/>
    <s v="Electronics"/>
    <x v="1"/>
    <n v="5"/>
    <x v="0"/>
    <n v="5"/>
    <n v="195.23"/>
    <n v="195.23"/>
    <n v="976.15"/>
    <n v="976.15"/>
    <s v="user_617@company.com"/>
    <x v="2"/>
    <s v="user_617@company.com"/>
  </r>
  <r>
    <s v="TXN-1618"/>
    <d v="2023-03-08T00:00:00"/>
    <x v="3"/>
    <s v="Furniture "/>
    <x v="2"/>
    <n v="5"/>
    <x v="0"/>
    <n v="5"/>
    <n v="60.44"/>
    <n v="60.44"/>
    <n v="302.2"/>
    <n v="302.2"/>
    <s v="user_618@company.com"/>
    <x v="2"/>
    <s v="user_618@company.com"/>
  </r>
  <r>
    <s v="TXN-1619"/>
    <d v="2023-01-29T00:00:00"/>
    <x v="1"/>
    <s v="Electronics"/>
    <x v="1"/>
    <n v="3"/>
    <x v="1"/>
    <n v="3"/>
    <n v="362.32"/>
    <n v="362.32"/>
    <n v="1086.96"/>
    <n v="1086.96"/>
    <s v="user_619@company.com"/>
    <x v="2"/>
    <s v="user_619@company.com"/>
  </r>
  <r>
    <s v="TXN-1620"/>
    <d v="2023-05-06T00:00:00"/>
    <x v="3"/>
    <s v="Office Supplies"/>
    <x v="0"/>
    <n v="5"/>
    <x v="0"/>
    <n v="5"/>
    <n v="256.91000000000003"/>
    <n v="256.91000000000003"/>
    <n v="1284.55"/>
    <n v="1284.55"/>
    <s v="user_620@company.com"/>
    <x v="1"/>
    <s v="user_620@company.com"/>
  </r>
  <r>
    <s v="TXN-1621"/>
    <d v="1899-12-31T00:00:00"/>
    <x v="1"/>
    <s v="Electronics"/>
    <x v="1"/>
    <n v="11"/>
    <x v="2"/>
    <n v="11"/>
    <n v="357.3"/>
    <n v="357.3"/>
    <n v="3930.3"/>
    <n v="3930.3"/>
    <s v="user_621@company.com"/>
    <x v="4"/>
    <s v="user_621@company.com"/>
  </r>
  <r>
    <s v="TXN-1622"/>
    <d v="2023-09-23T00:00:00"/>
    <x v="4"/>
    <s v="Office Supplies"/>
    <x v="0"/>
    <n v="2"/>
    <x v="1"/>
    <n v="2"/>
    <n v="131.97999999999999"/>
    <n v="131.97999999999999"/>
    <n v="263.95999999999998"/>
    <n v="263.95999999999998"/>
    <s v="invalid_email_at_gmail.com"/>
    <x v="4"/>
    <s v="invalid_email@gmail.com"/>
  </r>
  <r>
    <s v="TXN-1623"/>
    <d v="2023-09-05T00:00:00"/>
    <x v="1"/>
    <s v="Furniture"/>
    <x v="2"/>
    <n v="6"/>
    <x v="0"/>
    <n v="6"/>
    <n v="168.97"/>
    <n v="168.97"/>
    <n v="1013.82"/>
    <n v="1013.82"/>
    <s v="user_623@company.com"/>
    <x v="2"/>
    <s v="user_623@company.com"/>
  </r>
  <r>
    <s v="TXN-1624"/>
    <d v="2023-10-10T00:00:00"/>
    <x v="2"/>
    <s v="Electronics"/>
    <x v="1"/>
    <n v="5"/>
    <x v="0"/>
    <n v="5"/>
    <n v="173.77"/>
    <n v="173.77"/>
    <n v="868.85"/>
    <n v="868.85"/>
    <s v="user_624@company.com"/>
    <x v="4"/>
    <s v="user_624@company.com"/>
  </r>
  <r>
    <s v="TXN-1625"/>
    <d v="2023-06-05T00:00:00"/>
    <x v="2"/>
    <s v="Electronics"/>
    <x v="1"/>
    <m/>
    <x v="1"/>
    <n v="3"/>
    <n v="22.61"/>
    <n v="22.61"/>
    <n v="67.83"/>
    <n v="67.83"/>
    <s v="user_625@company.com"/>
    <x v="0"/>
    <s v="user_625@company.com"/>
  </r>
  <r>
    <s v="TXN-1626"/>
    <d v="1899-12-31T00:00:00"/>
    <x v="4"/>
    <s v="Office Supplies"/>
    <x v="0"/>
    <n v="4"/>
    <x v="0"/>
    <n v="4"/>
    <n v="177.11"/>
    <n v="177.11"/>
    <n v="708.44"/>
    <n v="708.44"/>
    <s v="user_626@company.com"/>
    <x v="0"/>
    <s v="user_626@company.com"/>
  </r>
  <r>
    <s v="TXN-1627"/>
    <d v="2023-11-16T00:00:00"/>
    <x v="2"/>
    <s v="Office Supplies"/>
    <x v="0"/>
    <n v="10"/>
    <x v="2"/>
    <n v="10"/>
    <n v="403.62"/>
    <n v="403.62"/>
    <n v="4036.2"/>
    <n v="4036.2"/>
    <s v="user_627@company.com"/>
    <x v="0"/>
    <s v="user_627@company.com"/>
  </r>
  <r>
    <s v="TXN-1628"/>
    <d v="2023-10-16T00:00:00"/>
    <x v="1"/>
    <s v="Electronics"/>
    <x v="1"/>
    <n v="1"/>
    <x v="1"/>
    <n v="1"/>
    <n v="449.68"/>
    <n v="449.68"/>
    <n v="449.68"/>
    <n v="449.68"/>
    <s v="user_628@company.com"/>
    <x v="3"/>
    <s v="user_628@company.com"/>
  </r>
  <r>
    <s v="TXN-1629"/>
    <d v="2023-01-15T00:00:00"/>
    <x v="2"/>
    <s v="Furniture"/>
    <x v="2"/>
    <n v="8"/>
    <x v="2"/>
    <n v="8"/>
    <n v="263.93"/>
    <n v="263.93"/>
    <n v="2111.44"/>
    <n v="2111.44"/>
    <s v="user_629@company.com"/>
    <x v="2"/>
    <s v="user_629@company.com"/>
  </r>
  <r>
    <s v="TXN-1630"/>
    <d v="1899-12-31T00:00:00"/>
    <x v="1"/>
    <s v="Office Supplies"/>
    <x v="0"/>
    <n v="3"/>
    <x v="1"/>
    <n v="3"/>
    <n v="233.2"/>
    <n v="233.2"/>
    <n v="699.6"/>
    <n v="1077.1300000000001"/>
    <m/>
    <x v="3"/>
    <s v="unknown@domain.com"/>
  </r>
  <r>
    <s v="TXN-1631"/>
    <d v="2023-10-23T00:00:00"/>
    <x v="2"/>
    <s v="Furniture "/>
    <x v="2"/>
    <n v="5"/>
    <x v="0"/>
    <n v="5"/>
    <n v="25.1"/>
    <n v="25.1"/>
    <n v="125.5"/>
    <n v="125.5"/>
    <m/>
    <x v="2"/>
    <s v="unknown@domain.com"/>
  </r>
  <r>
    <s v="TXN-1632"/>
    <d v="2023-10-20T00:00:00"/>
    <x v="1"/>
    <s v="Office Supplies"/>
    <x v="0"/>
    <n v="4"/>
    <x v="0"/>
    <n v="4"/>
    <n v="440.81"/>
    <n v="440.81"/>
    <n v="1763.24"/>
    <m/>
    <s v="user_632@company.com"/>
    <x v="4"/>
    <s v="user_632@company.com"/>
  </r>
  <r>
    <s v="TXN-1633"/>
    <d v="2023-01-16T00:00:00"/>
    <x v="2"/>
    <s v="Electronics"/>
    <x v="1"/>
    <n v="11"/>
    <x v="2"/>
    <n v="11"/>
    <n v="16.38"/>
    <n v="16.38"/>
    <n v="180.18"/>
    <n v="180.18"/>
    <s v="user_633@company.com"/>
    <x v="2"/>
    <s v="user_633@company.com"/>
  </r>
  <r>
    <s v="TXN-1634"/>
    <d v="2023-10-07T00:00:00"/>
    <x v="3"/>
    <s v="Electronics"/>
    <x v="1"/>
    <n v="3"/>
    <x v="1"/>
    <n v="3"/>
    <n v="472.93"/>
    <n v="472.93"/>
    <n v="1418.79"/>
    <n v="1418.79"/>
    <s v="user_634@company.com"/>
    <x v="0"/>
    <s v="user_634@company.com"/>
  </r>
  <r>
    <s v="TXN-1635"/>
    <d v="2023-06-04T00:00:00"/>
    <x v="4"/>
    <s v="Office Supplies"/>
    <x v="0"/>
    <n v="4"/>
    <x v="0"/>
    <n v="4"/>
    <n v="-179.14"/>
    <n v="179.14"/>
    <n v="716.56"/>
    <n v="998.88"/>
    <s v="user_635@company.com"/>
    <x v="3"/>
    <s v="user_635@company.com"/>
  </r>
  <r>
    <s v="TXN-1636"/>
    <d v="2023-12-17T00:00:00"/>
    <x v="2"/>
    <s v="Electronics"/>
    <x v="1"/>
    <n v="3"/>
    <x v="1"/>
    <n v="3"/>
    <n v="177.55"/>
    <n v="177.55"/>
    <n v="532.65"/>
    <n v="532.65"/>
    <s v="user_636@company.com"/>
    <x v="1"/>
    <s v="user_636@company.com"/>
  </r>
  <r>
    <s v="TXN-1637"/>
    <d v="2023-02-07T00:00:00"/>
    <x v="2"/>
    <s v="Office Supplies"/>
    <x v="0"/>
    <n v="3"/>
    <x v="1"/>
    <n v="3"/>
    <n v="462.87"/>
    <n v="462.87"/>
    <n v="1388.61"/>
    <n v="1388.61"/>
    <s v="user_637@company.com"/>
    <x v="4"/>
    <s v="user_637@company.com"/>
  </r>
  <r>
    <s v="TXN-1638"/>
    <d v="2023-08-01T00:00:00"/>
    <x v="1"/>
    <s v="Electronics"/>
    <x v="1"/>
    <n v="8"/>
    <x v="2"/>
    <n v="8"/>
    <n v="21.95"/>
    <n v="21.95"/>
    <n v="175.6"/>
    <n v="175.6"/>
    <s v="user_638@company.com"/>
    <x v="1"/>
    <s v="user_638@company.com"/>
  </r>
  <r>
    <s v="TXN-1639"/>
    <d v="1899-12-31T00:00:00"/>
    <x v="4"/>
    <s v="Office Supplies"/>
    <x v="0"/>
    <n v="1"/>
    <x v="1"/>
    <n v="1"/>
    <n v="294.89999999999998"/>
    <n v="294.89999999999998"/>
    <n v="294.89999999999998"/>
    <n v="294.89999999999998"/>
    <s v="user_639@company.com"/>
    <x v="4"/>
    <s v="user_639@company.com"/>
  </r>
  <r>
    <s v="TXN-1640"/>
    <d v="2023-06-13T00:00:00"/>
    <x v="1"/>
    <s v="Furniture "/>
    <x v="2"/>
    <n v="5"/>
    <x v="0"/>
    <n v="5"/>
    <n v="278.98"/>
    <n v="278.98"/>
    <n v="1394.9"/>
    <n v="1394.9"/>
    <m/>
    <x v="0"/>
    <s v="unknown@domain.com"/>
  </r>
  <r>
    <s v="TXN-1642"/>
    <d v="2023-02-24T00:00:00"/>
    <x v="1"/>
    <s v="Office Supplies"/>
    <x v="0"/>
    <n v="3"/>
    <x v="1"/>
    <n v="3"/>
    <n v="220.15"/>
    <n v="220.15"/>
    <n v="660.45"/>
    <n v="660.45"/>
    <s v="user_642@company.com"/>
    <x v="0"/>
    <s v="user_642@company.com"/>
  </r>
  <r>
    <s v="TXN-1643"/>
    <d v="2023-03-04T00:00:00"/>
    <x v="3"/>
    <s v="Office Supplies"/>
    <x v="0"/>
    <n v="7"/>
    <x v="0"/>
    <n v="7"/>
    <n v="329.61"/>
    <n v="329.61"/>
    <n v="2307.27"/>
    <n v="2307.27"/>
    <s v="user_643@company.com"/>
    <x v="0"/>
    <s v="user_643@company.com"/>
  </r>
  <r>
    <s v="TXN-1644"/>
    <d v="2023-03-14T00:00:00"/>
    <x v="4"/>
    <s v="Electronics"/>
    <x v="1"/>
    <n v="5"/>
    <x v="0"/>
    <n v="5"/>
    <n v="366.29"/>
    <n v="366.29"/>
    <n v="1831.45"/>
    <m/>
    <s v="user_644@company.com"/>
    <x v="0"/>
    <s v="user_644@company.com"/>
  </r>
  <r>
    <s v="TXN-1645"/>
    <d v="1899-12-31T00:00:00"/>
    <x v="4"/>
    <s v="Electronics"/>
    <x v="1"/>
    <n v="7"/>
    <x v="0"/>
    <n v="7"/>
    <n v="10.35"/>
    <n v="10.35"/>
    <n v="72.45"/>
    <n v="554.49"/>
    <s v="user_645@company.com"/>
    <x v="2"/>
    <s v="user_645@company.com"/>
  </r>
  <r>
    <s v="TXN-1646"/>
    <d v="2023-11-12T00:00:00"/>
    <x v="3"/>
    <s v="Office Supplies"/>
    <x v="0"/>
    <n v="5"/>
    <x v="0"/>
    <n v="5"/>
    <n v="469.06"/>
    <n v="469.06"/>
    <n v="2345.3000000000002"/>
    <n v="2345.3000000000002"/>
    <s v="user_646@company.com"/>
    <x v="4"/>
    <s v="user_646@company.com"/>
  </r>
  <r>
    <s v="TXN-1647"/>
    <d v="2023-03-23T00:00:00"/>
    <x v="2"/>
    <s v="Furniture"/>
    <x v="2"/>
    <n v="7"/>
    <x v="0"/>
    <n v="7"/>
    <n v="90.62"/>
    <n v="90.62"/>
    <n v="634.34"/>
    <n v="868.6"/>
    <s v="user_647@company.com"/>
    <x v="4"/>
    <s v="user_647@company.com"/>
  </r>
  <r>
    <s v="TXN-1648"/>
    <d v="2023-10-06T00:00:00"/>
    <x v="3"/>
    <s v="Office Supplies"/>
    <x v="0"/>
    <n v="5"/>
    <x v="0"/>
    <n v="5"/>
    <n v="124.45"/>
    <n v="124.45"/>
    <n v="622.25"/>
    <n v="622.25"/>
    <s v="user_648@company.com"/>
    <x v="4"/>
    <s v="user_648@company.com"/>
  </r>
  <r>
    <s v="TXN-1649"/>
    <d v="2023-09-13T00:00:00"/>
    <x v="3"/>
    <s v="Office Supplies"/>
    <x v="0"/>
    <n v="4"/>
    <x v="0"/>
    <n v="4"/>
    <n v="139.1"/>
    <n v="139.1"/>
    <n v="556.4"/>
    <n v="556.4"/>
    <s v="user_at_company"/>
    <x v="0"/>
    <s v="user@company"/>
  </r>
  <r>
    <s v="TXN-1650"/>
    <d v="2023-06-07T00:00:00"/>
    <x v="4"/>
    <s v="Furniture"/>
    <x v="2"/>
    <n v="5"/>
    <x v="0"/>
    <n v="5"/>
    <n v="28.53"/>
    <n v="28.53"/>
    <n v="142.65"/>
    <n v="142.65"/>
    <s v="user_650@company.com"/>
    <x v="4"/>
    <s v="user_650@company.com"/>
  </r>
  <r>
    <s v="TXN-1651"/>
    <d v="1899-12-31T00:00:00"/>
    <x v="0"/>
    <s v="Furniture"/>
    <x v="2"/>
    <n v="11"/>
    <x v="2"/>
    <n v="11"/>
    <n v="70.3"/>
    <n v="70.3"/>
    <n v="773.3"/>
    <n v="773.3"/>
    <s v="user_651@company.com"/>
    <x v="3"/>
    <s v="user_651@company.com"/>
  </r>
  <r>
    <s v="TXN-1652"/>
    <d v="2023-09-16T00:00:00"/>
    <x v="0"/>
    <s v="Furniture"/>
    <x v="2"/>
    <n v="9999"/>
    <x v="0"/>
    <n v="5"/>
    <n v="493.31"/>
    <n v="493.31"/>
    <n v="2466.5500000000002"/>
    <n v="3453.17"/>
    <s v="user_652@company.com"/>
    <x v="3"/>
    <s v="user_652@company.com"/>
  </r>
  <r>
    <s v="TXN-1653"/>
    <d v="2023-04-21T00:00:00"/>
    <x v="3"/>
    <s v="Electronics"/>
    <x v="1"/>
    <n v="6"/>
    <x v="0"/>
    <n v="6"/>
    <n v="164.46"/>
    <n v="164.46"/>
    <n v="986.76"/>
    <n v="986.76"/>
    <s v="user_653@company.com"/>
    <x v="1"/>
    <s v="user_653@company.com"/>
  </r>
  <r>
    <s v="TXN-1654"/>
    <d v="1899-12-31T00:00:00"/>
    <x v="3"/>
    <s v="Furniture "/>
    <x v="2"/>
    <n v="3"/>
    <x v="1"/>
    <n v="3"/>
    <n v="66.5"/>
    <n v="66.5"/>
    <n v="199.5"/>
    <n v="199.5"/>
    <s v="user_654@company.com"/>
    <x v="0"/>
    <s v="user_654@company.com"/>
  </r>
  <r>
    <s v="TXN-1655"/>
    <d v="2023-11-02T00:00:00"/>
    <x v="0"/>
    <s v="Office Supplies"/>
    <x v="0"/>
    <n v="0"/>
    <x v="3"/>
    <n v="0"/>
    <n v="62.43"/>
    <n v="62.43"/>
    <n v="0"/>
    <n v="0"/>
    <s v="user_655@company.com"/>
    <x v="4"/>
    <s v="user_655@company.com"/>
  </r>
  <r>
    <s v="TXN-1656"/>
    <d v="2023-01-05T00:00:00"/>
    <x v="2"/>
    <s v="Office Supplies"/>
    <x v="0"/>
    <n v="10"/>
    <x v="2"/>
    <n v="10"/>
    <n v="362.54"/>
    <n v="362.54"/>
    <n v="3625.4"/>
    <n v="3625.4"/>
    <s v="user_656@company.com"/>
    <x v="4"/>
    <s v="user_656@company.com"/>
  </r>
  <r>
    <s v="TXN-1657"/>
    <d v="2023-05-16T00:00:00"/>
    <x v="1"/>
    <s v="Electronics"/>
    <x v="1"/>
    <n v="5"/>
    <x v="0"/>
    <n v="5"/>
    <n v="428.74"/>
    <n v="428.74"/>
    <n v="2143.6999999999998"/>
    <n v="2565.5100000000002"/>
    <s v="user_657@company.com"/>
    <x v="0"/>
    <s v="user_657@company.com"/>
  </r>
  <r>
    <s v="TXN-1658"/>
    <d v="2023-07-07T00:00:00"/>
    <x v="1"/>
    <s v="Electronics"/>
    <x v="1"/>
    <n v="5"/>
    <x v="0"/>
    <n v="5"/>
    <n v="135.91"/>
    <n v="135.91"/>
    <n v="679.55"/>
    <n v="679.55"/>
    <s v="user_658@company.com"/>
    <x v="2"/>
    <s v="user_658@company.com"/>
  </r>
  <r>
    <s v="TXN-1659"/>
    <d v="1899-12-31T00:00:00"/>
    <x v="3"/>
    <s v="Office Supplies"/>
    <x v="0"/>
    <n v="3"/>
    <x v="1"/>
    <n v="3"/>
    <n v="20.25"/>
    <n v="20.25"/>
    <n v="60.75"/>
    <n v="60.75"/>
    <s v="user_659@company.com"/>
    <x v="0"/>
    <s v="user_659@company.com"/>
  </r>
  <r>
    <s v="TXN-1660"/>
    <d v="2023-05-28T00:00:00"/>
    <x v="4"/>
    <s v="Office Supplies"/>
    <x v="0"/>
    <n v="4"/>
    <x v="0"/>
    <n v="4"/>
    <n v="119.31"/>
    <n v="119.31"/>
    <n v="477.24"/>
    <n v="477.24"/>
    <s v="user_660@company.com"/>
    <x v="0"/>
    <s v="user_660@company.com"/>
  </r>
  <r>
    <s v="TXN-1661"/>
    <d v="2023-08-19T00:00:00"/>
    <x v="2"/>
    <s v="Office Supplies"/>
    <x v="0"/>
    <n v="2"/>
    <x v="1"/>
    <n v="2"/>
    <n v="37.69"/>
    <n v="37.69"/>
    <n v="75.38"/>
    <n v="75.38"/>
    <s v="user_661@company.com"/>
    <x v="4"/>
    <s v="user_661@company.com"/>
  </r>
  <r>
    <s v="TXN-1662"/>
    <d v="2023-11-16T00:00:00"/>
    <x v="0"/>
    <s v="Office Supplies"/>
    <x v="0"/>
    <n v="2"/>
    <x v="1"/>
    <n v="2"/>
    <n v="60.66"/>
    <n v="60.66"/>
    <n v="121.32"/>
    <n v="172.42"/>
    <s v="user_662@company.com"/>
    <x v="0"/>
    <s v="user_662@company.com"/>
  </r>
  <r>
    <s v="TXN-1664"/>
    <d v="2023-06-23T00:00:00"/>
    <x v="3"/>
    <s v="Office Supplies"/>
    <x v="0"/>
    <n v="3"/>
    <x v="1"/>
    <n v="3"/>
    <n v="122.66"/>
    <n v="122.66"/>
    <n v="367.98"/>
    <n v="367.98"/>
    <s v="user_664@company.com"/>
    <x v="4"/>
    <s v="user_664@company.com"/>
  </r>
  <r>
    <s v="TXN-1665"/>
    <d v="2023-04-12T00:00:00"/>
    <x v="2"/>
    <s v="Office Supplies"/>
    <x v="0"/>
    <n v="5"/>
    <x v="0"/>
    <n v="5"/>
    <n v="262.81"/>
    <n v="262.81"/>
    <n v="1314.05"/>
    <n v="262.81"/>
    <s v="user_665@company.com"/>
    <x v="0"/>
    <s v="user_665@company.com"/>
  </r>
  <r>
    <s v="TXN-1666"/>
    <d v="2023-01-24T00:00:00"/>
    <x v="0"/>
    <s v="Electronics"/>
    <x v="1"/>
    <n v="3"/>
    <x v="1"/>
    <n v="3"/>
    <n v="134.21"/>
    <n v="134.21"/>
    <n v="402.63"/>
    <n v="402.63"/>
    <s v="user_666@company.com"/>
    <x v="3"/>
    <s v="user_666@company.com"/>
  </r>
  <r>
    <s v="TXN-1667"/>
    <d v="2023-06-20T00:00:00"/>
    <x v="0"/>
    <s v="Furniture "/>
    <x v="2"/>
    <n v="7"/>
    <x v="0"/>
    <n v="7"/>
    <n v="470.86"/>
    <n v="470.86"/>
    <n v="3296.02"/>
    <n v="3296.02"/>
    <s v="user_667@company.com"/>
    <x v="2"/>
    <s v="user_667@company.com"/>
  </r>
  <r>
    <s v="TXN-1668"/>
    <d v="1899-12-31T00:00:00"/>
    <x v="0"/>
    <s v="Electronics"/>
    <x v="1"/>
    <n v="5"/>
    <x v="0"/>
    <n v="5"/>
    <n v="453.91"/>
    <n v="453.91"/>
    <n v="2269.5500000000002"/>
    <n v="2269.5500000000002"/>
    <s v="invalid_email_at_gmail.com"/>
    <x v="4"/>
    <s v="invalid_email@gmail.com"/>
  </r>
  <r>
    <s v="TXN-1670"/>
    <d v="2023-11-12T00:00:00"/>
    <x v="0"/>
    <s v="Office Supplies"/>
    <x v="0"/>
    <n v="5"/>
    <x v="0"/>
    <n v="5"/>
    <s v="$250.00"/>
    <n v="250"/>
    <n v="1250"/>
    <m/>
    <s v="user_670@company.com"/>
    <x v="4"/>
    <s v="user_670@company.com"/>
  </r>
  <r>
    <s v="TXN-1671"/>
    <d v="2023-09-17T00:00:00"/>
    <x v="3"/>
    <s v="Electronics"/>
    <x v="1"/>
    <n v="5"/>
    <x v="0"/>
    <n v="5"/>
    <n v="196.76"/>
    <n v="196.76"/>
    <n v="983.8"/>
    <n v="983.8"/>
    <s v="user_671@company.com"/>
    <x v="2"/>
    <s v="user_671@company.com"/>
  </r>
  <r>
    <s v="TXN-1672"/>
    <d v="2023-06-03T00:00:00"/>
    <x v="1"/>
    <s v="Office Supplies"/>
    <x v="0"/>
    <n v="5"/>
    <x v="0"/>
    <n v="5"/>
    <n v="211.81"/>
    <n v="211.81"/>
    <n v="1059.05"/>
    <n v="1059.05"/>
    <s v="user_672@company.com"/>
    <x v="2"/>
    <s v="user_672@company.com"/>
  </r>
  <r>
    <s v="TXN-1673"/>
    <d v="2023-07-08T00:00:00"/>
    <x v="1"/>
    <s v="Electronics"/>
    <x v="1"/>
    <n v="3"/>
    <x v="1"/>
    <n v="3"/>
    <n v="366.51"/>
    <n v="366.51"/>
    <n v="1099.53"/>
    <n v="1099.53"/>
    <s v="user_673@company.com"/>
    <x v="3"/>
    <s v="user_673@company.com"/>
  </r>
  <r>
    <s v="TXN-1674"/>
    <d v="2023-08-02T00:00:00"/>
    <x v="2"/>
    <s v="Furniture"/>
    <x v="2"/>
    <n v="3"/>
    <x v="1"/>
    <n v="3"/>
    <n v="-114.84"/>
    <n v="114.84"/>
    <n v="344.52"/>
    <n v="693.9"/>
    <s v="user_674@company.com"/>
    <x v="0"/>
    <s v="user_674@company.com"/>
  </r>
  <r>
    <s v="TXN-1675"/>
    <d v="2023-12-19T00:00:00"/>
    <x v="2"/>
    <s v="Furniture"/>
    <x v="2"/>
    <n v="6"/>
    <x v="0"/>
    <n v="6"/>
    <n v="429.8"/>
    <n v="429.8"/>
    <n v="2578.8000000000002"/>
    <n v="2578.8000000000002"/>
    <s v="user_675@company.com"/>
    <x v="4"/>
    <s v="user_675@company.com"/>
  </r>
  <r>
    <s v="TXN-1676"/>
    <d v="1899-12-31T00:00:00"/>
    <x v="3"/>
    <s v="Office Supplies"/>
    <x v="0"/>
    <n v="6"/>
    <x v="0"/>
    <n v="6"/>
    <n v="472.61"/>
    <n v="472.61"/>
    <n v="2835.66"/>
    <n v="3221.16"/>
    <s v="user_676@company.com"/>
    <x v="3"/>
    <s v="user_676@company.com"/>
  </r>
  <r>
    <s v="TXN-1677"/>
    <d v="2023-10-26T00:00:00"/>
    <x v="1"/>
    <s v="Electronics"/>
    <x v="1"/>
    <n v="4"/>
    <x v="0"/>
    <n v="4"/>
    <n v="174.61"/>
    <n v="174.61"/>
    <n v="698.44"/>
    <n v="698.44"/>
    <s v="user_677@company.com"/>
    <x v="2"/>
    <s v="user_677@company.com"/>
  </r>
  <r>
    <s v="TXN-1678"/>
    <d v="2023-11-19T00:00:00"/>
    <x v="3"/>
    <s v="Electronics"/>
    <x v="1"/>
    <n v="9"/>
    <x v="2"/>
    <n v="9"/>
    <n v="284.74"/>
    <n v="284.74"/>
    <n v="2562.66"/>
    <n v="2562.66"/>
    <s v="user_678@company.com"/>
    <x v="0"/>
    <s v="user_678@company.com"/>
  </r>
  <r>
    <s v="TXN-1679"/>
    <d v="1899-12-31T00:00:00"/>
    <x v="2"/>
    <s v="Electronics"/>
    <x v="1"/>
    <n v="6"/>
    <x v="0"/>
    <n v="6"/>
    <n v="56.58"/>
    <n v="56.58"/>
    <n v="339.48"/>
    <n v="339.48"/>
    <s v="user_679@company.com"/>
    <x v="2"/>
    <s v="user_679@company.com"/>
  </r>
  <r>
    <s v="TXN-1680"/>
    <d v="1899-12-31T00:00:00"/>
    <x v="2"/>
    <s v="Electronics"/>
    <x v="1"/>
    <n v="5"/>
    <x v="0"/>
    <n v="5"/>
    <n v="108.23"/>
    <n v="108.23"/>
    <n v="541.15"/>
    <n v="541.15"/>
    <s v="user_680@company.com"/>
    <x v="1"/>
    <s v="user_680@company.com"/>
  </r>
  <r>
    <s v="TXN-1681"/>
    <d v="1899-12-31T00:00:00"/>
    <x v="4"/>
    <s v="Furniture"/>
    <x v="2"/>
    <n v="5"/>
    <x v="0"/>
    <n v="5"/>
    <n v="212.6"/>
    <n v="212.6"/>
    <n v="1063"/>
    <n v="1063"/>
    <s v="user_681@company.com"/>
    <x v="1"/>
    <s v="user_681@company.com"/>
  </r>
  <r>
    <s v="TXN-1682"/>
    <d v="1899-12-31T00:00:00"/>
    <x v="4"/>
    <s v="Electronics"/>
    <x v="1"/>
    <n v="4"/>
    <x v="0"/>
    <n v="4"/>
    <n v="111.04"/>
    <n v="111.04"/>
    <n v="444.16"/>
    <n v="444.16"/>
    <m/>
    <x v="4"/>
    <s v="unknown@domain.com"/>
  </r>
  <r>
    <s v="TXN-1683"/>
    <d v="2023-03-19T00:00:00"/>
    <x v="3"/>
    <s v="Furniture "/>
    <x v="2"/>
    <n v="10"/>
    <x v="2"/>
    <n v="10"/>
    <n v="439.51"/>
    <n v="439.51"/>
    <n v="4395.1000000000004"/>
    <m/>
    <s v="user_683@company.com"/>
    <x v="4"/>
    <s v="user_683@company.com"/>
  </r>
  <r>
    <s v="TXN-1684"/>
    <d v="2023-07-30T00:00:00"/>
    <x v="2"/>
    <s v="Electronics"/>
    <x v="1"/>
    <n v="6"/>
    <x v="0"/>
    <n v="6"/>
    <n v="87.56"/>
    <n v="87.56"/>
    <n v="525.36"/>
    <n v="525.36"/>
    <s v="user_684@company.com"/>
    <x v="4"/>
    <s v="user_684@company.com"/>
  </r>
  <r>
    <s v="TXN-1685"/>
    <d v="2023-01-02T00:00:00"/>
    <x v="0"/>
    <s v="Office Supplies"/>
    <x v="0"/>
    <n v="2"/>
    <x v="1"/>
    <n v="2"/>
    <n v="233.27"/>
    <n v="233.27"/>
    <n v="466.54"/>
    <n v="466.54"/>
    <s v="user_685@company.com"/>
    <x v="0"/>
    <s v="user_685@company.com"/>
  </r>
  <r>
    <s v="TXN-1686"/>
    <d v="2023-10-15T00:00:00"/>
    <x v="3"/>
    <s v="Electronics"/>
    <x v="1"/>
    <n v="4"/>
    <x v="0"/>
    <n v="4"/>
    <n v="306.79000000000002"/>
    <n v="306.79000000000002"/>
    <n v="1227.1600000000001"/>
    <n v="1227.1600000000001"/>
    <s v="invalid_email_at_gmail.com"/>
    <x v="3"/>
    <s v="invalid_email@gmail.com"/>
  </r>
  <r>
    <s v="TXN-1687"/>
    <d v="2023-09-02T00:00:00"/>
    <x v="1"/>
    <s v="Furniture "/>
    <x v="2"/>
    <n v="3"/>
    <x v="1"/>
    <n v="3"/>
    <n v="349.01"/>
    <n v="349.01"/>
    <n v="1047.03"/>
    <n v="1047.03"/>
    <m/>
    <x v="0"/>
    <s v="unknown@domain.com"/>
  </r>
  <r>
    <s v="TXN-1688"/>
    <d v="2023-03-30T00:00:00"/>
    <x v="2"/>
    <s v="Office Supplies"/>
    <x v="0"/>
    <n v="2"/>
    <x v="1"/>
    <n v="2"/>
    <n v="197.7"/>
    <n v="197.7"/>
    <n v="395.4"/>
    <n v="589.26"/>
    <s v="user_688@company.com"/>
    <x v="4"/>
    <s v="user_688@company.com"/>
  </r>
  <r>
    <s v="TXN-1689"/>
    <d v="2023-06-25T00:00:00"/>
    <x v="1"/>
    <s v="Office Supplies"/>
    <x v="0"/>
    <n v="9999"/>
    <x v="0"/>
    <n v="5"/>
    <n v="435.86"/>
    <n v="435.86"/>
    <n v="2179.3000000000002"/>
    <n v="2179.3000000000002"/>
    <s v="user_689@company.com"/>
    <x v="4"/>
    <s v="user_689@company.com"/>
  </r>
  <r>
    <s v="TXN-1690"/>
    <d v="2023-12-15T00:00:00"/>
    <x v="1"/>
    <s v="Electronics"/>
    <x v="1"/>
    <n v="6"/>
    <x v="0"/>
    <n v="6"/>
    <s v="$250.00"/>
    <n v="250"/>
    <n v="1500"/>
    <n v="1730.88"/>
    <s v="user_690@company.com"/>
    <x v="1"/>
    <s v="user_690@company.com"/>
  </r>
  <r>
    <s v="TXN-1691"/>
    <d v="2023-09-04T00:00:00"/>
    <x v="3"/>
    <s v="Office Supplies"/>
    <x v="0"/>
    <n v="5"/>
    <x v="0"/>
    <n v="5"/>
    <n v="225.36"/>
    <n v="225.36"/>
    <n v="1126.8"/>
    <n v="1126.8"/>
    <s v="user_691@company.com"/>
    <x v="2"/>
    <s v="user_691@company.com"/>
  </r>
  <r>
    <s v="TXN-1692"/>
    <d v="2023-02-06T00:00:00"/>
    <x v="1"/>
    <s v="Furniture"/>
    <x v="2"/>
    <n v="10"/>
    <x v="2"/>
    <n v="10"/>
    <n v="42.95"/>
    <n v="42.95"/>
    <n v="429.5"/>
    <n v="429.5"/>
    <s v="user_692@company.com"/>
    <x v="4"/>
    <s v="user_692@company.com"/>
  </r>
  <r>
    <s v="TXN-1693"/>
    <d v="2023-06-02T00:00:00"/>
    <x v="1"/>
    <s v="Furniture"/>
    <x v="2"/>
    <n v="5"/>
    <x v="0"/>
    <n v="5"/>
    <n v="237.7"/>
    <n v="237.7"/>
    <n v="1188.5"/>
    <n v="1188.5"/>
    <s v="user_693@company.com"/>
    <x v="2"/>
    <s v="user_693@company.com"/>
  </r>
  <r>
    <s v="TXN-1694"/>
    <d v="2023-12-20T00:00:00"/>
    <x v="1"/>
    <s v="Furniture"/>
    <x v="2"/>
    <n v="5"/>
    <x v="0"/>
    <n v="5"/>
    <n v="412.16"/>
    <n v="412.16"/>
    <n v="2060.8000000000002"/>
    <n v="2060.8000000000002"/>
    <s v="user_694@company.com"/>
    <x v="0"/>
    <s v="user_694@company.com"/>
  </r>
  <r>
    <s v="TXN-1695"/>
    <d v="2023-06-28T00:00:00"/>
    <x v="0"/>
    <s v="Furniture "/>
    <x v="2"/>
    <n v="4"/>
    <x v="0"/>
    <n v="4"/>
    <n v="311.13"/>
    <n v="311.13"/>
    <n v="1244.52"/>
    <n v="1244.52"/>
    <s v="invalid_email_at_gmail.com"/>
    <x v="0"/>
    <s v="invalid_email@gmail.com"/>
  </r>
  <r>
    <s v="TXN-1696"/>
    <d v="2023-10-21T00:00:00"/>
    <x v="0"/>
    <s v="Office Supplies"/>
    <x v="0"/>
    <n v="4"/>
    <x v="0"/>
    <n v="4"/>
    <n v="417.76"/>
    <n v="417.76"/>
    <n v="1671.04"/>
    <n v="1671.04"/>
    <s v="user_696@company.com"/>
    <x v="4"/>
    <s v="user_696@company.com"/>
  </r>
  <r>
    <s v="TXN-1697"/>
    <d v="2023-07-22T00:00:00"/>
    <x v="1"/>
    <s v="Electronics"/>
    <x v="1"/>
    <n v="3"/>
    <x v="1"/>
    <n v="3"/>
    <n v="252.07"/>
    <n v="252.07"/>
    <n v="756.21"/>
    <n v="756.21"/>
    <s v="user_697@company.com"/>
    <x v="4"/>
    <s v="user_697@company.com"/>
  </r>
  <r>
    <s v="TXN-1698"/>
    <d v="2023-03-16T00:00:00"/>
    <x v="0"/>
    <s v="Electronics"/>
    <x v="1"/>
    <n v="6"/>
    <x v="0"/>
    <n v="6"/>
    <n v="68.05"/>
    <n v="68.05"/>
    <n v="408.3"/>
    <n v="408.3"/>
    <s v="user_698@company.com"/>
    <x v="3"/>
    <s v="user_698@company.com"/>
  </r>
  <r>
    <s v="TXN-1699"/>
    <d v="1899-12-31T00:00:00"/>
    <x v="0"/>
    <s v="Office Supplies"/>
    <x v="0"/>
    <n v="4"/>
    <x v="0"/>
    <n v="4"/>
    <n v="16.68"/>
    <n v="16.68"/>
    <n v="66.72"/>
    <n v="66.72"/>
    <s v="invalid_email_at_gmail.com"/>
    <x v="0"/>
    <s v="invalid_email@gmail.com"/>
  </r>
  <r>
    <s v="TXN-1700"/>
    <d v="2023-02-10T00:00:00"/>
    <x v="1"/>
    <s v="Electronics"/>
    <x v="1"/>
    <n v="5"/>
    <x v="0"/>
    <n v="5"/>
    <n v="158.58000000000001"/>
    <n v="158.58000000000001"/>
    <n v="792.9"/>
    <m/>
    <s v="user_700@company.com"/>
    <x v="4"/>
    <s v="user_700@company.com"/>
  </r>
  <r>
    <s v="TXN-1701"/>
    <d v="2023-12-02T00:00:00"/>
    <x v="1"/>
    <s v="Furniture "/>
    <x v="2"/>
    <n v="9"/>
    <x v="2"/>
    <n v="9"/>
    <n v="352.02"/>
    <n v="352.02"/>
    <n v="3168.18"/>
    <n v="3168.18"/>
    <s v="user_701@company.com"/>
    <x v="2"/>
    <s v="user_701@company.com"/>
  </r>
  <r>
    <s v="TXN-1702"/>
    <d v="1899-12-31T00:00:00"/>
    <x v="0"/>
    <s v="Electronics"/>
    <x v="1"/>
    <n v="5"/>
    <x v="0"/>
    <n v="5"/>
    <n v="397.23"/>
    <n v="397.23"/>
    <n v="1986.15"/>
    <n v="2374.83"/>
    <s v="user_702@company.com"/>
    <x v="2"/>
    <s v="user_702@company.com"/>
  </r>
  <r>
    <s v="TXN-1703"/>
    <d v="2023-05-19T00:00:00"/>
    <x v="0"/>
    <s v="Electronics"/>
    <x v="1"/>
    <n v="9"/>
    <x v="2"/>
    <n v="9"/>
    <n v="154.91999999999999"/>
    <n v="154.91999999999999"/>
    <n v="1394.28"/>
    <n v="1394.28"/>
    <m/>
    <x v="3"/>
    <s v="unknown@domain.com"/>
  </r>
  <r>
    <s v="TXN-1704"/>
    <d v="2023-12-11T00:00:00"/>
    <x v="2"/>
    <s v="Furniture "/>
    <x v="2"/>
    <n v="-6"/>
    <x v="0"/>
    <n v="6"/>
    <n v="252.87"/>
    <n v="252.87"/>
    <n v="1517.22"/>
    <n v="1264.3499999999999"/>
    <s v="user_704@company.com"/>
    <x v="4"/>
    <s v="user_704@company.com"/>
  </r>
  <r>
    <s v="TXN-1705"/>
    <d v="2023-09-12T00:00:00"/>
    <x v="1"/>
    <s v="Furniture"/>
    <x v="2"/>
    <n v="5"/>
    <x v="0"/>
    <n v="5"/>
    <n v="216.35"/>
    <n v="216.35"/>
    <n v="1081.75"/>
    <n v="1081.75"/>
    <s v="user_705@company.com"/>
    <x v="4"/>
    <s v="user_705@company.com"/>
  </r>
  <r>
    <s v="TXN-1706"/>
    <d v="2023-01-27T00:00:00"/>
    <x v="3"/>
    <s v="Furniture "/>
    <x v="2"/>
    <n v="1"/>
    <x v="1"/>
    <n v="1"/>
    <n v="211.16"/>
    <n v="211.16"/>
    <n v="211.16"/>
    <n v="211.16"/>
    <s v="user_706@company.com"/>
    <x v="3"/>
    <s v="user_706@company.com"/>
  </r>
  <r>
    <s v="TXN-1707"/>
    <d v="2023-08-30T00:00:00"/>
    <x v="2"/>
    <s v="Electronics"/>
    <x v="1"/>
    <n v="5"/>
    <x v="0"/>
    <n v="5"/>
    <n v="123.36"/>
    <n v="123.36"/>
    <n v="616.79999999999995"/>
    <n v="616.79999999999995"/>
    <s v="user_707@company.com"/>
    <x v="4"/>
    <s v="user_707@company.com"/>
  </r>
  <r>
    <s v="TXN-1708"/>
    <d v="2023-03-12T00:00:00"/>
    <x v="1"/>
    <s v="Office Supplies"/>
    <x v="0"/>
    <n v="-6"/>
    <x v="0"/>
    <n v="6"/>
    <n v="76.819999999999993"/>
    <n v="76.819999999999993"/>
    <n v="460.92"/>
    <n v="614.55999999999995"/>
    <s v="invalid_email_at_gmail.com"/>
    <x v="0"/>
    <s v="invalid_email@gmail.com"/>
  </r>
  <r>
    <s v="TXN-1709"/>
    <d v="2023-03-22T00:00:00"/>
    <x v="4"/>
    <s v="Electronics"/>
    <x v="1"/>
    <n v="6"/>
    <x v="0"/>
    <n v="6"/>
    <n v="106.38"/>
    <n v="106.38"/>
    <n v="638.28"/>
    <n v="638.28"/>
    <s v="user_709@company.com"/>
    <x v="0"/>
    <s v="user_709@company.com"/>
  </r>
  <r>
    <s v="TXN-1710"/>
    <d v="2023-09-01T00:00:00"/>
    <x v="2"/>
    <s v="Electronics"/>
    <x v="1"/>
    <n v="2"/>
    <x v="1"/>
    <n v="2"/>
    <n v="37.11"/>
    <n v="37.11"/>
    <n v="74.22"/>
    <n v="385.24"/>
    <s v="user_710@company.com"/>
    <x v="4"/>
    <s v="user_710@company.com"/>
  </r>
  <r>
    <s v="TXN-1711"/>
    <d v="2023-05-28T00:00:00"/>
    <x v="0"/>
    <s v="Office Supplies"/>
    <x v="0"/>
    <n v="5"/>
    <x v="0"/>
    <n v="5"/>
    <n v="107.08"/>
    <n v="107.08"/>
    <n v="535.4"/>
    <n v="535.4"/>
    <s v="user_711@company.com"/>
    <x v="0"/>
    <s v="user_711@company.com"/>
  </r>
  <r>
    <s v="TXN-1712"/>
    <d v="2023-01-31T00:00:00"/>
    <x v="2"/>
    <s v="Furniture "/>
    <x v="2"/>
    <n v="5"/>
    <x v="0"/>
    <n v="5"/>
    <n v="14.51"/>
    <n v="14.51"/>
    <n v="72.55"/>
    <n v="355.73"/>
    <s v="user_712@company.com"/>
    <x v="0"/>
    <s v="user_712@company.com"/>
  </r>
  <r>
    <s v="TXN-1713"/>
    <d v="2023-04-29T00:00:00"/>
    <x v="3"/>
    <s v="Office Supplies"/>
    <x v="0"/>
    <n v="4"/>
    <x v="0"/>
    <n v="4"/>
    <n v="317.36"/>
    <n v="317.36"/>
    <n v="1269.44"/>
    <n v="1269.44"/>
    <s v="user_713@company.com"/>
    <x v="2"/>
    <s v="user_713@company.com"/>
  </r>
  <r>
    <s v="TXN-1714"/>
    <d v="2023-03-31T00:00:00"/>
    <x v="0"/>
    <s v="Electronics"/>
    <x v="1"/>
    <n v="6"/>
    <x v="0"/>
    <n v="6"/>
    <n v="165.02"/>
    <n v="165.02"/>
    <n v="990.12"/>
    <n v="990.12"/>
    <s v="user_714@company.com"/>
    <x v="2"/>
    <s v="user_714@company.com"/>
  </r>
  <r>
    <s v="TXN-1715"/>
    <d v="2023-04-01T00:00:00"/>
    <x v="2"/>
    <s v="Electronics"/>
    <x v="1"/>
    <n v="5"/>
    <x v="0"/>
    <n v="5"/>
    <n v="486.84"/>
    <n v="486.84"/>
    <n v="2434.1999999999998"/>
    <n v="2434.1999999999998"/>
    <s v="user_715@company.com"/>
    <x v="1"/>
    <s v="user_715@company.com"/>
  </r>
  <r>
    <s v="TXN-1716"/>
    <d v="2023-07-23T00:00:00"/>
    <x v="0"/>
    <s v="Furniture "/>
    <x v="2"/>
    <n v="6"/>
    <x v="0"/>
    <n v="6"/>
    <n v="104.92"/>
    <n v="104.92"/>
    <n v="629.52"/>
    <n v="629.52"/>
    <s v="user_716@company.com"/>
    <x v="1"/>
    <s v="user_716@company.com"/>
  </r>
  <r>
    <s v="TXN-1717"/>
    <d v="2023-05-29T00:00:00"/>
    <x v="1"/>
    <s v="Office Supplies"/>
    <x v="0"/>
    <n v="5"/>
    <x v="0"/>
    <n v="5"/>
    <n v="179.46"/>
    <n v="179.46"/>
    <n v="897.3"/>
    <n v="897.3"/>
    <s v="user_717@company.com"/>
    <x v="2"/>
    <s v="user_717@company.com"/>
  </r>
  <r>
    <s v="TXN-1718"/>
    <d v="1899-12-31T00:00:00"/>
    <x v="3"/>
    <s v="Furniture"/>
    <x v="2"/>
    <n v="4"/>
    <x v="0"/>
    <n v="4"/>
    <n v="185.34"/>
    <n v="185.34"/>
    <n v="741.36"/>
    <n v="741.36"/>
    <s v="user_718@company.com"/>
    <x v="1"/>
    <s v="user_718@company.com"/>
  </r>
  <r>
    <s v="TXN-1719"/>
    <d v="2023-02-24T00:00:00"/>
    <x v="3"/>
    <s v="Office Supplies"/>
    <x v="0"/>
    <n v="7"/>
    <x v="0"/>
    <n v="7"/>
    <n v="14.14"/>
    <n v="14.14"/>
    <n v="98.98"/>
    <m/>
    <s v="user_719@company.com"/>
    <x v="1"/>
    <s v="user_719@company.com"/>
  </r>
  <r>
    <s v="TXN-1720"/>
    <d v="2023-11-25T00:00:00"/>
    <x v="3"/>
    <s v="Electronics"/>
    <x v="1"/>
    <n v="5"/>
    <x v="0"/>
    <n v="5"/>
    <n v="421.21"/>
    <n v="421.21"/>
    <n v="2106.0500000000002"/>
    <n v="2106.0500000000002"/>
    <s v="user_720@company.com"/>
    <x v="0"/>
    <s v="user_720@company.com"/>
  </r>
  <r>
    <s v="TXN-1721"/>
    <d v="2023-03-10T00:00:00"/>
    <x v="3"/>
    <s v="Office Supplies"/>
    <x v="0"/>
    <n v="7"/>
    <x v="0"/>
    <n v="7"/>
    <m/>
    <n v="0"/>
    <n v="0"/>
    <n v="179.76"/>
    <s v="user_721@company.com"/>
    <x v="4"/>
    <s v="user_721@company.com"/>
  </r>
  <r>
    <s v="TXN-1722"/>
    <d v="2023-02-27T00:00:00"/>
    <x v="2"/>
    <s v="Office Supplies"/>
    <x v="0"/>
    <n v="6"/>
    <x v="0"/>
    <n v="6"/>
    <n v="470.69"/>
    <n v="470.69"/>
    <n v="2824.14"/>
    <n v="2824.14"/>
    <s v="user_722@company.com"/>
    <x v="0"/>
    <s v="user_722@company.com"/>
  </r>
  <r>
    <s v="TXN-1723"/>
    <d v="2023-08-23T00:00:00"/>
    <x v="1"/>
    <s v="Electronics"/>
    <x v="1"/>
    <n v="4"/>
    <x v="0"/>
    <n v="4"/>
    <n v="447.12"/>
    <n v="447.12"/>
    <n v="1788.48"/>
    <n v="1788.48"/>
    <s v="user_723@company.com"/>
    <x v="2"/>
    <s v="user_723@company.com"/>
  </r>
  <r>
    <s v="TXN-1724"/>
    <d v="2023-01-08T00:00:00"/>
    <x v="1"/>
    <s v="Electronics"/>
    <x v="1"/>
    <n v="8"/>
    <x v="2"/>
    <n v="8"/>
    <n v="272.41000000000003"/>
    <n v="272.41000000000003"/>
    <n v="2179.2800000000002"/>
    <n v="2179.2800000000002"/>
    <s v="user_724@company.com"/>
    <x v="0"/>
    <s v="user_724@company.com"/>
  </r>
  <r>
    <s v="TXN-1725"/>
    <d v="1899-12-31T00:00:00"/>
    <x v="0"/>
    <s v="Furniture"/>
    <x v="2"/>
    <n v="9999"/>
    <x v="0"/>
    <n v="5"/>
    <n v="276.36"/>
    <n v="276.36"/>
    <n v="1381.8"/>
    <n v="1105.44"/>
    <s v="user_725@company.com"/>
    <x v="0"/>
    <s v="user_725@company.com"/>
  </r>
  <r>
    <s v="TXN-1726"/>
    <d v="2023-11-24T00:00:00"/>
    <x v="0"/>
    <s v="Office Supplies"/>
    <x v="0"/>
    <n v="3"/>
    <x v="1"/>
    <n v="3"/>
    <s v="$250.00"/>
    <n v="250"/>
    <n v="750"/>
    <n v="991.05"/>
    <s v="user_726@company.com"/>
    <x v="4"/>
    <s v="user_726@company.com"/>
  </r>
  <r>
    <s v="TXN-1727"/>
    <d v="2023-09-21T00:00:00"/>
    <x v="4"/>
    <s v="Electronics"/>
    <x v="1"/>
    <n v="5"/>
    <x v="0"/>
    <n v="5"/>
    <n v="199.65"/>
    <n v="199.65"/>
    <n v="998.25"/>
    <n v="998.25"/>
    <s v="user_727@company.com"/>
    <x v="2"/>
    <s v="user_727@company.com"/>
  </r>
  <r>
    <s v="TXN-1728"/>
    <d v="1899-12-31T00:00:00"/>
    <x v="2"/>
    <s v="Electronics"/>
    <x v="1"/>
    <n v="-1"/>
    <x v="1"/>
    <n v="1"/>
    <n v="327.14"/>
    <n v="327.14"/>
    <n v="327.14"/>
    <n v="3271.4"/>
    <s v="user_728@company.com"/>
    <x v="0"/>
    <s v="user_728@company.com"/>
  </r>
  <r>
    <s v="TXN-1729"/>
    <d v="2023-05-04T00:00:00"/>
    <x v="0"/>
    <s v="Furniture"/>
    <x v="2"/>
    <n v="6"/>
    <x v="0"/>
    <n v="6"/>
    <n v="31.94"/>
    <n v="31.94"/>
    <n v="191.64"/>
    <n v="191.64"/>
    <s v="invalid_email_at_gmail.com"/>
    <x v="4"/>
    <s v="invalid_email@gmail.com"/>
  </r>
  <r>
    <s v="TXN-1730"/>
    <d v="2023-05-08T00:00:00"/>
    <x v="3"/>
    <s v="Furniture "/>
    <x v="2"/>
    <n v="4"/>
    <x v="0"/>
    <n v="4"/>
    <n v="36.479999999999997"/>
    <n v="36.479999999999997"/>
    <n v="145.91999999999999"/>
    <n v="564.4"/>
    <s v="user_730@company.com"/>
    <x v="1"/>
    <s v="user_730@company.com"/>
  </r>
  <r>
    <s v="TXN-1731"/>
    <d v="2023-05-01T00:00:00"/>
    <x v="4"/>
    <s v="Office Supplies"/>
    <x v="0"/>
    <n v="3"/>
    <x v="1"/>
    <n v="3"/>
    <n v="234.04"/>
    <n v="234.04"/>
    <n v="702.12"/>
    <n v="702.12"/>
    <s v="user_731@company.com"/>
    <x v="4"/>
    <s v="user_731@company.com"/>
  </r>
  <r>
    <s v="TXN-1732"/>
    <d v="2023-06-18T00:00:00"/>
    <x v="2"/>
    <s v="Office Supplies"/>
    <x v="0"/>
    <n v="3"/>
    <x v="1"/>
    <n v="3"/>
    <m/>
    <n v="0"/>
    <n v="0"/>
    <n v="837.93"/>
    <s v="user_732@company.com"/>
    <x v="4"/>
    <s v="user_732@company.com"/>
  </r>
  <r>
    <s v="TXN-1733"/>
    <d v="2023-10-21T00:00:00"/>
    <x v="4"/>
    <s v="Office Supplies"/>
    <x v="0"/>
    <n v="5"/>
    <x v="0"/>
    <n v="5"/>
    <n v="445.03"/>
    <n v="445.03"/>
    <n v="2225.15"/>
    <n v="2225.15"/>
    <s v="user_733@company.com"/>
    <x v="0"/>
    <s v="user_733@company.com"/>
  </r>
  <r>
    <s v="TXN-1734"/>
    <d v="2023-04-07T00:00:00"/>
    <x v="0"/>
    <s v="Electronics"/>
    <x v="1"/>
    <n v="2"/>
    <x v="1"/>
    <n v="2"/>
    <n v="61.28"/>
    <n v="61.28"/>
    <n v="122.56"/>
    <n v="122.56"/>
    <s v="user_734@company.com"/>
    <x v="4"/>
    <s v="user_734@company.com"/>
  </r>
  <r>
    <s v="TXN-1735"/>
    <d v="1899-12-31T00:00:00"/>
    <x v="0"/>
    <s v="Electronics"/>
    <x v="1"/>
    <n v="6"/>
    <x v="0"/>
    <n v="6"/>
    <n v="413.1"/>
    <n v="413.1"/>
    <n v="2478.6"/>
    <n v="2478.6"/>
    <s v="user_735@company.com"/>
    <x v="0"/>
    <s v="user_735@company.com"/>
  </r>
  <r>
    <s v="TXN-1736"/>
    <d v="2023-07-06T00:00:00"/>
    <x v="0"/>
    <s v="Office Supplies"/>
    <x v="0"/>
    <n v="9999"/>
    <x v="0"/>
    <n v="5"/>
    <n v="112.92"/>
    <n v="112.92"/>
    <n v="564.6"/>
    <n v="225.84"/>
    <s v="user_736@company.com"/>
    <x v="2"/>
    <s v="user_736@company.com"/>
  </r>
  <r>
    <s v="TXN-1737"/>
    <d v="2023-09-15T00:00:00"/>
    <x v="2"/>
    <s v="Office Supplies"/>
    <x v="0"/>
    <n v="5"/>
    <x v="0"/>
    <n v="5"/>
    <n v="203.1"/>
    <n v="203.1"/>
    <n v="1015.5"/>
    <n v="1015.5"/>
    <s v="user_737@company.com"/>
    <x v="0"/>
    <s v="user_737@company.com"/>
  </r>
  <r>
    <s v="TXN-1738"/>
    <d v="2023-11-24T00:00:00"/>
    <x v="1"/>
    <s v="Office Supplies"/>
    <x v="0"/>
    <n v="2"/>
    <x v="1"/>
    <n v="2"/>
    <n v="165.14"/>
    <n v="165.14"/>
    <n v="330.28"/>
    <n v="330.28"/>
    <s v="user_738@company.com"/>
    <x v="4"/>
    <s v="user_738@company.com"/>
  </r>
  <r>
    <s v="TXN-1739"/>
    <d v="1899-12-31T00:00:00"/>
    <x v="1"/>
    <s v="Furniture "/>
    <x v="2"/>
    <n v="6"/>
    <x v="0"/>
    <n v="6"/>
    <n v="206.08"/>
    <n v="206.08"/>
    <n v="1236.48"/>
    <n v="1236.48"/>
    <s v="user_739@company.com"/>
    <x v="2"/>
    <s v="user_739@company.com"/>
  </r>
  <r>
    <s v="TXN-1740"/>
    <d v="2023-02-09T00:00:00"/>
    <x v="1"/>
    <s v="Furniture"/>
    <x v="2"/>
    <n v="3"/>
    <x v="1"/>
    <n v="3"/>
    <n v="83.74"/>
    <n v="83.74"/>
    <n v="251.22"/>
    <n v="251.22"/>
    <s v="user_740@company.com"/>
    <x v="3"/>
    <s v="user_740@company.com"/>
  </r>
  <r>
    <s v="TXN-1741"/>
    <d v="2023-11-07T00:00:00"/>
    <x v="1"/>
    <s v="Furniture "/>
    <x v="2"/>
    <n v="5"/>
    <x v="0"/>
    <n v="5"/>
    <n v="256.75"/>
    <n v="256.75"/>
    <n v="1283.75"/>
    <n v="1700.31"/>
    <s v="user_741@company.com"/>
    <x v="0"/>
    <s v="user_741@company.com"/>
  </r>
  <r>
    <s v="TXN-1742"/>
    <d v="2023-10-09T00:00:00"/>
    <x v="2"/>
    <s v="Electronics"/>
    <x v="1"/>
    <n v="2"/>
    <x v="1"/>
    <n v="2"/>
    <n v="402.8"/>
    <n v="402.8"/>
    <n v="805.6"/>
    <n v="805.6"/>
    <s v="user_742@company.com"/>
    <x v="2"/>
    <s v="user_742@company.com"/>
  </r>
  <r>
    <s v="TXN-1743"/>
    <d v="2023-07-12T00:00:00"/>
    <x v="1"/>
    <s v="Furniture "/>
    <x v="2"/>
    <n v="6"/>
    <x v="0"/>
    <n v="6"/>
    <n v="226.35"/>
    <n v="226.35"/>
    <n v="1358.1"/>
    <n v="1358.1"/>
    <s v="user_743@company.com"/>
    <x v="1"/>
    <s v="user_743@company.com"/>
  </r>
  <r>
    <s v="TXN-1744"/>
    <d v="2023-12-15T00:00:00"/>
    <x v="3"/>
    <s v="Office Supplies"/>
    <x v="0"/>
    <n v="6"/>
    <x v="0"/>
    <n v="6"/>
    <n v="250.4"/>
    <n v="250.4"/>
    <n v="1502.4"/>
    <n v="1502.4"/>
    <s v="user_744@company.com"/>
    <x v="0"/>
    <s v="user_744@company.com"/>
  </r>
  <r>
    <s v="TXN-1745"/>
    <d v="2023-09-28T00:00:00"/>
    <x v="1"/>
    <s v="Electronics"/>
    <x v="1"/>
    <n v="7"/>
    <x v="0"/>
    <n v="7"/>
    <n v="425.9"/>
    <n v="425.9"/>
    <n v="2981.3"/>
    <n v="2981.3"/>
    <s v="user_745@company.com"/>
    <x v="2"/>
    <s v="user_745@company.com"/>
  </r>
  <r>
    <s v="TXN-1746"/>
    <d v="1899-12-31T00:00:00"/>
    <x v="3"/>
    <s v="Furniture "/>
    <x v="2"/>
    <n v="6"/>
    <x v="0"/>
    <n v="6"/>
    <n v="355.97"/>
    <n v="355.97"/>
    <n v="2135.8200000000002"/>
    <n v="2135.8200000000002"/>
    <s v="user_746@company.com"/>
    <x v="0"/>
    <s v="user_746@company.com"/>
  </r>
  <r>
    <s v="TXN-1747"/>
    <d v="2023-01-02T00:00:00"/>
    <x v="0"/>
    <s v="Furniture"/>
    <x v="2"/>
    <n v="6"/>
    <x v="0"/>
    <n v="6"/>
    <n v="250.32"/>
    <n v="250.32"/>
    <n v="1501.92"/>
    <n v="1501.92"/>
    <s v="invalid_email_at_gmail.com"/>
    <x v="3"/>
    <s v="invalid_email@gmail.com"/>
  </r>
  <r>
    <s v="TXN-1748"/>
    <d v="1899-12-31T00:00:00"/>
    <x v="2"/>
    <s v="Electronics"/>
    <x v="1"/>
    <m/>
    <x v="0"/>
    <n v="5"/>
    <n v="-187.29"/>
    <n v="187.29"/>
    <n v="936.45"/>
    <n v="905.95"/>
    <s v="user_748@company.com"/>
    <x v="2"/>
    <s v="user_748@company.com"/>
  </r>
  <r>
    <s v="TXN-1749"/>
    <d v="2023-09-24T00:00:00"/>
    <x v="0"/>
    <s v="Office Supplies"/>
    <x v="0"/>
    <n v="4"/>
    <x v="0"/>
    <n v="4"/>
    <n v="443.61"/>
    <n v="443.61"/>
    <n v="1774.44"/>
    <n v="1774.44"/>
    <s v="user_749@company.com"/>
    <x v="2"/>
    <s v="user_749@company.com"/>
  </r>
  <r>
    <s v="TXN-1750"/>
    <d v="2023-04-16T00:00:00"/>
    <x v="1"/>
    <s v="Office Supplies"/>
    <x v="0"/>
    <n v="7"/>
    <x v="0"/>
    <n v="7"/>
    <n v="292.74"/>
    <n v="292.74"/>
    <n v="2049.1799999999998"/>
    <n v="2447.79"/>
    <s v="user_750@company.com"/>
    <x v="2"/>
    <s v="user_750@company.com"/>
  </r>
  <r>
    <s v="TXN-1751"/>
    <d v="1899-12-31T00:00:00"/>
    <x v="1"/>
    <s v="Electronics"/>
    <x v="1"/>
    <m/>
    <x v="0"/>
    <n v="5"/>
    <n v="118.36"/>
    <n v="118.36"/>
    <n v="591.79999999999995"/>
    <n v="591.79999999999995"/>
    <m/>
    <x v="2"/>
    <s v="unknown@domain.com"/>
  </r>
  <r>
    <s v="TXN-1752"/>
    <d v="2023-01-29T00:00:00"/>
    <x v="4"/>
    <s v="Electronics"/>
    <x v="1"/>
    <n v="5"/>
    <x v="0"/>
    <n v="5"/>
    <n v="141.87"/>
    <n v="141.87"/>
    <n v="709.35"/>
    <n v="807.87"/>
    <s v="user_752@company.com"/>
    <x v="3"/>
    <s v="user_752@company.com"/>
  </r>
  <r>
    <s v="TXN-1753"/>
    <d v="2023-08-01T00:00:00"/>
    <x v="0"/>
    <s v="Office Supplies"/>
    <x v="0"/>
    <n v="8"/>
    <x v="2"/>
    <n v="8"/>
    <n v="403.54"/>
    <n v="403.54"/>
    <n v="3228.32"/>
    <n v="3228.32"/>
    <s v="user_753@company.com"/>
    <x v="2"/>
    <s v="user_753@company.com"/>
  </r>
  <r>
    <s v="TXN-1754"/>
    <d v="2023-10-14T00:00:00"/>
    <x v="1"/>
    <s v="Furniture"/>
    <x v="2"/>
    <n v="4"/>
    <x v="0"/>
    <n v="4"/>
    <n v="31.63"/>
    <n v="31.63"/>
    <n v="126.52"/>
    <n v="126.52"/>
    <m/>
    <x v="0"/>
    <s v="unknown@domain.com"/>
  </r>
  <r>
    <s v="TXN-1755"/>
    <d v="2023-06-07T00:00:00"/>
    <x v="3"/>
    <s v="Office Supplies"/>
    <x v="0"/>
    <n v="2"/>
    <x v="1"/>
    <n v="2"/>
    <n v="496.13"/>
    <n v="496.13"/>
    <n v="992.26"/>
    <n v="1095.77"/>
    <s v="user_755@company.com"/>
    <x v="0"/>
    <s v="user_755@company.com"/>
  </r>
  <r>
    <s v="TXN-1756"/>
    <d v="2023-02-01T00:00:00"/>
    <x v="2"/>
    <s v="Furniture"/>
    <x v="2"/>
    <n v="3"/>
    <x v="1"/>
    <n v="3"/>
    <n v="73.87"/>
    <n v="73.87"/>
    <n v="221.61"/>
    <n v="221.61"/>
    <s v="user_756@company.com"/>
    <x v="2"/>
    <s v="user_756@company.com"/>
  </r>
  <r>
    <s v="TXN-1757"/>
    <d v="2023-01-24T00:00:00"/>
    <x v="1"/>
    <s v="Electronics"/>
    <x v="1"/>
    <n v="4"/>
    <x v="0"/>
    <n v="4"/>
    <n v="400.07"/>
    <n v="400.07"/>
    <n v="1600.28"/>
    <n v="1950.69"/>
    <s v="user_757@company.com"/>
    <x v="2"/>
    <s v="user_757@company.com"/>
  </r>
  <r>
    <s v="TXN-1758"/>
    <d v="2023-02-02T00:00:00"/>
    <x v="1"/>
    <s v="Office Supplies"/>
    <x v="0"/>
    <n v="6"/>
    <x v="0"/>
    <n v="6"/>
    <n v="203.44"/>
    <n v="203.44"/>
    <n v="1220.6400000000001"/>
    <n v="1220.6400000000001"/>
    <s v="user_758@company.com"/>
    <x v="0"/>
    <s v="user_758@company.com"/>
  </r>
  <r>
    <s v="TXN-1759"/>
    <d v="2023-02-05T00:00:00"/>
    <x v="1"/>
    <s v="Furniture "/>
    <x v="2"/>
    <n v="9"/>
    <x v="2"/>
    <n v="9"/>
    <n v="251.19"/>
    <n v="251.19"/>
    <n v="2260.71"/>
    <n v="2260.71"/>
    <s v="user_759@company.com"/>
    <x v="3"/>
    <s v="user_759@company.com"/>
  </r>
  <r>
    <s v="TXN-1760"/>
    <d v="1899-12-31T00:00:00"/>
    <x v="3"/>
    <s v="Office Supplies"/>
    <x v="0"/>
    <n v="3"/>
    <x v="1"/>
    <n v="3"/>
    <n v="441.52"/>
    <n v="441.52"/>
    <n v="1324.56"/>
    <n v="1324.56"/>
    <s v="user_760@company.com"/>
    <x v="3"/>
    <s v="user_760@company.com"/>
  </r>
  <r>
    <s v="TXN-1761"/>
    <d v="2023-03-11T00:00:00"/>
    <x v="4"/>
    <s v="Office Supplies"/>
    <x v="0"/>
    <n v="-1"/>
    <x v="1"/>
    <n v="1"/>
    <n v="212.33"/>
    <n v="212.33"/>
    <n v="212.33"/>
    <n v="1061.6500000000001"/>
    <s v="user_761@company.com"/>
    <x v="4"/>
    <s v="user_761@company.com"/>
  </r>
  <r>
    <s v="TXN-1762"/>
    <d v="2023-07-15T00:00:00"/>
    <x v="1"/>
    <s v="Electronics"/>
    <x v="1"/>
    <n v="3"/>
    <x v="1"/>
    <n v="3"/>
    <n v="273.37"/>
    <n v="273.37"/>
    <n v="820.11"/>
    <n v="820.11"/>
    <s v="user_762@company.com"/>
    <x v="1"/>
    <s v="user_762@company.com"/>
  </r>
  <r>
    <s v="TXN-1763"/>
    <d v="2023-07-13T00:00:00"/>
    <x v="4"/>
    <s v="Furniture"/>
    <x v="2"/>
    <n v="2"/>
    <x v="1"/>
    <n v="2"/>
    <n v="34.159999999999997"/>
    <n v="34.159999999999997"/>
    <n v="68.319999999999993"/>
    <n v="68.319999999999993"/>
    <s v="user_763@company.com"/>
    <x v="1"/>
    <s v="user_763@company.com"/>
  </r>
  <r>
    <s v="TXN-1764"/>
    <d v="1899-12-31T00:00:00"/>
    <x v="0"/>
    <s v="Electronics"/>
    <x v="1"/>
    <n v="4"/>
    <x v="0"/>
    <n v="4"/>
    <n v="11.15"/>
    <n v="11.15"/>
    <n v="44.6"/>
    <n v="44.6"/>
    <s v="user_764@company.com"/>
    <x v="2"/>
    <s v="user_764@company.com"/>
  </r>
  <r>
    <s v="TXN-1765"/>
    <d v="2023-04-10T00:00:00"/>
    <x v="2"/>
    <s v="Furniture"/>
    <x v="2"/>
    <n v="9"/>
    <x v="2"/>
    <n v="9"/>
    <n v="129.94999999999999"/>
    <n v="129.94999999999999"/>
    <n v="1169.55"/>
    <n v="1600.19"/>
    <s v="user_765@company.com"/>
    <x v="4"/>
    <s v="user_765@company.com"/>
  </r>
  <r>
    <s v="TXN-1766"/>
    <d v="2023-06-28T00:00:00"/>
    <x v="4"/>
    <s v="Electronics"/>
    <x v="1"/>
    <n v="4"/>
    <x v="0"/>
    <n v="4"/>
    <n v="343.49"/>
    <n v="343.49"/>
    <n v="1373.96"/>
    <n v="1373.96"/>
    <s v="user_766@company.com"/>
    <x v="0"/>
    <s v="user_766@company.com"/>
  </r>
  <r>
    <s v="TXN-1767"/>
    <d v="2023-10-03T00:00:00"/>
    <x v="2"/>
    <s v="Furniture "/>
    <x v="2"/>
    <n v="5"/>
    <x v="0"/>
    <n v="5"/>
    <n v="69.42"/>
    <n v="69.42"/>
    <n v="347.1"/>
    <n v="347.1"/>
    <s v="user_767@company.com"/>
    <x v="1"/>
    <s v="user_767@company.com"/>
  </r>
  <r>
    <s v="TXN-1768"/>
    <d v="2023-04-25T00:00:00"/>
    <x v="3"/>
    <s v="Electronics"/>
    <x v="1"/>
    <n v="8"/>
    <x v="2"/>
    <n v="8"/>
    <n v="65.739999999999995"/>
    <n v="65.739999999999995"/>
    <n v="525.91999999999996"/>
    <n v="525.91999999999996"/>
    <s v="user_768@company.com"/>
    <x v="4"/>
    <s v="user_768@company.com"/>
  </r>
  <r>
    <s v="TXN-1769"/>
    <d v="2023-06-02T00:00:00"/>
    <x v="1"/>
    <s v="Office Supplies"/>
    <x v="0"/>
    <n v="5"/>
    <x v="0"/>
    <n v="5"/>
    <n v="211.37"/>
    <n v="211.37"/>
    <n v="1056.8499999999999"/>
    <n v="1690.96"/>
    <m/>
    <x v="4"/>
    <s v="unknown@domain.com"/>
  </r>
  <r>
    <s v="TXN-1770"/>
    <d v="2023-10-06T00:00:00"/>
    <x v="3"/>
    <s v="Electronics"/>
    <x v="1"/>
    <n v="5"/>
    <x v="0"/>
    <n v="5"/>
    <n v="327.44"/>
    <n v="327.44"/>
    <n v="1637.2"/>
    <n v="1637.2"/>
    <s v="user_770@company.com"/>
    <x v="2"/>
    <s v="user_770@company.com"/>
  </r>
  <r>
    <s v="TXN-1771"/>
    <d v="1899-12-31T00:00:00"/>
    <x v="2"/>
    <s v="Electronics"/>
    <x v="1"/>
    <n v="3"/>
    <x v="1"/>
    <n v="3"/>
    <n v="358.92"/>
    <n v="358.92"/>
    <n v="1076.76"/>
    <n v="1076.76"/>
    <s v="user_771@company.com"/>
    <x v="4"/>
    <s v="user_771@company.com"/>
  </r>
  <r>
    <s v="TXN-1772"/>
    <d v="2023-03-21T00:00:00"/>
    <x v="0"/>
    <s v="Office Supplies"/>
    <x v="0"/>
    <n v="-7"/>
    <x v="0"/>
    <n v="7"/>
    <n v="97.44"/>
    <n v="97.44"/>
    <n v="682.08"/>
    <n v="876.96"/>
    <s v="user_772@company.com"/>
    <x v="2"/>
    <s v="user_772@company.com"/>
  </r>
  <r>
    <s v="TXN-1773"/>
    <d v="2023-02-27T00:00:00"/>
    <x v="1"/>
    <s v="Electronics"/>
    <x v="1"/>
    <n v="2"/>
    <x v="1"/>
    <n v="2"/>
    <n v="49"/>
    <n v="49"/>
    <n v="98"/>
    <n v="98"/>
    <s v="user_773@company.com"/>
    <x v="4"/>
    <s v="user_773@company.com"/>
  </r>
  <r>
    <s v="TXN-1774"/>
    <d v="2023-08-03T00:00:00"/>
    <x v="2"/>
    <s v="Electronics"/>
    <x v="1"/>
    <n v="8"/>
    <x v="2"/>
    <n v="8"/>
    <n v="470.79"/>
    <n v="470.79"/>
    <n v="3766.32"/>
    <n v="4076.48"/>
    <s v="user_774@company.com"/>
    <x v="4"/>
    <s v="user_774@company.com"/>
  </r>
  <r>
    <s v="TXN-1775"/>
    <d v="2023-02-04T00:00:00"/>
    <x v="1"/>
    <s v="Electronics"/>
    <x v="1"/>
    <n v="7"/>
    <x v="0"/>
    <n v="7"/>
    <n v="137.72999999999999"/>
    <n v="137.72999999999999"/>
    <n v="964.11"/>
    <n v="1111.76"/>
    <s v="user_775@company.com"/>
    <x v="4"/>
    <s v="user_775@company.com"/>
  </r>
  <r>
    <s v="TXN-1776"/>
    <d v="2023-08-17T00:00:00"/>
    <x v="2"/>
    <s v="Office Supplies"/>
    <x v="0"/>
    <n v="6"/>
    <x v="0"/>
    <n v="6"/>
    <n v="428.14"/>
    <n v="428.14"/>
    <n v="2568.84"/>
    <m/>
    <s v="user_776@company.com"/>
    <x v="2"/>
    <s v="user_776@company.com"/>
  </r>
  <r>
    <s v="TXN-1777"/>
    <d v="2023-01-23T00:00:00"/>
    <x v="1"/>
    <s v="Electronics"/>
    <x v="1"/>
    <n v="9"/>
    <x v="2"/>
    <n v="9"/>
    <n v="433.11"/>
    <n v="433.11"/>
    <n v="3897.99"/>
    <m/>
    <s v="user_777@company.com"/>
    <x v="4"/>
    <s v="user_777@company.com"/>
  </r>
  <r>
    <s v="TXN-1778"/>
    <d v="2023-04-10T00:00:00"/>
    <x v="3"/>
    <s v="Electronics"/>
    <x v="1"/>
    <n v="3"/>
    <x v="1"/>
    <n v="3"/>
    <n v="388.54"/>
    <n v="388.54"/>
    <n v="1165.6199999999999"/>
    <n v="1165.6199999999999"/>
    <s v="user_778@company.com"/>
    <x v="1"/>
    <s v="user_778@company.com"/>
  </r>
  <r>
    <s v="TXN-1779"/>
    <d v="1899-12-31T00:00:00"/>
    <x v="2"/>
    <s v="Office Supplies"/>
    <x v="0"/>
    <n v="6"/>
    <x v="0"/>
    <n v="6"/>
    <n v="92.73"/>
    <n v="92.73"/>
    <n v="556.38"/>
    <n v="556.38"/>
    <s v="user_at_company"/>
    <x v="4"/>
    <s v="user@company"/>
  </r>
  <r>
    <s v="TXN-1780"/>
    <d v="1899-12-31T00:00:00"/>
    <x v="2"/>
    <s v="Office Supplies"/>
    <x v="0"/>
    <n v="7"/>
    <x v="0"/>
    <n v="7"/>
    <n v="412.68"/>
    <n v="412.68"/>
    <n v="2888.76"/>
    <n v="2888.76"/>
    <s v="user_780@company.com"/>
    <x v="0"/>
    <s v="user_780@company.com"/>
  </r>
  <r>
    <s v="TXN-1781"/>
    <d v="2023-10-22T00:00:00"/>
    <x v="3"/>
    <s v="Office Supplies"/>
    <x v="0"/>
    <n v="7"/>
    <x v="0"/>
    <n v="7"/>
    <n v="386.93"/>
    <n v="386.93"/>
    <n v="2708.51"/>
    <n v="2854.82"/>
    <s v="user_781@company.com"/>
    <x v="0"/>
    <s v="user_781@company.com"/>
  </r>
  <r>
    <s v="TXN-1782"/>
    <d v="2023-12-11T00:00:00"/>
    <x v="1"/>
    <s v="Furniture "/>
    <x v="2"/>
    <n v="5"/>
    <x v="0"/>
    <n v="5"/>
    <n v="302.39"/>
    <n v="302.39"/>
    <n v="1511.95"/>
    <n v="1511.95"/>
    <s v="user_782@company.com"/>
    <x v="4"/>
    <s v="user_782@company.com"/>
  </r>
  <r>
    <s v="TXN-1783"/>
    <d v="1899-12-31T00:00:00"/>
    <x v="3"/>
    <s v="Office Supplies"/>
    <x v="0"/>
    <n v="5"/>
    <x v="0"/>
    <n v="5"/>
    <n v="175.23"/>
    <n v="175.23"/>
    <n v="876.15"/>
    <n v="876.15"/>
    <s v="user_783@company.com"/>
    <x v="2"/>
    <s v="user_783@company.com"/>
  </r>
  <r>
    <s v="TXN-1784"/>
    <d v="2023-05-21T00:00:00"/>
    <x v="0"/>
    <s v="Furniture "/>
    <x v="2"/>
    <n v="1"/>
    <x v="1"/>
    <n v="1"/>
    <n v="138.63"/>
    <n v="138.63"/>
    <n v="138.63"/>
    <n v="138.63"/>
    <s v="user_784@company.com"/>
    <x v="1"/>
    <s v="user_784@company.com"/>
  </r>
  <r>
    <s v="TXN-1785"/>
    <d v="1899-12-31T00:00:00"/>
    <x v="0"/>
    <s v="Electronics"/>
    <x v="1"/>
    <n v="7"/>
    <x v="0"/>
    <n v="7"/>
    <n v="69.73"/>
    <n v="69.73"/>
    <n v="488.11"/>
    <n v="488.11"/>
    <s v="user_785@company.com"/>
    <x v="0"/>
    <s v="user_785@company.com"/>
  </r>
  <r>
    <s v="TXN-1786"/>
    <d v="2023-08-07T00:00:00"/>
    <x v="3"/>
    <s v="Furniture"/>
    <x v="2"/>
    <n v="4"/>
    <x v="0"/>
    <n v="4"/>
    <n v="259.77999999999997"/>
    <n v="259.77999999999997"/>
    <n v="1039.1199999999999"/>
    <n v="1039.1199999999999"/>
    <s v="user_786@company.com"/>
    <x v="0"/>
    <s v="user_786@company.com"/>
  </r>
  <r>
    <s v="TXN-1787"/>
    <d v="1899-12-31T00:00:00"/>
    <x v="3"/>
    <s v="Electronics"/>
    <x v="1"/>
    <n v="7"/>
    <x v="0"/>
    <n v="7"/>
    <n v="296.77999999999997"/>
    <n v="296.77999999999997"/>
    <n v="2077.46"/>
    <n v="2077.46"/>
    <s v="user_787@company.com"/>
    <x v="1"/>
    <s v="user_787@company.com"/>
  </r>
  <r>
    <s v="TXN-1788"/>
    <d v="2023-11-26T00:00:00"/>
    <x v="3"/>
    <s v="Electronics"/>
    <x v="1"/>
    <n v="5"/>
    <x v="0"/>
    <n v="5"/>
    <n v="186.08"/>
    <n v="186.08"/>
    <n v="930.4"/>
    <n v="930.4"/>
    <s v="user_788@company.com"/>
    <x v="3"/>
    <s v="user_788@company.com"/>
  </r>
  <r>
    <s v="TXN-1790"/>
    <d v="2023-06-03T00:00:00"/>
    <x v="0"/>
    <s v="Electronics"/>
    <x v="1"/>
    <m/>
    <x v="1"/>
    <n v="3"/>
    <n v="188.12"/>
    <n v="188.12"/>
    <n v="564.36"/>
    <n v="564.36"/>
    <s v="user_790@company.com"/>
    <x v="4"/>
    <s v="user_790@company.com"/>
  </r>
  <r>
    <s v="TXN-1791"/>
    <d v="2023-10-03T00:00:00"/>
    <x v="4"/>
    <s v="Furniture "/>
    <x v="2"/>
    <n v="5"/>
    <x v="0"/>
    <n v="5"/>
    <n v="324.08999999999997"/>
    <n v="324.08999999999997"/>
    <n v="1620.45"/>
    <n v="1620.45"/>
    <s v="user_791@company.com"/>
    <x v="0"/>
    <s v="user_791@company.com"/>
  </r>
  <r>
    <s v="TXN-1792"/>
    <d v="2023-04-26T00:00:00"/>
    <x v="2"/>
    <s v="Furniture"/>
    <x v="2"/>
    <n v="9999"/>
    <x v="0"/>
    <n v="5"/>
    <n v="451.62"/>
    <n v="451.62"/>
    <n v="2258.1"/>
    <n v="2258.1"/>
    <s v="user_792@company.com"/>
    <x v="2"/>
    <s v="user_792@company.com"/>
  </r>
  <r>
    <s v="TXN-1793"/>
    <d v="2023-03-15T00:00:00"/>
    <x v="2"/>
    <s v="Furniture"/>
    <x v="2"/>
    <n v="4"/>
    <x v="0"/>
    <n v="4"/>
    <n v="90.32"/>
    <n v="90.32"/>
    <n v="361.28"/>
    <n v="361.28"/>
    <s v="user_793@company.com"/>
    <x v="4"/>
    <s v="user_793@company.com"/>
  </r>
  <r>
    <s v="TXN-1794"/>
    <d v="2023-10-15T00:00:00"/>
    <x v="2"/>
    <s v="Furniture"/>
    <x v="2"/>
    <n v="5"/>
    <x v="0"/>
    <n v="5"/>
    <n v="196.89"/>
    <n v="196.89"/>
    <n v="984.45"/>
    <n v="590.66999999999996"/>
    <s v="user_794@company.com"/>
    <x v="1"/>
    <s v="user_794@company.com"/>
  </r>
  <r>
    <s v="TXN-1795"/>
    <d v="1899-12-31T00:00:00"/>
    <x v="1"/>
    <s v="Electronics"/>
    <x v="1"/>
    <n v="-6"/>
    <x v="0"/>
    <n v="6"/>
    <n v="79.03"/>
    <n v="79.03"/>
    <n v="474.18"/>
    <n v="237.09"/>
    <s v="user_795@company.com"/>
    <x v="2"/>
    <s v="user_795@company.com"/>
  </r>
  <r>
    <s v="TXN-1796"/>
    <d v="2023-11-05T00:00:00"/>
    <x v="1"/>
    <s v="Office Supplies"/>
    <x v="0"/>
    <n v="5"/>
    <x v="0"/>
    <n v="5"/>
    <n v="316.22000000000003"/>
    <n v="316.22000000000003"/>
    <n v="1581.1"/>
    <n v="1581.1"/>
    <s v="user_796@company.com"/>
    <x v="3"/>
    <s v="user_796@company.com"/>
  </r>
  <r>
    <s v="TXN-1797"/>
    <d v="2023-02-10T00:00:00"/>
    <x v="3"/>
    <s v="Electronics"/>
    <x v="1"/>
    <n v="10"/>
    <x v="2"/>
    <n v="10"/>
    <n v="367.15"/>
    <n v="367.15"/>
    <n v="3671.5"/>
    <n v="3671.5"/>
    <s v="user_797@company.com"/>
    <x v="2"/>
    <s v="user_797@company.com"/>
  </r>
  <r>
    <s v="TXN-1798"/>
    <d v="1899-12-31T00:00:00"/>
    <x v="2"/>
    <s v="Office Supplies"/>
    <x v="0"/>
    <n v="2"/>
    <x v="1"/>
    <n v="2"/>
    <n v="466.64"/>
    <n v="466.64"/>
    <n v="933.28"/>
    <n v="933.28"/>
    <s v="user_798@company.com"/>
    <x v="0"/>
    <s v="user_798@company.com"/>
  </r>
  <r>
    <s v="TXN-1799"/>
    <d v="1899-12-31T00:00:00"/>
    <x v="0"/>
    <s v="Electronics"/>
    <x v="1"/>
    <n v="5"/>
    <x v="0"/>
    <n v="5"/>
    <n v="146.65"/>
    <n v="146.65"/>
    <n v="733.25"/>
    <m/>
    <s v="user_799@company.com"/>
    <x v="3"/>
    <s v="user_799@company.com"/>
  </r>
  <r>
    <s v="TXN-1800"/>
    <d v="2023-11-06T00:00:00"/>
    <x v="4"/>
    <s v="Office Supplies"/>
    <x v="0"/>
    <n v="3"/>
    <x v="1"/>
    <n v="3"/>
    <n v="475.6"/>
    <n v="475.6"/>
    <n v="1426.8"/>
    <n v="1426.8"/>
    <s v="user_800@company.com"/>
    <x v="3"/>
    <s v="user_800@company.com"/>
  </r>
  <r>
    <s v="TXN-1801"/>
    <d v="2023-07-04T00:00:00"/>
    <x v="4"/>
    <s v="Office Supplies"/>
    <x v="0"/>
    <n v="9999"/>
    <x v="0"/>
    <n v="5"/>
    <n v="41"/>
    <n v="41"/>
    <n v="205"/>
    <n v="361.65"/>
    <s v="user_801@company.com"/>
    <x v="3"/>
    <s v="user_801@company.com"/>
  </r>
  <r>
    <s v="TXN-1802"/>
    <d v="2023-06-20T00:00:00"/>
    <x v="0"/>
    <s v="Electronics"/>
    <x v="1"/>
    <m/>
    <x v="0"/>
    <n v="6"/>
    <n v="305.48"/>
    <n v="305.48"/>
    <n v="1832.88"/>
    <n v="1832.88"/>
    <s v="user_802@company.com"/>
    <x v="4"/>
    <s v="user_802@company.com"/>
  </r>
  <r>
    <s v="TXN-1803"/>
    <d v="2023-08-01T00:00:00"/>
    <x v="1"/>
    <s v="Office Supplies"/>
    <x v="0"/>
    <n v="3"/>
    <x v="1"/>
    <n v="3"/>
    <n v="38"/>
    <n v="38"/>
    <n v="114"/>
    <n v="114"/>
    <s v="invalid_email_at_gmail.com"/>
    <x v="0"/>
    <s v="invalid_email@gmail.com"/>
  </r>
  <r>
    <s v="TXN-1805"/>
    <d v="1899-12-31T00:00:00"/>
    <x v="3"/>
    <s v="Office Supplies"/>
    <x v="0"/>
    <n v="4"/>
    <x v="0"/>
    <n v="4"/>
    <n v="269.61"/>
    <n v="269.61"/>
    <n v="1078.44"/>
    <n v="1078.44"/>
    <s v="user_805@company.com"/>
    <x v="0"/>
    <s v="user_805@company.com"/>
  </r>
  <r>
    <s v="TXN-1806"/>
    <d v="2023-05-03T00:00:00"/>
    <x v="1"/>
    <s v="Electronics"/>
    <x v="1"/>
    <n v="5"/>
    <x v="0"/>
    <n v="5"/>
    <n v="337.98"/>
    <n v="337.98"/>
    <n v="1689.9"/>
    <n v="1689.9"/>
    <s v="user_806@company.com"/>
    <x v="1"/>
    <s v="user_806@company.com"/>
  </r>
  <r>
    <s v="TXN-1807"/>
    <d v="2023-07-14T00:00:00"/>
    <x v="3"/>
    <s v="Electronics"/>
    <x v="1"/>
    <n v="8"/>
    <x v="2"/>
    <n v="8"/>
    <n v="417.47"/>
    <n v="417.47"/>
    <n v="3339.76"/>
    <n v="3339.76"/>
    <s v="user_807@company.com"/>
    <x v="3"/>
    <s v="user_807@company.com"/>
  </r>
  <r>
    <s v="TXN-1808"/>
    <d v="2023-07-03T00:00:00"/>
    <x v="0"/>
    <s v="Furniture"/>
    <x v="2"/>
    <n v="5"/>
    <x v="0"/>
    <n v="5"/>
    <s v="$250.00"/>
    <n v="250"/>
    <n v="1250"/>
    <n v="418.25"/>
    <s v="user_808@company.com"/>
    <x v="1"/>
    <s v="user_808@company.com"/>
  </r>
  <r>
    <s v="TXN-1809"/>
    <d v="2023-09-20T00:00:00"/>
    <x v="2"/>
    <s v="Furniture"/>
    <x v="2"/>
    <n v="6"/>
    <x v="0"/>
    <n v="6"/>
    <n v="28.91"/>
    <n v="28.91"/>
    <n v="173.46"/>
    <n v="173.46"/>
    <s v="user_809@company.com"/>
    <x v="0"/>
    <s v="user_809@company.com"/>
  </r>
  <r>
    <s v="TXN-1810"/>
    <d v="2023-08-29T00:00:00"/>
    <x v="0"/>
    <s v="Electronics"/>
    <x v="1"/>
    <n v="3"/>
    <x v="1"/>
    <n v="3"/>
    <n v="440.65"/>
    <n v="440.65"/>
    <n v="1321.95"/>
    <n v="1321.95"/>
    <m/>
    <x v="4"/>
    <s v="unknown@domain.com"/>
  </r>
  <r>
    <s v="TXN-1811"/>
    <d v="2023-07-09T00:00:00"/>
    <x v="1"/>
    <s v="Office Supplies"/>
    <x v="0"/>
    <n v="4"/>
    <x v="0"/>
    <n v="4"/>
    <n v="164.32"/>
    <n v="164.32"/>
    <n v="657.28"/>
    <m/>
    <s v="user_811@company.com"/>
    <x v="3"/>
    <s v="user_811@company.com"/>
  </r>
  <r>
    <s v="TXN-1812"/>
    <d v="1899-12-31T00:00:00"/>
    <x v="2"/>
    <s v="Electronics"/>
    <x v="1"/>
    <n v="5"/>
    <x v="0"/>
    <n v="5"/>
    <n v="73.2"/>
    <n v="73.2"/>
    <n v="366"/>
    <n v="794.48"/>
    <m/>
    <x v="0"/>
    <s v="unknown@domain.com"/>
  </r>
  <r>
    <s v="TXN-1813"/>
    <d v="2023-01-09T00:00:00"/>
    <x v="3"/>
    <s v="Furniture "/>
    <x v="2"/>
    <n v="6"/>
    <x v="0"/>
    <n v="6"/>
    <n v="239.55"/>
    <n v="239.55"/>
    <n v="1437.3"/>
    <n v="1437.3"/>
    <s v="user_813@company.com"/>
    <x v="0"/>
    <s v="user_813@company.com"/>
  </r>
  <r>
    <s v="TXN-1814"/>
    <d v="2023-10-27T00:00:00"/>
    <x v="2"/>
    <s v="Office Supplies"/>
    <x v="0"/>
    <n v="7"/>
    <x v="0"/>
    <n v="7"/>
    <n v="303.17"/>
    <n v="303.17"/>
    <n v="2122.19"/>
    <n v="2122.19"/>
    <s v="user_814@company.com"/>
    <x v="4"/>
    <s v="user_814@company.com"/>
  </r>
  <r>
    <s v="TXN-1815"/>
    <d v="2023-04-11T00:00:00"/>
    <x v="2"/>
    <s v="Furniture"/>
    <x v="2"/>
    <m/>
    <x v="0"/>
    <n v="5"/>
    <n v="25.18"/>
    <n v="25.18"/>
    <n v="125.9"/>
    <n v="125.9"/>
    <s v="invalid_email_at_gmail.com"/>
    <x v="0"/>
    <s v="invalid_email@gmail.com"/>
  </r>
  <r>
    <s v="TXN-1816"/>
    <d v="1899-12-31T00:00:00"/>
    <x v="2"/>
    <s v="Furniture"/>
    <x v="2"/>
    <m/>
    <x v="1"/>
    <n v="2"/>
    <n v="144.69999999999999"/>
    <n v="144.69999999999999"/>
    <n v="289.39999999999998"/>
    <n v="289.39999999999998"/>
    <s v="user_816@company.com"/>
    <x v="2"/>
    <s v="user_816@company.com"/>
  </r>
  <r>
    <s v="TXN-1817"/>
    <d v="2023-12-02T00:00:00"/>
    <x v="2"/>
    <s v="Furniture"/>
    <x v="2"/>
    <n v="6"/>
    <x v="0"/>
    <n v="6"/>
    <n v="26.07"/>
    <n v="26.07"/>
    <n v="156.41999999999999"/>
    <n v="156.41999999999999"/>
    <s v="user_817@company.com"/>
    <x v="2"/>
    <s v="user_817@company.com"/>
  </r>
  <r>
    <s v="TXN-1818"/>
    <d v="2023-09-08T00:00:00"/>
    <x v="1"/>
    <s v="Electronics"/>
    <x v="1"/>
    <n v="4"/>
    <x v="0"/>
    <n v="4"/>
    <n v="215.96"/>
    <n v="215.96"/>
    <n v="863.84"/>
    <n v="863.84"/>
    <s v="user_818@company.com"/>
    <x v="0"/>
    <s v="user_818@company.com"/>
  </r>
  <r>
    <s v="TXN-1819"/>
    <d v="1899-12-31T00:00:00"/>
    <x v="0"/>
    <s v="Electronics"/>
    <x v="1"/>
    <n v="2"/>
    <x v="1"/>
    <n v="2"/>
    <n v="448.6"/>
    <n v="448.6"/>
    <n v="897.2"/>
    <n v="897.2"/>
    <s v="user_819@company.com"/>
    <x v="3"/>
    <s v="user_819@company.com"/>
  </r>
  <r>
    <s v="TXN-1820"/>
    <d v="2023-10-07T00:00:00"/>
    <x v="0"/>
    <s v="Office Supplies"/>
    <x v="0"/>
    <n v="4"/>
    <x v="0"/>
    <n v="4"/>
    <n v="491.5"/>
    <n v="491.5"/>
    <n v="1966"/>
    <n v="1966"/>
    <s v="user_820@company.com"/>
    <x v="4"/>
    <s v="user_820@company.com"/>
  </r>
  <r>
    <s v="TXN-1821"/>
    <d v="2023-10-05T00:00:00"/>
    <x v="3"/>
    <s v="Office Supplies"/>
    <x v="0"/>
    <n v="2"/>
    <x v="1"/>
    <n v="2"/>
    <n v="322.14999999999998"/>
    <n v="322.14999999999998"/>
    <n v="644.29999999999995"/>
    <n v="758.82"/>
    <s v="user_821@company.com"/>
    <x v="0"/>
    <s v="user_821@company.com"/>
  </r>
  <r>
    <s v="TXN-1822"/>
    <d v="2023-02-08T00:00:00"/>
    <x v="2"/>
    <s v="Office Supplies"/>
    <x v="0"/>
    <n v="3"/>
    <x v="1"/>
    <n v="3"/>
    <n v="89.2"/>
    <n v="89.2"/>
    <n v="267.60000000000002"/>
    <n v="267.60000000000002"/>
    <s v="user_822@company.com"/>
    <x v="4"/>
    <s v="user_822@company.com"/>
  </r>
  <r>
    <s v="TXN-1823"/>
    <d v="1899-12-31T00:00:00"/>
    <x v="1"/>
    <s v="Office Supplies"/>
    <x v="0"/>
    <n v="4"/>
    <x v="0"/>
    <n v="4"/>
    <n v="453.87"/>
    <n v="453.87"/>
    <n v="1815.48"/>
    <n v="1815.48"/>
    <s v="user_823@company.com"/>
    <x v="2"/>
    <s v="user_823@company.com"/>
  </r>
  <r>
    <s v="TXN-1824"/>
    <d v="2023-04-29T00:00:00"/>
    <x v="1"/>
    <s v="Furniture"/>
    <x v="2"/>
    <n v="7"/>
    <x v="0"/>
    <n v="7"/>
    <s v="$250.00"/>
    <n v="250"/>
    <n v="1750"/>
    <n v="1840.72"/>
    <s v="user_824@company.com"/>
    <x v="3"/>
    <s v="user_824@company.com"/>
  </r>
  <r>
    <s v="TXN-1825"/>
    <d v="2023-05-01T00:00:00"/>
    <x v="1"/>
    <s v="Office Supplies"/>
    <x v="0"/>
    <n v="5"/>
    <x v="0"/>
    <n v="5"/>
    <n v="85.34"/>
    <n v="85.34"/>
    <n v="426.7"/>
    <n v="426.7"/>
    <s v="user_825@company.com"/>
    <x v="2"/>
    <s v="user_825@company.com"/>
  </r>
  <r>
    <s v="TXN-1826"/>
    <d v="2023-07-11T00:00:00"/>
    <x v="2"/>
    <s v="Office Supplies"/>
    <x v="0"/>
    <n v="5"/>
    <x v="0"/>
    <n v="5"/>
    <n v="461.65"/>
    <n v="461.65"/>
    <n v="2308.25"/>
    <n v="2308.25"/>
    <s v="user_826@company.com"/>
    <x v="1"/>
    <s v="user_826@company.com"/>
  </r>
  <r>
    <s v="TXN-1827"/>
    <d v="2023-12-08T00:00:00"/>
    <x v="2"/>
    <s v="Electronics"/>
    <x v="1"/>
    <n v="7"/>
    <x v="0"/>
    <n v="7"/>
    <n v="381.16"/>
    <n v="381.16"/>
    <n v="2668.12"/>
    <n v="3156.96"/>
    <s v="user_827@company.com"/>
    <x v="2"/>
    <s v="user_827@company.com"/>
  </r>
  <r>
    <s v="TXN-1828"/>
    <d v="2023-01-09T00:00:00"/>
    <x v="1"/>
    <s v="Office Supplies"/>
    <x v="0"/>
    <n v="9"/>
    <x v="2"/>
    <n v="9"/>
    <n v="368.54"/>
    <n v="368.54"/>
    <n v="3316.86"/>
    <n v="3316.86"/>
    <s v="user_828@company.com"/>
    <x v="4"/>
    <s v="user_828@company.com"/>
  </r>
  <r>
    <s v="TXN-1829"/>
    <d v="2023-07-30T00:00:00"/>
    <x v="1"/>
    <s v="Office Supplies"/>
    <x v="0"/>
    <n v="7"/>
    <x v="0"/>
    <n v="7"/>
    <n v="357.5"/>
    <n v="357.5"/>
    <n v="2502.5"/>
    <n v="2502.5"/>
    <s v="user_829@company.com"/>
    <x v="2"/>
    <s v="user_829@company.com"/>
  </r>
  <r>
    <s v="TXN-1830"/>
    <d v="1899-12-31T00:00:00"/>
    <x v="0"/>
    <s v="Office Supplies"/>
    <x v="0"/>
    <n v="6"/>
    <x v="0"/>
    <n v="6"/>
    <n v="108.17"/>
    <n v="108.17"/>
    <n v="649.02"/>
    <n v="649.02"/>
    <s v="user_830@company.com"/>
    <x v="1"/>
    <s v="user_830@company.com"/>
  </r>
  <r>
    <s v="TXN-1831"/>
    <d v="2023-10-02T00:00:00"/>
    <x v="0"/>
    <s v="Electronics"/>
    <x v="1"/>
    <n v="6"/>
    <x v="0"/>
    <n v="6"/>
    <n v="113.39"/>
    <n v="113.39"/>
    <n v="680.34"/>
    <n v="680.34"/>
    <s v="user_831@company.com"/>
    <x v="4"/>
    <s v="user_831@company.com"/>
  </r>
  <r>
    <s v="TXN-1832"/>
    <d v="1899-12-31T00:00:00"/>
    <x v="3"/>
    <s v="Electronics"/>
    <x v="1"/>
    <n v="9"/>
    <x v="2"/>
    <n v="9"/>
    <n v="347.26"/>
    <n v="347.26"/>
    <n v="3125.34"/>
    <n v="3125.34"/>
    <s v="user_832@company.com"/>
    <x v="0"/>
    <s v="user_832@company.com"/>
  </r>
  <r>
    <s v="TXN-1833"/>
    <d v="2023-12-12T00:00:00"/>
    <x v="1"/>
    <s v="Office Supplies"/>
    <x v="0"/>
    <n v="2"/>
    <x v="1"/>
    <n v="2"/>
    <n v="117.66"/>
    <n v="117.66"/>
    <n v="235.32"/>
    <n v="235.32"/>
    <s v="user_833@company.com"/>
    <x v="1"/>
    <s v="user_833@company.com"/>
  </r>
  <r>
    <s v="TXN-1834"/>
    <d v="2023-04-02T00:00:00"/>
    <x v="0"/>
    <s v="Office Supplies"/>
    <x v="0"/>
    <n v="3"/>
    <x v="1"/>
    <n v="3"/>
    <n v="224.95"/>
    <n v="224.95"/>
    <n v="674.85"/>
    <n v="674.85"/>
    <s v="user_834@company.com"/>
    <x v="4"/>
    <s v="user_834@company.com"/>
  </r>
  <r>
    <s v="TXN-1835"/>
    <d v="1899-12-31T00:00:00"/>
    <x v="2"/>
    <s v="Electronics"/>
    <x v="1"/>
    <n v="9"/>
    <x v="2"/>
    <n v="9"/>
    <n v="393.18"/>
    <n v="393.18"/>
    <n v="3538.62"/>
    <n v="3538.62"/>
    <s v="user_835@company.com"/>
    <x v="0"/>
    <s v="user_835@company.com"/>
  </r>
  <r>
    <s v="TXN-1836"/>
    <d v="2023-11-14T00:00:00"/>
    <x v="3"/>
    <s v="Furniture"/>
    <x v="2"/>
    <n v="3"/>
    <x v="1"/>
    <n v="3"/>
    <n v="394.14"/>
    <n v="394.14"/>
    <n v="1182.42"/>
    <n v="1182.42"/>
    <s v="user_836@company.com"/>
    <x v="0"/>
    <s v="user_836@company.com"/>
  </r>
  <r>
    <s v="TXN-1837"/>
    <d v="2023-05-17T00:00:00"/>
    <x v="1"/>
    <s v="Office Supplies"/>
    <x v="0"/>
    <n v="8"/>
    <x v="2"/>
    <n v="8"/>
    <m/>
    <n v="0"/>
    <n v="0"/>
    <n v="1856.8"/>
    <s v="user_837@company.com"/>
    <x v="4"/>
    <s v="user_837@company.com"/>
  </r>
  <r>
    <s v="TXN-1838"/>
    <d v="1899-12-31T00:00:00"/>
    <x v="1"/>
    <s v="Electronics"/>
    <x v="1"/>
    <n v="5"/>
    <x v="0"/>
    <n v="5"/>
    <n v="398.17"/>
    <n v="398.17"/>
    <n v="1990.85"/>
    <n v="1990.85"/>
    <s v="user_838@company.com"/>
    <x v="0"/>
    <s v="user_838@company.com"/>
  </r>
  <r>
    <s v="TXN-1839"/>
    <d v="1899-12-31T00:00:00"/>
    <x v="1"/>
    <s v="Office Supplies"/>
    <x v="0"/>
    <n v="4"/>
    <x v="0"/>
    <n v="4"/>
    <n v="-154.13999999999999"/>
    <n v="154.13999999999999"/>
    <n v="616.55999999999995"/>
    <n v="1683.68"/>
    <s v="user_839@company.com"/>
    <x v="0"/>
    <s v="user_839@company.com"/>
  </r>
  <r>
    <s v="TXN-1840"/>
    <d v="2023-04-26T00:00:00"/>
    <x v="2"/>
    <s v="Electronics"/>
    <x v="1"/>
    <n v="9"/>
    <x v="2"/>
    <n v="9"/>
    <n v="330.84"/>
    <n v="330.84"/>
    <n v="2977.56"/>
    <n v="2977.56"/>
    <s v="user_840@company.com"/>
    <x v="0"/>
    <s v="user_840@company.com"/>
  </r>
  <r>
    <s v="TXN-1841"/>
    <d v="2023-02-11T00:00:00"/>
    <x v="3"/>
    <s v="Furniture"/>
    <x v="2"/>
    <n v="2"/>
    <x v="1"/>
    <n v="2"/>
    <n v="121.93"/>
    <n v="121.93"/>
    <n v="243.86"/>
    <n v="243.86"/>
    <s v="user_841@company.com"/>
    <x v="1"/>
    <s v="user_841@company.com"/>
  </r>
  <r>
    <s v="TXN-1842"/>
    <d v="1899-12-31T00:00:00"/>
    <x v="1"/>
    <s v="Furniture "/>
    <x v="2"/>
    <n v="5"/>
    <x v="0"/>
    <n v="5"/>
    <n v="144.27000000000001"/>
    <n v="144.27000000000001"/>
    <n v="721.35"/>
    <n v="721.35"/>
    <s v="user_842@company.com"/>
    <x v="4"/>
    <s v="user_842@company.com"/>
  </r>
  <r>
    <s v="TXN-1843"/>
    <d v="2023-10-10T00:00:00"/>
    <x v="1"/>
    <s v="Office Supplies"/>
    <x v="0"/>
    <n v="10"/>
    <x v="2"/>
    <n v="10"/>
    <n v="164.27"/>
    <n v="164.27"/>
    <n v="1642.7"/>
    <m/>
    <s v="user_843@company.com"/>
    <x v="0"/>
    <s v="user_843@company.com"/>
  </r>
  <r>
    <s v="TXN-1844"/>
    <d v="1899-12-31T00:00:00"/>
    <x v="1"/>
    <s v="Office Supplies"/>
    <x v="0"/>
    <n v="5"/>
    <x v="0"/>
    <n v="5"/>
    <n v="67.23"/>
    <n v="67.23"/>
    <n v="336.15"/>
    <n v="336.15"/>
    <s v="user_844@company.com"/>
    <x v="2"/>
    <s v="user_844@company.com"/>
  </r>
  <r>
    <s v="TXN-1845"/>
    <d v="1899-12-31T00:00:00"/>
    <x v="1"/>
    <s v="Furniture "/>
    <x v="2"/>
    <n v="4"/>
    <x v="0"/>
    <n v="4"/>
    <n v="143.85"/>
    <n v="143.85"/>
    <n v="575.4"/>
    <n v="575.4"/>
    <s v="user_845@company.com"/>
    <x v="2"/>
    <s v="user_845@company.com"/>
  </r>
  <r>
    <s v="TXN-1846"/>
    <d v="2023-09-13T00:00:00"/>
    <x v="1"/>
    <s v="Furniture "/>
    <x v="2"/>
    <n v="7"/>
    <x v="0"/>
    <n v="7"/>
    <n v="112.66"/>
    <n v="112.66"/>
    <n v="788.62"/>
    <n v="788.62"/>
    <s v="user_846@company.com"/>
    <x v="0"/>
    <s v="user_846@company.com"/>
  </r>
  <r>
    <s v="TXN-1847"/>
    <d v="2023-06-19T00:00:00"/>
    <x v="0"/>
    <s v="Office Supplies"/>
    <x v="0"/>
    <n v="3"/>
    <x v="1"/>
    <n v="3"/>
    <n v="233.11"/>
    <n v="233.11"/>
    <n v="699.33"/>
    <n v="699.33"/>
    <s v="user_847@company.com"/>
    <x v="0"/>
    <s v="user_847@company.com"/>
  </r>
  <r>
    <s v="TXN-1848"/>
    <d v="1899-12-31T00:00:00"/>
    <x v="2"/>
    <s v="Electronics"/>
    <x v="1"/>
    <n v="6"/>
    <x v="0"/>
    <n v="6"/>
    <n v="455.13"/>
    <n v="455.13"/>
    <n v="2730.78"/>
    <n v="2730.78"/>
    <s v="invalid_email_at_gmail.com"/>
    <x v="0"/>
    <s v="invalid_email@gmail.com"/>
  </r>
  <r>
    <s v="TXN-1849"/>
    <d v="2023-12-21T00:00:00"/>
    <x v="1"/>
    <s v="Office Supplies"/>
    <x v="0"/>
    <n v="3"/>
    <x v="1"/>
    <n v="3"/>
    <n v="61.2"/>
    <n v="61.2"/>
    <n v="183.6"/>
    <n v="183.6"/>
    <s v="user_849@company.com"/>
    <x v="3"/>
    <s v="user_849@company.com"/>
  </r>
  <r>
    <s v="TXN-1850"/>
    <d v="2023-02-08T00:00:00"/>
    <x v="4"/>
    <s v="Furniture "/>
    <x v="2"/>
    <n v="3"/>
    <x v="1"/>
    <n v="3"/>
    <n v="362.93"/>
    <n v="362.93"/>
    <n v="1088.79"/>
    <n v="1088.79"/>
    <s v="user_850@company.com"/>
    <x v="0"/>
    <s v="user_850@company.com"/>
  </r>
  <r>
    <s v="TXN-1851"/>
    <d v="2023-10-16T00:00:00"/>
    <x v="0"/>
    <s v="Electronics"/>
    <x v="1"/>
    <n v="4"/>
    <x v="0"/>
    <n v="4"/>
    <n v="346.77"/>
    <n v="346.77"/>
    <n v="1387.08"/>
    <n v="1387.08"/>
    <s v="user_851@company.com"/>
    <x v="4"/>
    <s v="user_851@company.com"/>
  </r>
  <r>
    <s v="TXN-1852"/>
    <d v="2023-06-11T00:00:00"/>
    <x v="0"/>
    <s v="Electronics"/>
    <x v="1"/>
    <n v="1"/>
    <x v="1"/>
    <n v="1"/>
    <n v="-180.34"/>
    <n v="180.34"/>
    <n v="180.34"/>
    <n v="130.69999999999999"/>
    <s v="user_852@company.com"/>
    <x v="0"/>
    <s v="user_852@company.com"/>
  </r>
  <r>
    <s v="TXN-1853"/>
    <d v="1899-12-31T00:00:00"/>
    <x v="3"/>
    <s v="Office Supplies"/>
    <x v="0"/>
    <n v="2"/>
    <x v="1"/>
    <n v="2"/>
    <n v="462.06"/>
    <n v="462.06"/>
    <n v="924.12"/>
    <n v="1279.27"/>
    <s v="user_853@company.com"/>
    <x v="0"/>
    <s v="user_853@company.com"/>
  </r>
  <r>
    <s v="TXN-1854"/>
    <d v="2023-12-31T00:00:00"/>
    <x v="3"/>
    <s v="Office Supplies"/>
    <x v="0"/>
    <n v="4"/>
    <x v="0"/>
    <n v="4"/>
    <n v="288.55"/>
    <n v="288.55"/>
    <n v="1154.2"/>
    <n v="1154.2"/>
    <s v="user_854@company.com"/>
    <x v="4"/>
    <s v="user_854@company.com"/>
  </r>
  <r>
    <s v="TXN-1855"/>
    <d v="2023-03-06T00:00:00"/>
    <x v="2"/>
    <s v="Electronics"/>
    <x v="1"/>
    <n v="5"/>
    <x v="0"/>
    <n v="5"/>
    <n v="188.23"/>
    <n v="188.23"/>
    <n v="941.15"/>
    <n v="941.15"/>
    <s v="user_855@company.com"/>
    <x v="4"/>
    <s v="user_855@company.com"/>
  </r>
  <r>
    <s v="TXN-1856"/>
    <d v="2023-10-18T00:00:00"/>
    <x v="3"/>
    <s v="Electronics"/>
    <x v="1"/>
    <n v="8"/>
    <x v="2"/>
    <n v="8"/>
    <n v="380.7"/>
    <n v="380.7"/>
    <n v="3045.6"/>
    <n v="3045.6"/>
    <s v="user_856@company.com"/>
    <x v="4"/>
    <s v="user_856@company.com"/>
  </r>
  <r>
    <s v="TXN-1857"/>
    <d v="2023-10-04T00:00:00"/>
    <x v="3"/>
    <s v="Electronics"/>
    <x v="1"/>
    <n v="9999"/>
    <x v="0"/>
    <n v="5"/>
    <n v="136.11000000000001"/>
    <n v="136.11000000000001"/>
    <n v="680.55"/>
    <n v="952.77"/>
    <s v="user_857@company.com"/>
    <x v="4"/>
    <s v="user_857@company.com"/>
  </r>
  <r>
    <s v="TXN-1858"/>
    <d v="2023-03-13T00:00:00"/>
    <x v="3"/>
    <s v="Electronics"/>
    <x v="1"/>
    <n v="7"/>
    <x v="0"/>
    <n v="7"/>
    <n v="349.82"/>
    <n v="349.82"/>
    <n v="2448.7399999999998"/>
    <n v="2448.7399999999998"/>
    <s v="user_858@company.com"/>
    <x v="3"/>
    <s v="user_858@company.com"/>
  </r>
  <r>
    <s v="TXN-1859"/>
    <d v="2023-06-27T00:00:00"/>
    <x v="1"/>
    <s v="Office Supplies"/>
    <x v="0"/>
    <n v="2"/>
    <x v="1"/>
    <n v="2"/>
    <n v="29.46"/>
    <n v="29.46"/>
    <n v="58.92"/>
    <n v="143.35"/>
    <s v="user_859@company.com"/>
    <x v="0"/>
    <s v="user_859@company.com"/>
  </r>
  <r>
    <s v="TXN-1860"/>
    <d v="1899-12-31T00:00:00"/>
    <x v="3"/>
    <s v="Office Supplies"/>
    <x v="0"/>
    <n v="6"/>
    <x v="0"/>
    <n v="6"/>
    <n v="421.31"/>
    <n v="421.31"/>
    <n v="2527.86"/>
    <n v="2527.86"/>
    <s v="user_860@company.com"/>
    <x v="4"/>
    <s v="user_860@company.com"/>
  </r>
  <r>
    <s v="TXN-1861"/>
    <d v="2023-02-08T00:00:00"/>
    <x v="1"/>
    <s v="Office Supplies"/>
    <x v="0"/>
    <n v="8"/>
    <x v="2"/>
    <n v="8"/>
    <n v="229.6"/>
    <n v="229.6"/>
    <n v="1836.8"/>
    <n v="1836.8"/>
    <s v="user_861@company.com"/>
    <x v="0"/>
    <s v="user_861@company.com"/>
  </r>
  <r>
    <s v="TXN-1862"/>
    <d v="2023-11-11T00:00:00"/>
    <x v="2"/>
    <s v="Office Supplies"/>
    <x v="0"/>
    <n v="6"/>
    <x v="0"/>
    <n v="6"/>
    <n v="321.98"/>
    <n v="321.98"/>
    <n v="1931.88"/>
    <n v="1931.88"/>
    <s v="invalid_email_at_gmail.com"/>
    <x v="0"/>
    <s v="invalid_email@gmail.com"/>
  </r>
  <r>
    <s v="TXN-1863"/>
    <d v="2023-06-17T00:00:00"/>
    <x v="1"/>
    <s v="Electronics"/>
    <x v="1"/>
    <n v="4"/>
    <x v="0"/>
    <n v="4"/>
    <n v="118.41"/>
    <n v="118.41"/>
    <n v="473.64"/>
    <n v="473.64"/>
    <s v="user_863@company.com"/>
    <x v="2"/>
    <s v="user_863@company.com"/>
  </r>
  <r>
    <s v="TXN-1864"/>
    <d v="2023-08-19T00:00:00"/>
    <x v="4"/>
    <s v="Electronics"/>
    <x v="1"/>
    <n v="4"/>
    <x v="0"/>
    <n v="4"/>
    <n v="341.77"/>
    <n v="341.77"/>
    <n v="1367.08"/>
    <n v="1367.08"/>
    <s v="user_864@company.com"/>
    <x v="4"/>
    <s v="user_864@company.com"/>
  </r>
  <r>
    <s v="TXN-1865"/>
    <d v="2023-10-11T00:00:00"/>
    <x v="1"/>
    <s v="Office Supplies"/>
    <x v="0"/>
    <n v="4"/>
    <x v="0"/>
    <n v="4"/>
    <n v="388.4"/>
    <n v="388.4"/>
    <n v="1553.6"/>
    <n v="1553.6"/>
    <s v="user_865@company.com"/>
    <x v="0"/>
    <s v="user_865@company.com"/>
  </r>
  <r>
    <s v="TXN-1866"/>
    <d v="2023-12-15T00:00:00"/>
    <x v="4"/>
    <s v="Furniture"/>
    <x v="2"/>
    <n v="1"/>
    <x v="1"/>
    <n v="1"/>
    <n v="241.87"/>
    <n v="241.87"/>
    <n v="241.87"/>
    <n v="241.87"/>
    <s v="user_866@company.com"/>
    <x v="4"/>
    <s v="user_866@company.com"/>
  </r>
  <r>
    <s v="TXN-1867"/>
    <d v="1899-12-31T00:00:00"/>
    <x v="1"/>
    <s v="Office Supplies"/>
    <x v="0"/>
    <n v="6"/>
    <x v="0"/>
    <n v="6"/>
    <n v="312.69"/>
    <n v="312.69"/>
    <n v="1876.14"/>
    <n v="1876.14"/>
    <s v="invalid_email_at_gmail.com"/>
    <x v="2"/>
    <s v="invalid_email@gmail.com"/>
  </r>
  <r>
    <s v="TXN-1868"/>
    <d v="2023-05-07T00:00:00"/>
    <x v="1"/>
    <s v="Electronics"/>
    <x v="1"/>
    <n v="8"/>
    <x v="2"/>
    <n v="8"/>
    <n v="233.6"/>
    <n v="233.6"/>
    <n v="1868.8"/>
    <n v="1868.8"/>
    <s v="user_868@company.com"/>
    <x v="3"/>
    <s v="user_868@company.com"/>
  </r>
  <r>
    <s v="TXN-1869"/>
    <d v="1899-12-31T00:00:00"/>
    <x v="3"/>
    <s v="Furniture "/>
    <x v="2"/>
    <n v="7"/>
    <x v="0"/>
    <n v="7"/>
    <n v="448.1"/>
    <n v="448.1"/>
    <n v="3136.7"/>
    <n v="3136.7"/>
    <s v="user_869@company.com"/>
    <x v="0"/>
    <s v="user_869@company.com"/>
  </r>
  <r>
    <s v="TXN-1870"/>
    <d v="1899-12-31T00:00:00"/>
    <x v="2"/>
    <s v="Office Supplies"/>
    <x v="0"/>
    <n v="7"/>
    <x v="0"/>
    <n v="7"/>
    <n v="253.96"/>
    <n v="253.96"/>
    <n v="1777.72"/>
    <n v="1777.72"/>
    <m/>
    <x v="0"/>
    <s v="unknown@domain.com"/>
  </r>
  <r>
    <s v="TXN-1871"/>
    <d v="2023-06-12T00:00:00"/>
    <x v="1"/>
    <s v="Electronics"/>
    <x v="1"/>
    <n v="-7"/>
    <x v="0"/>
    <n v="7"/>
    <n v="422.49"/>
    <n v="422.49"/>
    <n v="2957.43"/>
    <n v="2778.62"/>
    <m/>
    <x v="2"/>
    <s v="unknown@domain.com"/>
  </r>
  <r>
    <s v="TXN-1872"/>
    <d v="2023-01-03T00:00:00"/>
    <x v="0"/>
    <s v="Electronics"/>
    <x v="1"/>
    <n v="6"/>
    <x v="0"/>
    <n v="6"/>
    <n v="402.66"/>
    <n v="402.66"/>
    <n v="2415.96"/>
    <n v="2415.96"/>
    <s v="user_872@company.com"/>
    <x v="4"/>
    <s v="user_872@company.com"/>
  </r>
  <r>
    <s v="TXN-1873"/>
    <d v="2023-05-19T00:00:00"/>
    <x v="0"/>
    <s v="Electronics"/>
    <x v="1"/>
    <n v="4"/>
    <x v="0"/>
    <n v="4"/>
    <n v="211.15"/>
    <n v="211.15"/>
    <n v="844.6"/>
    <n v="844.6"/>
    <s v="user_873@company.com"/>
    <x v="2"/>
    <s v="user_873@company.com"/>
  </r>
  <r>
    <s v="TXN-1874"/>
    <d v="2023-04-06T00:00:00"/>
    <x v="4"/>
    <s v="Electronics"/>
    <x v="1"/>
    <n v="3"/>
    <x v="1"/>
    <n v="3"/>
    <n v="122.74"/>
    <n v="122.74"/>
    <n v="368.22"/>
    <n v="368.22"/>
    <s v="user_874@company.com"/>
    <x v="2"/>
    <s v="user_874@company.com"/>
  </r>
  <r>
    <s v="TXN-1875"/>
    <d v="2023-10-12T00:00:00"/>
    <x v="1"/>
    <s v="Office Supplies"/>
    <x v="0"/>
    <n v="6"/>
    <x v="0"/>
    <n v="6"/>
    <n v="208.98"/>
    <n v="208.98"/>
    <n v="1253.8800000000001"/>
    <n v="1253.8800000000001"/>
    <s v="user_875@company.com"/>
    <x v="4"/>
    <s v="user_875@company.com"/>
  </r>
  <r>
    <s v="TXN-1876"/>
    <d v="2023-02-15T00:00:00"/>
    <x v="0"/>
    <s v="Office Supplies"/>
    <x v="0"/>
    <n v="3"/>
    <x v="1"/>
    <n v="3"/>
    <n v="414.85"/>
    <n v="414.85"/>
    <n v="1244.55"/>
    <n v="1244.55"/>
    <s v="user_876@company.com"/>
    <x v="0"/>
    <s v="user_876@company.com"/>
  </r>
  <r>
    <s v="TXN-1877"/>
    <d v="2023-11-02T00:00:00"/>
    <x v="2"/>
    <s v="Electronics"/>
    <x v="1"/>
    <n v="10"/>
    <x v="2"/>
    <n v="10"/>
    <n v="121.54"/>
    <n v="121.54"/>
    <n v="1215.4000000000001"/>
    <n v="1515.9"/>
    <s v="user_877@company.com"/>
    <x v="4"/>
    <s v="user_877@company.com"/>
  </r>
  <r>
    <s v="TXN-1878"/>
    <d v="2023-01-07T00:00:00"/>
    <x v="3"/>
    <s v="Office Supplies"/>
    <x v="0"/>
    <n v="5"/>
    <x v="0"/>
    <n v="5"/>
    <n v="266.97000000000003"/>
    <n v="266.97000000000003"/>
    <n v="1334.85"/>
    <n v="1334.85"/>
    <s v="user_878@company.com"/>
    <x v="3"/>
    <s v="user_878@company.com"/>
  </r>
  <r>
    <s v="TXN-1879"/>
    <d v="1899-12-31T00:00:00"/>
    <x v="3"/>
    <s v="Electronics"/>
    <x v="1"/>
    <n v="6"/>
    <x v="0"/>
    <n v="6"/>
    <n v="404.99"/>
    <n v="404.99"/>
    <n v="2429.94"/>
    <n v="2429.94"/>
    <s v="user_879@company.com"/>
    <x v="0"/>
    <s v="user_879@company.com"/>
  </r>
  <r>
    <s v="TXN-1880"/>
    <d v="2023-03-28T00:00:00"/>
    <x v="1"/>
    <s v="Office Supplies"/>
    <x v="0"/>
    <n v="6"/>
    <x v="0"/>
    <n v="6"/>
    <n v="183.2"/>
    <n v="183.2"/>
    <n v="1099.2"/>
    <n v="1099.2"/>
    <s v="user_880@company.com"/>
    <x v="1"/>
    <s v="user_880@company.com"/>
  </r>
  <r>
    <s v="TXN-1881"/>
    <d v="2023-05-18T00:00:00"/>
    <x v="2"/>
    <s v="Office Supplies"/>
    <x v="0"/>
    <n v="4"/>
    <x v="0"/>
    <n v="4"/>
    <n v="324.68"/>
    <n v="324.68"/>
    <n v="1298.72"/>
    <m/>
    <s v="user_881@company.com"/>
    <x v="2"/>
    <s v="user_881@company.com"/>
  </r>
  <r>
    <s v="TXN-1882"/>
    <d v="2023-03-16T00:00:00"/>
    <x v="1"/>
    <s v="Electronics"/>
    <x v="1"/>
    <n v="6"/>
    <x v="0"/>
    <n v="6"/>
    <s v="$250.00"/>
    <n v="250"/>
    <n v="1500"/>
    <m/>
    <s v="user_882@company.com"/>
    <x v="0"/>
    <s v="user_882@company.com"/>
  </r>
  <r>
    <s v="TXN-1883"/>
    <d v="2023-05-22T00:00:00"/>
    <x v="2"/>
    <s v="Electronics"/>
    <x v="1"/>
    <n v="5"/>
    <x v="0"/>
    <n v="5"/>
    <n v="63.55"/>
    <n v="63.55"/>
    <n v="317.75"/>
    <n v="317.75"/>
    <s v="user_883@company.com"/>
    <x v="0"/>
    <s v="user_883@company.com"/>
  </r>
  <r>
    <s v="TXN-1884"/>
    <d v="2023-02-09T00:00:00"/>
    <x v="0"/>
    <s v="Office Supplies"/>
    <x v="0"/>
    <n v="3"/>
    <x v="1"/>
    <n v="3"/>
    <n v="399.25"/>
    <n v="399.25"/>
    <n v="1197.75"/>
    <n v="1197.75"/>
    <s v="user_at_company"/>
    <x v="1"/>
    <s v="user@company"/>
  </r>
  <r>
    <s v="TXN-1885"/>
    <d v="2023-05-07T00:00:00"/>
    <x v="1"/>
    <s v="Electronics"/>
    <x v="1"/>
    <n v="2"/>
    <x v="1"/>
    <n v="2"/>
    <n v="58.49"/>
    <n v="58.49"/>
    <n v="116.98"/>
    <n v="116.98"/>
    <s v="user_885@company.com"/>
    <x v="0"/>
    <s v="user_885@company.com"/>
  </r>
  <r>
    <s v="TXN-1886"/>
    <d v="2023-04-11T00:00:00"/>
    <x v="3"/>
    <s v="Electronics"/>
    <x v="1"/>
    <n v="3"/>
    <x v="1"/>
    <n v="3"/>
    <n v="142.97999999999999"/>
    <n v="142.97999999999999"/>
    <n v="428.94"/>
    <n v="428.94"/>
    <s v="user_886@company.com"/>
    <x v="4"/>
    <s v="user_886@company.com"/>
  </r>
  <r>
    <s v="TXN-1887"/>
    <d v="2023-06-05T00:00:00"/>
    <x v="2"/>
    <s v="Electronics"/>
    <x v="1"/>
    <n v="5"/>
    <x v="0"/>
    <n v="5"/>
    <n v="429"/>
    <n v="429"/>
    <n v="2145"/>
    <n v="858"/>
    <s v="user_887@company.com"/>
    <x v="0"/>
    <s v="user_887@company.com"/>
  </r>
  <r>
    <s v="TXN-1888"/>
    <d v="2023-06-20T00:00:00"/>
    <x v="0"/>
    <s v="Electronics"/>
    <x v="1"/>
    <n v="8"/>
    <x v="2"/>
    <n v="8"/>
    <n v="179.77"/>
    <n v="179.77"/>
    <n v="1438.16"/>
    <n v="1438.16"/>
    <s v="user_888@company.com"/>
    <x v="0"/>
    <s v="user_888@company.com"/>
  </r>
  <r>
    <s v="TXN-1889"/>
    <d v="2023-06-18T00:00:00"/>
    <x v="1"/>
    <s v="Electronics"/>
    <x v="1"/>
    <n v="7"/>
    <x v="0"/>
    <n v="7"/>
    <n v="486.79"/>
    <n v="486.79"/>
    <n v="3407.53"/>
    <n v="3407.53"/>
    <s v="user_889@company.com"/>
    <x v="0"/>
    <s v="user_889@company.com"/>
  </r>
  <r>
    <s v="TXN-1890"/>
    <d v="1899-12-31T00:00:00"/>
    <x v="0"/>
    <s v="Office Supplies"/>
    <x v="0"/>
    <n v="4"/>
    <x v="0"/>
    <n v="4"/>
    <n v="490.07"/>
    <n v="490.07"/>
    <n v="1960.28"/>
    <n v="1960.28"/>
    <s v="user_890@company.com"/>
    <x v="1"/>
    <s v="user_890@company.com"/>
  </r>
  <r>
    <s v="TXN-1891"/>
    <d v="2023-05-11T00:00:00"/>
    <x v="3"/>
    <s v="Furniture "/>
    <x v="2"/>
    <n v="3"/>
    <x v="1"/>
    <n v="3"/>
    <n v="141.46"/>
    <n v="141.46"/>
    <n v="424.38"/>
    <n v="424.38"/>
    <s v="user_891@company.com"/>
    <x v="0"/>
    <s v="user_891@company.com"/>
  </r>
  <r>
    <s v="TXN-1892"/>
    <d v="2023-04-01T00:00:00"/>
    <x v="1"/>
    <s v="Furniture "/>
    <x v="2"/>
    <n v="3"/>
    <x v="1"/>
    <n v="3"/>
    <n v="30.08"/>
    <n v="30.08"/>
    <n v="90.24"/>
    <n v="90.24"/>
    <s v="user_at_company"/>
    <x v="0"/>
    <s v="user@company"/>
  </r>
  <r>
    <s v="TXN-1893"/>
    <d v="2023-05-30T00:00:00"/>
    <x v="2"/>
    <s v="Office Supplies"/>
    <x v="0"/>
    <n v="6"/>
    <x v="0"/>
    <n v="6"/>
    <n v="355.48"/>
    <n v="355.48"/>
    <n v="2132.88"/>
    <n v="2132.88"/>
    <s v="user_893@company.com"/>
    <x v="4"/>
    <s v="user_893@company.com"/>
  </r>
  <r>
    <s v="TXN-1894"/>
    <d v="2023-05-05T00:00:00"/>
    <x v="2"/>
    <s v="Furniture "/>
    <x v="2"/>
    <n v="9999"/>
    <x v="0"/>
    <n v="5"/>
    <n v="-156.31"/>
    <n v="156.31"/>
    <n v="781.55"/>
    <n v="1154.9000000000001"/>
    <s v="user_894@company.com"/>
    <x v="4"/>
    <s v="user_894@company.com"/>
  </r>
  <r>
    <s v="TXN-1895"/>
    <d v="2023-07-21T00:00:00"/>
    <x v="1"/>
    <s v="Electronics"/>
    <x v="1"/>
    <n v="1"/>
    <x v="1"/>
    <n v="1"/>
    <n v="59.37"/>
    <n v="59.37"/>
    <n v="59.37"/>
    <n v="59.37"/>
    <s v="user_895@company.com"/>
    <x v="2"/>
    <s v="user_895@company.com"/>
  </r>
  <r>
    <s v="TXN-1896"/>
    <d v="1899-12-31T00:00:00"/>
    <x v="1"/>
    <s v="Electronics"/>
    <x v="1"/>
    <n v="8"/>
    <x v="2"/>
    <n v="8"/>
    <n v="-149.49"/>
    <n v="149.49"/>
    <n v="1195.92"/>
    <n v="2853.52"/>
    <s v="invalid_email_at_gmail.com"/>
    <x v="0"/>
    <s v="invalid_email@gmail.com"/>
  </r>
  <r>
    <s v="TXN-1897"/>
    <d v="2023-07-10T00:00:00"/>
    <x v="1"/>
    <s v="Electronics"/>
    <x v="1"/>
    <n v="9"/>
    <x v="2"/>
    <n v="9"/>
    <n v="25.28"/>
    <n v="25.28"/>
    <n v="227.52"/>
    <n v="227.52"/>
    <s v="user_897@company.com"/>
    <x v="4"/>
    <s v="user_897@company.com"/>
  </r>
  <r>
    <s v="TXN-1898"/>
    <d v="2023-10-09T00:00:00"/>
    <x v="1"/>
    <s v="Furniture"/>
    <x v="2"/>
    <n v="4"/>
    <x v="0"/>
    <n v="4"/>
    <n v="436.4"/>
    <n v="436.4"/>
    <n v="1745.6"/>
    <n v="1745.6"/>
    <s v="user_898@company.com"/>
    <x v="0"/>
    <s v="user_898@company.com"/>
  </r>
  <r>
    <s v="TXN-1899"/>
    <d v="1899-12-31T00:00:00"/>
    <x v="4"/>
    <s v="Electronics"/>
    <x v="1"/>
    <n v="7"/>
    <x v="0"/>
    <n v="7"/>
    <n v="77.94"/>
    <n v="77.94"/>
    <n v="545.58000000000004"/>
    <n v="545.58000000000004"/>
    <s v="user_899@company.com"/>
    <x v="0"/>
    <s v="user_899@company.com"/>
  </r>
  <r>
    <s v="TXN-1900"/>
    <d v="2023-05-30T00:00:00"/>
    <x v="4"/>
    <s v="Furniture "/>
    <x v="2"/>
    <n v="3"/>
    <x v="1"/>
    <n v="3"/>
    <n v="72.38"/>
    <n v="72.38"/>
    <n v="217.14"/>
    <m/>
    <s v="user_900@company.com"/>
    <x v="2"/>
    <s v="user_900@company.com"/>
  </r>
  <r>
    <s v="TXN-1901"/>
    <d v="2023-07-29T00:00:00"/>
    <x v="3"/>
    <s v="Electronics"/>
    <x v="1"/>
    <n v="7"/>
    <x v="0"/>
    <n v="7"/>
    <n v="96.08"/>
    <n v="96.08"/>
    <n v="672.56"/>
    <m/>
    <s v="user_901@company.com"/>
    <x v="3"/>
    <s v="user_901@company.com"/>
  </r>
  <r>
    <s v="TXN-1902"/>
    <d v="2023-05-06T00:00:00"/>
    <x v="2"/>
    <s v="Office Supplies"/>
    <x v="0"/>
    <n v="5"/>
    <x v="0"/>
    <n v="5"/>
    <n v="480.53"/>
    <n v="480.53"/>
    <n v="2402.65"/>
    <n v="2402.65"/>
    <s v="user_902@company.com"/>
    <x v="0"/>
    <s v="user_902@company.com"/>
  </r>
  <r>
    <s v="TXN-1903"/>
    <d v="2023-03-20T00:00:00"/>
    <x v="2"/>
    <s v="Office Supplies"/>
    <x v="0"/>
    <n v="6"/>
    <x v="0"/>
    <n v="6"/>
    <n v="349.65"/>
    <n v="349.65"/>
    <n v="2097.9"/>
    <n v="2097.9"/>
    <m/>
    <x v="1"/>
    <s v="unknown@domain.com"/>
  </r>
  <r>
    <s v="TXN-1904"/>
    <d v="2023-02-07T00:00:00"/>
    <x v="1"/>
    <s v="Office Supplies"/>
    <x v="0"/>
    <n v="8"/>
    <x v="2"/>
    <n v="8"/>
    <n v="402.67"/>
    <n v="402.67"/>
    <n v="3221.36"/>
    <n v="3672.46"/>
    <s v="user_904@company.com"/>
    <x v="2"/>
    <s v="user_904@company.com"/>
  </r>
  <r>
    <s v="TXN-1905"/>
    <d v="2023-09-03T00:00:00"/>
    <x v="0"/>
    <s v="Electronics"/>
    <x v="1"/>
    <n v="2"/>
    <x v="1"/>
    <n v="2"/>
    <n v="204.84"/>
    <n v="204.84"/>
    <n v="409.68"/>
    <n v="409.68"/>
    <s v="user_905@company.com"/>
    <x v="4"/>
    <s v="user_905@company.com"/>
  </r>
  <r>
    <s v="TXN-1906"/>
    <d v="2023-12-21T00:00:00"/>
    <x v="0"/>
    <s v="Office Supplies"/>
    <x v="0"/>
    <n v="4"/>
    <x v="0"/>
    <n v="4"/>
    <n v="174.79"/>
    <n v="174.79"/>
    <n v="699.16"/>
    <n v="904.47"/>
    <s v="user_906@company.com"/>
    <x v="0"/>
    <s v="user_906@company.com"/>
  </r>
  <r>
    <s v="TXN-1907"/>
    <d v="2023-07-04T00:00:00"/>
    <x v="3"/>
    <s v="Furniture"/>
    <x v="2"/>
    <n v="9"/>
    <x v="2"/>
    <n v="9"/>
    <n v="124.9"/>
    <n v="124.9"/>
    <n v="1124.0999999999999"/>
    <n v="1124.0999999999999"/>
    <s v="user_907@company.com"/>
    <x v="0"/>
    <s v="user_907@company.com"/>
  </r>
  <r>
    <s v="TXN-1908"/>
    <d v="2023-05-08T00:00:00"/>
    <x v="0"/>
    <s v="Furniture"/>
    <x v="2"/>
    <n v="4"/>
    <x v="0"/>
    <n v="4"/>
    <n v="245.52"/>
    <n v="245.52"/>
    <n v="982.08"/>
    <n v="982.08"/>
    <s v="user_908@company.com"/>
    <x v="4"/>
    <s v="user_908@company.com"/>
  </r>
  <r>
    <s v="TXN-1909"/>
    <d v="2023-11-10T00:00:00"/>
    <x v="3"/>
    <s v="Office Supplies"/>
    <x v="0"/>
    <n v="4"/>
    <x v="0"/>
    <n v="4"/>
    <n v="280.39999999999998"/>
    <n v="280.39999999999998"/>
    <n v="1121.5999999999999"/>
    <n v="1121.5999999999999"/>
    <s v="user_909@company.com"/>
    <x v="0"/>
    <s v="user_909@company.com"/>
  </r>
  <r>
    <s v="TXN-1910"/>
    <d v="2023-11-27T00:00:00"/>
    <x v="2"/>
    <s v="Office Supplies"/>
    <x v="0"/>
    <n v="3"/>
    <x v="1"/>
    <n v="3"/>
    <n v="319.57"/>
    <n v="319.57"/>
    <n v="958.71"/>
    <n v="958.71"/>
    <s v="user_910@company.com"/>
    <x v="3"/>
    <s v="user_910@company.com"/>
  </r>
  <r>
    <s v="TXN-1911"/>
    <d v="2023-06-19T00:00:00"/>
    <x v="1"/>
    <s v="Office Supplies"/>
    <x v="0"/>
    <n v="4"/>
    <x v="0"/>
    <n v="4"/>
    <n v="135.99"/>
    <n v="135.99"/>
    <n v="543.96"/>
    <n v="543.96"/>
    <s v="user_911@company.com"/>
    <x v="0"/>
    <s v="user_911@company.com"/>
  </r>
  <r>
    <s v="TXN-1912"/>
    <d v="2023-02-20T00:00:00"/>
    <x v="1"/>
    <s v="Office Supplies"/>
    <x v="0"/>
    <n v="4"/>
    <x v="0"/>
    <n v="4"/>
    <n v="474.84"/>
    <n v="474.84"/>
    <n v="1899.36"/>
    <n v="1899.36"/>
    <s v="user_912@company.com"/>
    <x v="1"/>
    <s v="user_912@company.com"/>
  </r>
  <r>
    <s v="TXN-1913"/>
    <d v="1899-12-31T00:00:00"/>
    <x v="1"/>
    <s v="Electronics"/>
    <x v="1"/>
    <n v="-9"/>
    <x v="2"/>
    <n v="9"/>
    <n v="93.18"/>
    <n v="93.18"/>
    <n v="838.62"/>
    <n v="559.08000000000004"/>
    <s v="user_913@company.com"/>
    <x v="0"/>
    <s v="user_913@company.com"/>
  </r>
  <r>
    <s v="TXN-1914"/>
    <d v="2023-07-20T00:00:00"/>
    <x v="0"/>
    <s v="Electronics"/>
    <x v="1"/>
    <n v="7"/>
    <x v="0"/>
    <n v="7"/>
    <n v="-14.38"/>
    <n v="14.38"/>
    <n v="100.66"/>
    <n v="3569.4"/>
    <s v="user_914@company.com"/>
    <x v="3"/>
    <s v="user_914@company.com"/>
  </r>
  <r>
    <s v="TXN-1915"/>
    <d v="1899-12-31T00:00:00"/>
    <x v="4"/>
    <s v="Furniture"/>
    <x v="2"/>
    <n v="3"/>
    <x v="1"/>
    <n v="3"/>
    <n v="17.28"/>
    <n v="17.28"/>
    <n v="51.84"/>
    <n v="51.84"/>
    <s v="user_915@company.com"/>
    <x v="0"/>
    <s v="user_915@company.com"/>
  </r>
  <r>
    <s v="TXN-1916"/>
    <d v="2023-01-13T00:00:00"/>
    <x v="0"/>
    <s v="Furniture "/>
    <x v="2"/>
    <n v="6"/>
    <x v="0"/>
    <n v="6"/>
    <n v="245.75"/>
    <n v="245.75"/>
    <n v="1474.5"/>
    <n v="1671.25"/>
    <s v="user_916@company.com"/>
    <x v="0"/>
    <s v="user_916@company.com"/>
  </r>
  <r>
    <s v="TXN-1917"/>
    <d v="2023-08-01T00:00:00"/>
    <x v="0"/>
    <s v="Furniture"/>
    <x v="2"/>
    <n v="8"/>
    <x v="2"/>
    <n v="8"/>
    <n v="173.35"/>
    <n v="173.35"/>
    <n v="1386.8"/>
    <n v="1386.8"/>
    <s v="user_917@company.com"/>
    <x v="1"/>
    <s v="user_917@company.com"/>
  </r>
  <r>
    <s v="TXN-1918"/>
    <d v="2023-03-14T00:00:00"/>
    <x v="1"/>
    <s v="Electronics"/>
    <x v="1"/>
    <n v="7"/>
    <x v="0"/>
    <n v="7"/>
    <n v="230.07"/>
    <n v="230.07"/>
    <n v="1610.49"/>
    <n v="1610.49"/>
    <s v="user_918@company.com"/>
    <x v="0"/>
    <s v="user_918@company.com"/>
  </r>
  <r>
    <s v="TXN-1919"/>
    <d v="1899-12-31T00:00:00"/>
    <x v="1"/>
    <s v="Electronics"/>
    <x v="1"/>
    <n v="3"/>
    <x v="1"/>
    <n v="3"/>
    <n v="289.63"/>
    <n v="289.63"/>
    <n v="868.89"/>
    <n v="868.89"/>
    <s v="user_919@company.com"/>
    <x v="2"/>
    <s v="user_919@company.com"/>
  </r>
  <r>
    <s v="TXN-1920"/>
    <d v="2023-06-28T00:00:00"/>
    <x v="4"/>
    <s v="Electronics"/>
    <x v="1"/>
    <n v="4"/>
    <x v="0"/>
    <n v="4"/>
    <n v="223.44"/>
    <n v="223.44"/>
    <n v="893.76"/>
    <n v="893.76"/>
    <s v="user_920@company.com"/>
    <x v="2"/>
    <s v="user_920@company.com"/>
  </r>
  <r>
    <s v="TXN-1921"/>
    <d v="1899-12-31T00:00:00"/>
    <x v="1"/>
    <s v="Electronics"/>
    <x v="1"/>
    <n v="6"/>
    <x v="0"/>
    <n v="6"/>
    <n v="213.27"/>
    <n v="213.27"/>
    <n v="1279.6199999999999"/>
    <n v="1279.6199999999999"/>
    <s v="user_921@company.com"/>
    <x v="0"/>
    <s v="user_921@company.com"/>
  </r>
  <r>
    <s v="TXN-1922"/>
    <d v="2023-08-20T00:00:00"/>
    <x v="2"/>
    <s v="Office Supplies"/>
    <x v="0"/>
    <n v="8"/>
    <x v="2"/>
    <n v="8"/>
    <n v="369.03"/>
    <n v="369.03"/>
    <n v="2952.24"/>
    <n v="2952.24"/>
    <s v="user_922@company.com"/>
    <x v="4"/>
    <s v="user_922@company.com"/>
  </r>
  <r>
    <s v="TXN-1923"/>
    <d v="1899-12-31T00:00:00"/>
    <x v="2"/>
    <s v="Electronics"/>
    <x v="1"/>
    <n v="3"/>
    <x v="1"/>
    <n v="3"/>
    <n v="346.08"/>
    <n v="346.08"/>
    <n v="1038.24"/>
    <n v="1038.24"/>
    <s v="user_923@company.com"/>
    <x v="0"/>
    <s v="user_923@company.com"/>
  </r>
  <r>
    <s v="TXN-1924"/>
    <d v="1899-12-31T00:00:00"/>
    <x v="2"/>
    <s v="Electronics"/>
    <x v="1"/>
    <n v="4"/>
    <x v="0"/>
    <n v="4"/>
    <n v="418.3"/>
    <n v="418.3"/>
    <n v="1673.2"/>
    <n v="1673.2"/>
    <s v="invalid_email_at_gmail.com"/>
    <x v="1"/>
    <s v="invalid_email@gmail.com"/>
  </r>
  <r>
    <s v="TXN-1925"/>
    <d v="2023-01-12T00:00:00"/>
    <x v="1"/>
    <s v="Electronics"/>
    <x v="1"/>
    <n v="3"/>
    <x v="1"/>
    <n v="3"/>
    <n v="132.47999999999999"/>
    <n v="132.47999999999999"/>
    <n v="397.44"/>
    <n v="397.44"/>
    <s v="user_925@company.com"/>
    <x v="0"/>
    <s v="user_925@company.com"/>
  </r>
  <r>
    <s v="TXN-1926"/>
    <d v="1899-12-31T00:00:00"/>
    <x v="0"/>
    <s v="Furniture "/>
    <x v="2"/>
    <n v="8"/>
    <x v="2"/>
    <n v="8"/>
    <n v="308.67"/>
    <n v="308.67"/>
    <n v="2469.36"/>
    <n v="2469.36"/>
    <s v="user_926@company.com"/>
    <x v="0"/>
    <s v="user_926@company.com"/>
  </r>
  <r>
    <s v="TXN-1927"/>
    <d v="2023-05-05T00:00:00"/>
    <x v="1"/>
    <s v="Office Supplies"/>
    <x v="0"/>
    <n v="1"/>
    <x v="1"/>
    <n v="1"/>
    <n v="296.75"/>
    <n v="296.75"/>
    <n v="296.75"/>
    <n v="296.75"/>
    <s v="user_927@company.com"/>
    <x v="3"/>
    <s v="user_927@company.com"/>
  </r>
  <r>
    <s v="TXN-1928"/>
    <d v="2023-06-19T00:00:00"/>
    <x v="0"/>
    <s v="Electronics"/>
    <x v="1"/>
    <n v="3"/>
    <x v="1"/>
    <n v="3"/>
    <m/>
    <n v="0"/>
    <n v="0"/>
    <n v="573.51"/>
    <s v="user_928@company.com"/>
    <x v="2"/>
    <s v="user_928@company.com"/>
  </r>
  <r>
    <s v="TXN-1929"/>
    <d v="2023-04-29T00:00:00"/>
    <x v="1"/>
    <s v="Electronics"/>
    <x v="1"/>
    <n v="9999"/>
    <x v="0"/>
    <n v="5"/>
    <n v="248.17"/>
    <n v="248.17"/>
    <n v="1240.8499999999999"/>
    <n v="1737.19"/>
    <s v="user_929@company.com"/>
    <x v="0"/>
    <s v="user_929@company.com"/>
  </r>
  <r>
    <s v="TXN-1930"/>
    <d v="2023-04-06T00:00:00"/>
    <x v="0"/>
    <s v="Electronics"/>
    <x v="1"/>
    <n v="5"/>
    <x v="0"/>
    <n v="5"/>
    <n v="163.75"/>
    <n v="163.75"/>
    <n v="818.75"/>
    <n v="818.75"/>
    <s v="user_930@company.com"/>
    <x v="4"/>
    <s v="user_930@company.com"/>
  </r>
  <r>
    <s v="TXN-1931"/>
    <d v="2023-11-11T00:00:00"/>
    <x v="4"/>
    <s v="Office Supplies"/>
    <x v="0"/>
    <n v="9"/>
    <x v="2"/>
    <n v="9"/>
    <n v="79.5"/>
    <n v="79.5"/>
    <n v="715.5"/>
    <m/>
    <s v="user_931@company.com"/>
    <x v="3"/>
    <s v="user_931@company.com"/>
  </r>
  <r>
    <s v="TXN-1932"/>
    <d v="2023-08-08T00:00:00"/>
    <x v="2"/>
    <s v="Electronics"/>
    <x v="1"/>
    <n v="5"/>
    <x v="0"/>
    <n v="5"/>
    <n v="114.76"/>
    <n v="114.76"/>
    <n v="573.79999999999995"/>
    <n v="573.79999999999995"/>
    <s v="invalid_email_at_gmail.com"/>
    <x v="1"/>
    <s v="invalid_email@gmail.com"/>
  </r>
  <r>
    <s v="TXN-1933"/>
    <d v="1899-12-31T00:00:00"/>
    <x v="3"/>
    <s v="Electronics"/>
    <x v="1"/>
    <n v="4"/>
    <x v="0"/>
    <n v="4"/>
    <n v="61.7"/>
    <n v="61.7"/>
    <n v="246.8"/>
    <n v="246.8"/>
    <s v="user_933@company.com"/>
    <x v="4"/>
    <s v="user_933@company.com"/>
  </r>
  <r>
    <s v="TXN-1934"/>
    <d v="2023-05-23T00:00:00"/>
    <x v="3"/>
    <s v="Furniture "/>
    <x v="2"/>
    <n v="5"/>
    <x v="0"/>
    <n v="5"/>
    <n v="344.7"/>
    <n v="344.7"/>
    <n v="1723.5"/>
    <n v="1723.5"/>
    <s v="user_at_company"/>
    <x v="3"/>
    <s v="user@company"/>
  </r>
  <r>
    <s v="TXN-1935"/>
    <d v="2023-02-10T00:00:00"/>
    <x v="1"/>
    <s v="Electronics"/>
    <x v="1"/>
    <n v="7"/>
    <x v="0"/>
    <n v="7"/>
    <n v="-72.489999999999995"/>
    <n v="72.489999999999995"/>
    <n v="507.43"/>
    <n v="2336.3200000000002"/>
    <s v="user_935@company.com"/>
    <x v="0"/>
    <s v="user_935@company.com"/>
  </r>
  <r>
    <s v="TXN-1936"/>
    <d v="2023-04-11T00:00:00"/>
    <x v="0"/>
    <s v="Office Supplies"/>
    <x v="0"/>
    <n v="3"/>
    <x v="1"/>
    <n v="3"/>
    <n v="475.8"/>
    <n v="475.8"/>
    <n v="1427.4"/>
    <n v="1427.4"/>
    <s v="user_936@company.com"/>
    <x v="1"/>
    <s v="user_936@company.com"/>
  </r>
  <r>
    <s v="TXN-1937"/>
    <d v="2023-12-10T00:00:00"/>
    <x v="1"/>
    <s v="Office Supplies"/>
    <x v="0"/>
    <n v="6"/>
    <x v="0"/>
    <n v="6"/>
    <n v="367.54"/>
    <n v="367.54"/>
    <n v="2205.2399999999998"/>
    <n v="2205.2399999999998"/>
    <s v="user_937@company.com"/>
    <x v="0"/>
    <s v="user_937@company.com"/>
  </r>
  <r>
    <s v="TXN-1938"/>
    <d v="2023-11-24T00:00:00"/>
    <x v="0"/>
    <s v="Electronics"/>
    <x v="1"/>
    <n v="7"/>
    <x v="0"/>
    <n v="7"/>
    <n v="35.5"/>
    <n v="35.5"/>
    <n v="248.5"/>
    <n v="248.5"/>
    <s v="user_938@company.com"/>
    <x v="4"/>
    <s v="user_938@company.com"/>
  </r>
  <r>
    <s v="TXN-1939"/>
    <d v="2023-11-09T00:00:00"/>
    <x v="4"/>
    <s v="Electronics"/>
    <x v="1"/>
    <n v="4"/>
    <x v="0"/>
    <n v="4"/>
    <n v="443.28"/>
    <n v="443.28"/>
    <n v="1773.12"/>
    <n v="1773.12"/>
    <s v="user_939@company.com"/>
    <x v="2"/>
    <s v="user_939@company.com"/>
  </r>
  <r>
    <s v="TXN-1940"/>
    <d v="2023-06-28T00:00:00"/>
    <x v="1"/>
    <s v="Furniture "/>
    <x v="2"/>
    <n v="4"/>
    <x v="0"/>
    <n v="4"/>
    <n v="432.71"/>
    <n v="432.71"/>
    <n v="1730.84"/>
    <n v="1730.84"/>
    <s v="user_940@company.com"/>
    <x v="4"/>
    <s v="user_940@company.com"/>
  </r>
  <r>
    <s v="TXN-1941"/>
    <d v="1899-12-31T00:00:00"/>
    <x v="0"/>
    <s v="Office Supplies"/>
    <x v="0"/>
    <n v="4"/>
    <x v="0"/>
    <n v="4"/>
    <n v="227.23"/>
    <n v="227.23"/>
    <n v="908.92"/>
    <n v="908.92"/>
    <s v="user_941@company.com"/>
    <x v="0"/>
    <s v="user_941@company.com"/>
  </r>
  <r>
    <s v="TXN-1942"/>
    <d v="2023-12-28T00:00:00"/>
    <x v="3"/>
    <s v="Office Supplies"/>
    <x v="0"/>
    <n v="3"/>
    <x v="1"/>
    <n v="3"/>
    <n v="297.07"/>
    <n v="297.07"/>
    <n v="891.21"/>
    <n v="891.21"/>
    <s v="user_942@company.com"/>
    <x v="2"/>
    <s v="user_942@company.com"/>
  </r>
  <r>
    <s v="TXN-1943"/>
    <d v="2023-10-30T00:00:00"/>
    <x v="2"/>
    <s v="Office Supplies"/>
    <x v="0"/>
    <n v="4"/>
    <x v="0"/>
    <n v="4"/>
    <n v="488.28"/>
    <n v="488.28"/>
    <n v="1953.12"/>
    <n v="1953.12"/>
    <s v="invalid_email_at_gmail.com"/>
    <x v="3"/>
    <s v="invalid_email@gmail.com"/>
  </r>
  <r>
    <s v="TXN-1944"/>
    <d v="2023-06-10T00:00:00"/>
    <x v="2"/>
    <s v="Electronics"/>
    <x v="1"/>
    <n v="2"/>
    <x v="1"/>
    <n v="2"/>
    <n v="270.83"/>
    <n v="270.83"/>
    <n v="541.66"/>
    <n v="1039.96"/>
    <s v="user_944@company.com"/>
    <x v="2"/>
    <s v="user_944@company.com"/>
  </r>
  <r>
    <s v="TXN-1945"/>
    <d v="2023-01-03T00:00:00"/>
    <x v="3"/>
    <s v="Office Supplies"/>
    <x v="0"/>
    <n v="7"/>
    <x v="0"/>
    <n v="7"/>
    <n v="453.61"/>
    <n v="453.61"/>
    <n v="3175.27"/>
    <n v="3175.27"/>
    <s v="user_945@company.com"/>
    <x v="4"/>
    <s v="user_945@company.com"/>
  </r>
  <r>
    <s v="TXN-1946"/>
    <d v="2023-03-14T00:00:00"/>
    <x v="4"/>
    <s v="Electronics"/>
    <x v="1"/>
    <n v="6"/>
    <x v="0"/>
    <n v="6"/>
    <n v="50.69"/>
    <n v="50.69"/>
    <n v="304.14"/>
    <n v="304.14"/>
    <s v="user_946@company.com"/>
    <x v="0"/>
    <s v="user_946@company.com"/>
  </r>
  <r>
    <s v="TXN-1947"/>
    <d v="2023-03-12T00:00:00"/>
    <x v="0"/>
    <s v="Furniture "/>
    <x v="2"/>
    <n v="7"/>
    <x v="0"/>
    <n v="7"/>
    <n v="103.62"/>
    <n v="103.62"/>
    <n v="725.34"/>
    <n v="725.34"/>
    <s v="user_947@company.com"/>
    <x v="4"/>
    <s v="user_947@company.com"/>
  </r>
  <r>
    <s v="TXN-1948"/>
    <d v="2023-07-09T00:00:00"/>
    <x v="4"/>
    <s v="Office Supplies"/>
    <x v="0"/>
    <n v="5"/>
    <x v="0"/>
    <n v="5"/>
    <s v="$250.00"/>
    <n v="250"/>
    <n v="1250"/>
    <n v="1559.73"/>
    <s v="user_948@company.com"/>
    <x v="0"/>
    <s v="user_948@company.com"/>
  </r>
  <r>
    <s v="TXN-1949"/>
    <d v="2023-09-08T00:00:00"/>
    <x v="1"/>
    <s v="Electronics"/>
    <x v="1"/>
    <m/>
    <x v="0"/>
    <n v="5"/>
    <n v="296.52999999999997"/>
    <n v="296.52999999999997"/>
    <n v="1482.65"/>
    <n v="1387.7"/>
    <s v="user_949@company.com"/>
    <x v="3"/>
    <s v="user_949@company.com"/>
  </r>
  <r>
    <s v="TXN-1950"/>
    <d v="2023-06-11T00:00:00"/>
    <x v="4"/>
    <s v="Electronics"/>
    <x v="1"/>
    <n v="5"/>
    <x v="0"/>
    <n v="5"/>
    <n v="409.95"/>
    <n v="409.95"/>
    <n v="2049.75"/>
    <n v="2460.2800000000002"/>
    <s v="user_950@company.com"/>
    <x v="0"/>
    <s v="user_950@company.com"/>
  </r>
  <r>
    <s v="TXN-1951"/>
    <d v="2023-07-03T00:00:00"/>
    <x v="4"/>
    <s v="Furniture "/>
    <x v="2"/>
    <n v="4"/>
    <x v="0"/>
    <n v="4"/>
    <n v="494.25"/>
    <n v="494.25"/>
    <n v="1977"/>
    <n v="1977"/>
    <s v="user_951@company.com"/>
    <x v="1"/>
    <s v="user_951@company.com"/>
  </r>
  <r>
    <s v="TXN-1952"/>
    <d v="2023-04-10T00:00:00"/>
    <x v="3"/>
    <s v="Office Supplies"/>
    <x v="0"/>
    <n v="7"/>
    <x v="0"/>
    <n v="7"/>
    <n v="200.54"/>
    <n v="200.54"/>
    <n v="1403.78"/>
    <n v="1403.78"/>
    <s v="user_952@company.com"/>
    <x v="0"/>
    <s v="user_952@company.com"/>
  </r>
  <r>
    <s v="TXN-1953"/>
    <d v="2023-09-16T00:00:00"/>
    <x v="3"/>
    <s v="Office Supplies"/>
    <x v="0"/>
    <n v="5"/>
    <x v="0"/>
    <n v="5"/>
    <n v="33.229999999999997"/>
    <n v="33.229999999999997"/>
    <n v="166.15"/>
    <n v="166.15"/>
    <s v="invalid_email_at_gmail.com"/>
    <x v="4"/>
    <s v="invalid_email@gmail.com"/>
  </r>
  <r>
    <s v="TXN-1954"/>
    <d v="2023-09-09T00:00:00"/>
    <x v="3"/>
    <s v="Furniture"/>
    <x v="2"/>
    <n v="6"/>
    <x v="0"/>
    <n v="6"/>
    <n v="402.57"/>
    <n v="402.57"/>
    <n v="2415.42"/>
    <n v="2415.42"/>
    <s v="user_954@company.com"/>
    <x v="1"/>
    <s v="user_954@company.com"/>
  </r>
  <r>
    <s v="TXN-1955"/>
    <d v="2023-08-16T00:00:00"/>
    <x v="1"/>
    <s v="Furniture"/>
    <x v="2"/>
    <n v="9999"/>
    <x v="0"/>
    <n v="5"/>
    <s v="$250.00"/>
    <n v="250"/>
    <n v="1250"/>
    <m/>
    <s v="user_955@company.com"/>
    <x v="1"/>
    <s v="user_955@company.com"/>
  </r>
  <r>
    <s v="TXN-1956"/>
    <d v="2023-10-17T00:00:00"/>
    <x v="1"/>
    <s v="Electronics"/>
    <x v="1"/>
    <n v="2"/>
    <x v="1"/>
    <n v="2"/>
    <n v="107.29"/>
    <n v="107.29"/>
    <n v="214.58"/>
    <n v="214.58"/>
    <s v="user_956@company.com"/>
    <x v="1"/>
    <s v="user_956@company.com"/>
  </r>
  <r>
    <s v="TXN-1957"/>
    <d v="2023-04-23T00:00:00"/>
    <x v="3"/>
    <s v="Electronics"/>
    <x v="1"/>
    <n v="4"/>
    <x v="0"/>
    <n v="4"/>
    <n v="252.47"/>
    <n v="252.47"/>
    <n v="1009.88"/>
    <n v="1009.88"/>
    <s v="user_957@company.com"/>
    <x v="4"/>
    <s v="user_957@company.com"/>
  </r>
  <r>
    <s v="TXN-1958"/>
    <d v="1899-12-31T00:00:00"/>
    <x v="0"/>
    <s v="Electronics"/>
    <x v="1"/>
    <n v="4"/>
    <x v="0"/>
    <n v="4"/>
    <n v="373.73"/>
    <n v="373.73"/>
    <n v="1494.92"/>
    <n v="1494.92"/>
    <s v="user_958@company.com"/>
    <x v="1"/>
    <s v="user_958@company.com"/>
  </r>
  <r>
    <s v="TXN-1960"/>
    <d v="2023-10-17T00:00:00"/>
    <x v="3"/>
    <s v="Furniture "/>
    <x v="2"/>
    <n v="11"/>
    <x v="2"/>
    <n v="11"/>
    <n v="254.81"/>
    <n v="254.81"/>
    <n v="2802.91"/>
    <n v="2802.91"/>
    <s v="user_960@company.com"/>
    <x v="2"/>
    <s v="user_960@company.com"/>
  </r>
  <r>
    <s v="TXN-1961"/>
    <d v="2023-02-27T00:00:00"/>
    <x v="0"/>
    <s v="Office Supplies"/>
    <x v="0"/>
    <n v="6"/>
    <x v="0"/>
    <n v="6"/>
    <n v="159.56"/>
    <n v="159.56"/>
    <n v="957.36"/>
    <n v="957.36"/>
    <s v="user_961@company.com"/>
    <x v="4"/>
    <s v="user_961@company.com"/>
  </r>
  <r>
    <s v="TXN-1962"/>
    <d v="2023-10-06T00:00:00"/>
    <x v="3"/>
    <s v="Office Supplies"/>
    <x v="0"/>
    <n v="8"/>
    <x v="2"/>
    <n v="8"/>
    <n v="487.13"/>
    <n v="487.13"/>
    <n v="3897.04"/>
    <n v="3897.04"/>
    <s v="user_962@company.com"/>
    <x v="0"/>
    <s v="user_962@company.com"/>
  </r>
  <r>
    <s v="TXN-1963"/>
    <d v="2023-01-22T00:00:00"/>
    <x v="1"/>
    <s v="Furniture "/>
    <x v="2"/>
    <n v="5"/>
    <x v="0"/>
    <n v="5"/>
    <n v="335.05"/>
    <n v="335.05"/>
    <n v="1675.25"/>
    <n v="1675.25"/>
    <s v="user_963@company.com"/>
    <x v="3"/>
    <s v="user_963@company.com"/>
  </r>
  <r>
    <s v="TXN-1966"/>
    <d v="2023-01-17T00:00:00"/>
    <x v="2"/>
    <s v="Office Supplies"/>
    <x v="0"/>
    <n v="1"/>
    <x v="1"/>
    <n v="1"/>
    <n v="368.24"/>
    <n v="368.24"/>
    <n v="368.24"/>
    <n v="368.24"/>
    <s v="user_966@company.com"/>
    <x v="4"/>
    <s v="user_966@company.com"/>
  </r>
  <r>
    <s v="TXN-1967"/>
    <d v="2023-02-14T00:00:00"/>
    <x v="2"/>
    <s v="Office Supplies"/>
    <x v="0"/>
    <n v="8"/>
    <x v="2"/>
    <n v="8"/>
    <n v="128.66999999999999"/>
    <n v="128.66999999999999"/>
    <n v="1029.3599999999999"/>
    <n v="1029.3599999999999"/>
    <s v="user_967@company.com"/>
    <x v="4"/>
    <s v="user_967@company.com"/>
  </r>
  <r>
    <s v="TXN-1968"/>
    <d v="2023-02-03T00:00:00"/>
    <x v="3"/>
    <s v="Office Supplies"/>
    <x v="0"/>
    <n v="6"/>
    <x v="0"/>
    <n v="6"/>
    <n v="94.14"/>
    <n v="94.14"/>
    <n v="564.84"/>
    <n v="564.84"/>
    <s v="user_968@company.com"/>
    <x v="4"/>
    <s v="user_968@company.com"/>
  </r>
  <r>
    <s v="TXN-1969"/>
    <d v="2023-10-29T00:00:00"/>
    <x v="0"/>
    <s v="Electronics"/>
    <x v="1"/>
    <n v="4"/>
    <x v="0"/>
    <n v="4"/>
    <n v="269.62"/>
    <n v="269.62"/>
    <n v="1078.48"/>
    <n v="1078.48"/>
    <s v="user_969@company.com"/>
    <x v="4"/>
    <s v="user_969@company.com"/>
  </r>
  <r>
    <s v="TXN-1970"/>
    <d v="2023-11-09T00:00:00"/>
    <x v="2"/>
    <s v="Furniture"/>
    <x v="2"/>
    <n v="7"/>
    <x v="0"/>
    <n v="7"/>
    <n v="152.09"/>
    <n v="152.09"/>
    <n v="1064.6300000000001"/>
    <n v="1064.6300000000001"/>
    <s v="user_970@company.com"/>
    <x v="0"/>
    <s v="user_970@company.com"/>
  </r>
  <r>
    <s v="TXN-1971"/>
    <d v="1899-12-31T00:00:00"/>
    <x v="2"/>
    <s v="Furniture "/>
    <x v="2"/>
    <n v="1"/>
    <x v="1"/>
    <n v="1"/>
    <n v="318.16000000000003"/>
    <n v="318.16000000000003"/>
    <n v="318.16000000000003"/>
    <n v="318.16000000000003"/>
    <s v="invalid_email_at_gmail.com"/>
    <x v="3"/>
    <s v="invalid_email@gmail.com"/>
  </r>
  <r>
    <s v="TXN-1972"/>
    <d v="2023-01-31T00:00:00"/>
    <x v="1"/>
    <s v="Furniture"/>
    <x v="2"/>
    <n v="7"/>
    <x v="0"/>
    <n v="7"/>
    <m/>
    <n v="0"/>
    <n v="0"/>
    <m/>
    <s v="user_972@company.com"/>
    <x v="0"/>
    <s v="user_972@company.com"/>
  </r>
  <r>
    <s v="TXN-1973"/>
    <d v="2023-02-11T00:00:00"/>
    <x v="1"/>
    <s v="Electronics"/>
    <x v="1"/>
    <n v="3"/>
    <x v="1"/>
    <n v="3"/>
    <n v="330.92"/>
    <n v="330.92"/>
    <n v="992.76"/>
    <n v="992.76"/>
    <s v="user_973@company.com"/>
    <x v="3"/>
    <s v="user_973@company.com"/>
  </r>
  <r>
    <s v="TXN-1974"/>
    <d v="2023-12-27T00:00:00"/>
    <x v="4"/>
    <s v="Electronics"/>
    <x v="1"/>
    <n v="9"/>
    <x v="2"/>
    <n v="9"/>
    <n v="148.82"/>
    <n v="148.82"/>
    <n v="1339.38"/>
    <n v="1339.38"/>
    <s v="user_974@company.com"/>
    <x v="0"/>
    <s v="user_974@company.com"/>
  </r>
  <r>
    <s v="TXN-1975"/>
    <d v="2023-05-17T00:00:00"/>
    <x v="1"/>
    <s v="Electronics"/>
    <x v="1"/>
    <n v="4"/>
    <x v="0"/>
    <n v="4"/>
    <n v="10.119999999999999"/>
    <n v="10.119999999999999"/>
    <n v="40.479999999999997"/>
    <n v="40.479999999999997"/>
    <s v="user_975@company.com"/>
    <x v="4"/>
    <s v="user_975@company.com"/>
  </r>
  <r>
    <s v="TXN-1976"/>
    <d v="2023-07-30T00:00:00"/>
    <x v="0"/>
    <s v="Office Supplies"/>
    <x v="0"/>
    <n v="2"/>
    <x v="1"/>
    <n v="2"/>
    <n v="72.2"/>
    <n v="72.2"/>
    <n v="144.4"/>
    <n v="144.4"/>
    <s v="user_976@company.com"/>
    <x v="1"/>
    <s v="user_976@company.com"/>
  </r>
  <r>
    <s v="TXN-1977"/>
    <d v="2023-02-12T00:00:00"/>
    <x v="1"/>
    <s v="Electronics"/>
    <x v="1"/>
    <n v="4"/>
    <x v="0"/>
    <n v="4"/>
    <n v="467.47"/>
    <n v="467.47"/>
    <n v="1869.88"/>
    <n v="1869.88"/>
    <s v="user_977@company.com"/>
    <x v="3"/>
    <s v="user_977@company.com"/>
  </r>
  <r>
    <s v="TXN-1978"/>
    <d v="2023-09-03T00:00:00"/>
    <x v="2"/>
    <s v="Furniture"/>
    <x v="2"/>
    <n v="6"/>
    <x v="0"/>
    <n v="6"/>
    <n v="435"/>
    <n v="435"/>
    <n v="2610"/>
    <n v="2610"/>
    <s v="user_978@company.com"/>
    <x v="4"/>
    <s v="user_978@company.com"/>
  </r>
  <r>
    <s v="TXN-1979"/>
    <d v="1899-12-31T00:00:00"/>
    <x v="0"/>
    <s v="Office Supplies"/>
    <x v="0"/>
    <n v="2"/>
    <x v="1"/>
    <n v="2"/>
    <n v="124.47"/>
    <n v="124.47"/>
    <n v="248.94"/>
    <n v="248.94"/>
    <s v="user_979@company.com"/>
    <x v="2"/>
    <s v="user_979@company.com"/>
  </r>
  <r>
    <s v="TXN-1980"/>
    <d v="2023-12-13T00:00:00"/>
    <x v="0"/>
    <s v="Office Supplies"/>
    <x v="0"/>
    <n v="1"/>
    <x v="1"/>
    <n v="1"/>
    <n v="391.4"/>
    <n v="391.4"/>
    <n v="391.4"/>
    <n v="391.4"/>
    <m/>
    <x v="3"/>
    <s v="unknown@domain.com"/>
  </r>
  <r>
    <s v="TXN-1981"/>
    <d v="2023-10-23T00:00:00"/>
    <x v="1"/>
    <s v="Electronics"/>
    <x v="1"/>
    <n v="7"/>
    <x v="0"/>
    <n v="7"/>
    <n v="308.2"/>
    <n v="308.2"/>
    <n v="2157.4"/>
    <n v="2157.4"/>
    <s v="user_981@company.com"/>
    <x v="2"/>
    <s v="user_981@company.com"/>
  </r>
  <r>
    <s v="TXN-1982"/>
    <d v="2023-07-12T00:00:00"/>
    <x v="1"/>
    <s v="Office Supplies"/>
    <x v="0"/>
    <n v="7"/>
    <x v="0"/>
    <n v="7"/>
    <n v="485.74"/>
    <n v="485.74"/>
    <n v="3400.18"/>
    <n v="3400.18"/>
    <s v="user_982@company.com"/>
    <x v="0"/>
    <s v="user_982@company.com"/>
  </r>
  <r>
    <s v="TXN-1983"/>
    <d v="1899-12-31T00:00:00"/>
    <x v="1"/>
    <s v="Office Supplies"/>
    <x v="0"/>
    <n v="6"/>
    <x v="0"/>
    <n v="6"/>
    <n v="193.07"/>
    <n v="193.07"/>
    <n v="1158.42"/>
    <m/>
    <s v="user_983@company.com"/>
    <x v="1"/>
    <s v="user_983@company.com"/>
  </r>
  <r>
    <s v="TXN-1984"/>
    <d v="2023-02-17T00:00:00"/>
    <x v="2"/>
    <s v="Furniture"/>
    <x v="2"/>
    <n v="8"/>
    <x v="2"/>
    <n v="8"/>
    <n v="343.92"/>
    <n v="343.92"/>
    <n v="2751.36"/>
    <n v="2751.36"/>
    <s v="user_984@company.com"/>
    <x v="0"/>
    <s v="user_984@company.com"/>
  </r>
  <r>
    <s v="TXN-1985"/>
    <d v="2023-05-23T00:00:00"/>
    <x v="1"/>
    <s v="Electronics"/>
    <x v="1"/>
    <n v="7"/>
    <x v="0"/>
    <n v="7"/>
    <n v="41.13"/>
    <n v="41.13"/>
    <n v="287.91000000000003"/>
    <n v="287.91000000000003"/>
    <s v="user_985@company.com"/>
    <x v="2"/>
    <s v="user_985@company.com"/>
  </r>
  <r>
    <s v="TXN-1986"/>
    <d v="2023-09-07T00:00:00"/>
    <x v="4"/>
    <s v="Furniture"/>
    <x v="2"/>
    <n v="5"/>
    <x v="0"/>
    <n v="5"/>
    <n v="204.16"/>
    <n v="204.16"/>
    <n v="1020.8"/>
    <n v="1020.8"/>
    <s v="user_986@company.com"/>
    <x v="0"/>
    <s v="user_986@company.com"/>
  </r>
  <r>
    <s v="TXN-1987"/>
    <d v="2023-02-17T00:00:00"/>
    <x v="4"/>
    <s v="Furniture "/>
    <x v="2"/>
    <n v="5"/>
    <x v="0"/>
    <n v="5"/>
    <n v="482.27"/>
    <n v="482.27"/>
    <n v="2411.35"/>
    <n v="2893.62"/>
    <s v="user_987@company.com"/>
    <x v="2"/>
    <s v="user_987@company.com"/>
  </r>
  <r>
    <s v="TXN-1988"/>
    <d v="2023-12-24T00:00:00"/>
    <x v="3"/>
    <s v="Furniture "/>
    <x v="2"/>
    <n v="6"/>
    <x v="0"/>
    <n v="6"/>
    <n v="274.10000000000002"/>
    <n v="274.10000000000002"/>
    <n v="1644.6"/>
    <n v="1786.2"/>
    <s v="user_988@company.com"/>
    <x v="1"/>
    <s v="user_988@company.com"/>
  </r>
  <r>
    <s v="TXN-1989"/>
    <d v="2023-10-01T00:00:00"/>
    <x v="4"/>
    <s v="Electronics"/>
    <x v="1"/>
    <n v="7"/>
    <x v="0"/>
    <n v="7"/>
    <n v="151.06"/>
    <n v="151.06"/>
    <n v="1057.42"/>
    <n v="1057.42"/>
    <s v="user_989@company.com"/>
    <x v="0"/>
    <s v="user_989@company.com"/>
  </r>
  <r>
    <s v="TXN-1990"/>
    <d v="2023-08-08T00:00:00"/>
    <x v="0"/>
    <s v="Furniture "/>
    <x v="2"/>
    <n v="6"/>
    <x v="0"/>
    <n v="6"/>
    <n v="68.930000000000007"/>
    <n v="68.930000000000007"/>
    <n v="413.58"/>
    <n v="413.58"/>
    <s v="user_990@company.com"/>
    <x v="4"/>
    <s v="user_990@company.com"/>
  </r>
  <r>
    <s v="TXN-1991"/>
    <d v="2023-06-15T00:00:00"/>
    <x v="1"/>
    <s v="Furniture "/>
    <x v="2"/>
    <n v="3"/>
    <x v="1"/>
    <n v="3"/>
    <n v="354.73"/>
    <n v="354.73"/>
    <n v="1064.19"/>
    <n v="1064.19"/>
    <s v="user_991@company.com"/>
    <x v="0"/>
    <s v="user_991@company.com"/>
  </r>
  <r>
    <s v="TXN-1992"/>
    <d v="1899-12-31T00:00:00"/>
    <x v="2"/>
    <s v="Office Supplies"/>
    <x v="0"/>
    <n v="3"/>
    <x v="1"/>
    <n v="3"/>
    <m/>
    <n v="0"/>
    <n v="0"/>
    <m/>
    <s v="user_992@company.com"/>
    <x v="1"/>
    <s v="user_992@company.com"/>
  </r>
  <r>
    <s v="TXN-1993"/>
    <d v="2023-09-06T00:00:00"/>
    <x v="0"/>
    <s v="Electronics"/>
    <x v="1"/>
    <n v="1"/>
    <x v="1"/>
    <n v="1"/>
    <m/>
    <n v="0"/>
    <n v="0"/>
    <n v="193.23"/>
    <s v="user_993@company.com"/>
    <x v="0"/>
    <s v="user_993@company.com"/>
  </r>
  <r>
    <s v="TXN-1994"/>
    <d v="2023-01-25T00:00:00"/>
    <x v="2"/>
    <s v="Electronics"/>
    <x v="1"/>
    <n v="5"/>
    <x v="0"/>
    <n v="5"/>
    <n v="475.96"/>
    <n v="475.96"/>
    <n v="2379.8000000000002"/>
    <n v="2379.8000000000002"/>
    <s v="user_994@company.com"/>
    <x v="0"/>
    <s v="user_994@company.com"/>
  </r>
  <r>
    <s v="TXN-1995"/>
    <d v="1899-12-31T00:00:00"/>
    <x v="2"/>
    <s v="Office Supplies"/>
    <x v="0"/>
    <n v="3"/>
    <x v="1"/>
    <n v="3"/>
    <n v="20.88"/>
    <n v="20.88"/>
    <n v="62.64"/>
    <n v="62.64"/>
    <m/>
    <x v="2"/>
    <s v="unknown@domain.com"/>
  </r>
  <r>
    <s v="TXN-1996"/>
    <d v="2023-08-24T00:00:00"/>
    <x v="2"/>
    <s v="Office Supplies"/>
    <x v="0"/>
    <n v="9"/>
    <x v="2"/>
    <n v="9"/>
    <n v="158.82"/>
    <n v="158.82"/>
    <n v="1429.38"/>
    <n v="1429.38"/>
    <s v="user_996@company.com"/>
    <x v="4"/>
    <s v="user_996@company.com"/>
  </r>
  <r>
    <s v="TXN-1997"/>
    <d v="2023-03-22T00:00:00"/>
    <x v="1"/>
    <s v="Office Supplies"/>
    <x v="0"/>
    <n v="8"/>
    <x v="2"/>
    <n v="8"/>
    <n v="461.32"/>
    <n v="461.32"/>
    <n v="3690.56"/>
    <n v="3690.56"/>
    <s v="user_997@company.com"/>
    <x v="2"/>
    <s v="user_997@company.com"/>
  </r>
  <r>
    <s v="TXN-1998"/>
    <d v="2023-08-08T00:00:00"/>
    <x v="3"/>
    <s v="Electronics"/>
    <x v="1"/>
    <n v="4"/>
    <x v="0"/>
    <n v="4"/>
    <n v="167.26"/>
    <n v="167.26"/>
    <n v="669.04"/>
    <n v="669.04"/>
    <s v="user_998@company.com"/>
    <x v="4"/>
    <s v="user_998@company.com"/>
  </r>
  <r>
    <s v="TXN-1999"/>
    <d v="2023-03-09T00:00:00"/>
    <x v="3"/>
    <s v="Electronics"/>
    <x v="1"/>
    <n v="2"/>
    <x v="1"/>
    <n v="2"/>
    <n v="133.6"/>
    <n v="133.6"/>
    <n v="267.2"/>
    <n v="267.2"/>
    <s v="user_999@company.com"/>
    <x v="1"/>
    <s v="user_999@company.com"/>
  </r>
  <r>
    <s v="TXN-2000"/>
    <d v="2023-05-21T00:00:00"/>
    <x v="0"/>
    <s v="Furniture"/>
    <x v="2"/>
    <n v="3"/>
    <x v="1"/>
    <n v="3"/>
    <n v="271.77"/>
    <n v="271.77"/>
    <n v="815.31"/>
    <n v="815.31"/>
    <s v="user_1000@company.com"/>
    <x v="0"/>
    <s v="user_1000@company.com"/>
  </r>
  <r>
    <s v="TXN-2001"/>
    <d v="2023-05-09T00:00:00"/>
    <x v="4"/>
    <s v="Office Supplies"/>
    <x v="0"/>
    <n v="2"/>
    <x v="1"/>
    <n v="2"/>
    <m/>
    <n v="0"/>
    <n v="0"/>
    <n v="827.32"/>
    <s v="user_1001@company.com"/>
    <x v="4"/>
    <s v="user_1001@company.com"/>
  </r>
  <r>
    <s v="TXN-2002"/>
    <d v="1899-12-31T00:00:00"/>
    <x v="0"/>
    <s v="Office Supplies"/>
    <x v="0"/>
    <n v="4"/>
    <x v="0"/>
    <n v="4"/>
    <n v="60.54"/>
    <n v="60.54"/>
    <n v="242.16"/>
    <m/>
    <s v="user_1002@company.com"/>
    <x v="1"/>
    <s v="user_1002@company.com"/>
  </r>
  <r>
    <s v="TXN-2003"/>
    <d v="1899-12-31T00:00:00"/>
    <x v="1"/>
    <s v="Office Supplies"/>
    <x v="0"/>
    <n v="4"/>
    <x v="0"/>
    <n v="4"/>
    <n v="472.08"/>
    <n v="472.08"/>
    <n v="1888.32"/>
    <n v="2010.03"/>
    <s v="user_1003@company.com"/>
    <x v="1"/>
    <s v="user_1003@company.com"/>
  </r>
  <r>
    <s v="TXN-2004"/>
    <d v="1899-12-31T00:00:00"/>
    <x v="2"/>
    <s v="Office Supplies"/>
    <x v="0"/>
    <n v="5"/>
    <x v="0"/>
    <n v="5"/>
    <n v="399.59"/>
    <n v="399.59"/>
    <n v="1997.95"/>
    <n v="1997.95"/>
    <s v="user_1004@company.com"/>
    <x v="0"/>
    <s v="user_1004@company.com"/>
  </r>
  <r>
    <s v="TXN-2005"/>
    <d v="2023-02-16T00:00:00"/>
    <x v="2"/>
    <s v="Electronics"/>
    <x v="1"/>
    <n v="8"/>
    <x v="2"/>
    <n v="8"/>
    <n v="98.81"/>
    <n v="98.81"/>
    <n v="790.48"/>
    <n v="790.48"/>
    <s v="user_1005@company.com"/>
    <x v="1"/>
    <s v="user_1005@company.com"/>
  </r>
  <r>
    <s v="TXN-2006"/>
    <d v="1899-12-31T00:00:00"/>
    <x v="2"/>
    <s v="Electronics"/>
    <x v="1"/>
    <n v="6"/>
    <x v="0"/>
    <n v="6"/>
    <n v="358.88"/>
    <n v="358.88"/>
    <n v="2153.2800000000002"/>
    <n v="2153.2800000000002"/>
    <s v="user_1006@company.com"/>
    <x v="4"/>
    <s v="user_1006@company.com"/>
  </r>
  <r>
    <s v="TXN-2007"/>
    <d v="2023-09-03T00:00:00"/>
    <x v="1"/>
    <s v="Office Supplies"/>
    <x v="0"/>
    <n v="3"/>
    <x v="1"/>
    <n v="3"/>
    <n v="198.63"/>
    <n v="198.63"/>
    <n v="595.89"/>
    <n v="595.89"/>
    <s v="user_1007@company.com"/>
    <x v="0"/>
    <s v="user_1007@company.com"/>
  </r>
  <r>
    <s v="TXN-2008"/>
    <d v="2023-08-16T00:00:00"/>
    <x v="3"/>
    <s v="Electronics"/>
    <x v="1"/>
    <n v="5"/>
    <x v="0"/>
    <n v="5"/>
    <n v="207.12"/>
    <n v="207.12"/>
    <n v="1035.5999999999999"/>
    <n v="1035.5999999999999"/>
    <s v="user_1008@company.com"/>
    <x v="2"/>
    <s v="user_1008@company.com"/>
  </r>
  <r>
    <s v="TXN-2009"/>
    <d v="1899-12-31T00:00:00"/>
    <x v="3"/>
    <s v="Office Supplies"/>
    <x v="0"/>
    <n v="6"/>
    <x v="0"/>
    <n v="6"/>
    <n v="393.81"/>
    <n v="393.81"/>
    <n v="2362.86"/>
    <n v="2362.86"/>
    <s v="user_1009@company.com"/>
    <x v="0"/>
    <s v="user_1009@company.com"/>
  </r>
  <r>
    <s v="TXN-2010"/>
    <d v="2023-03-03T00:00:00"/>
    <x v="2"/>
    <s v="Office Supplies"/>
    <x v="0"/>
    <n v="3"/>
    <x v="1"/>
    <n v="3"/>
    <n v="481.76"/>
    <n v="481.76"/>
    <n v="1445.28"/>
    <n v="1445.28"/>
    <s v="user_1010@company.com"/>
    <x v="3"/>
    <s v="user_1010@company.com"/>
  </r>
  <r>
    <s v="TXN-2011"/>
    <d v="2023-09-02T00:00:00"/>
    <x v="1"/>
    <s v="Office Supplies"/>
    <x v="0"/>
    <n v="8"/>
    <x v="2"/>
    <n v="8"/>
    <n v="72.06"/>
    <n v="72.06"/>
    <n v="576.48"/>
    <n v="576.48"/>
    <s v="user_1011@company.com"/>
    <x v="0"/>
    <s v="user_1011@company.com"/>
  </r>
  <r>
    <s v="TXN-2012"/>
    <d v="2023-02-15T00:00:00"/>
    <x v="0"/>
    <s v="Office Supplies"/>
    <x v="0"/>
    <n v="8"/>
    <x v="2"/>
    <n v="8"/>
    <n v="216.11"/>
    <n v="216.11"/>
    <n v="1728.88"/>
    <m/>
    <s v="user_1012@company.com"/>
    <x v="2"/>
    <s v="user_1012@company.com"/>
  </r>
  <r>
    <s v="TXN-2013"/>
    <d v="2023-07-08T00:00:00"/>
    <x v="4"/>
    <s v="Electronics"/>
    <x v="1"/>
    <n v="5"/>
    <x v="0"/>
    <n v="5"/>
    <n v="245.66"/>
    <n v="245.66"/>
    <n v="1228.3"/>
    <n v="1549.02"/>
    <s v="user_1013@company.com"/>
    <x v="4"/>
    <s v="user_1013@company.com"/>
  </r>
  <r>
    <s v="TXN-2014"/>
    <d v="2023-10-03T00:00:00"/>
    <x v="1"/>
    <s v="Furniture "/>
    <x v="2"/>
    <n v="4"/>
    <x v="0"/>
    <n v="4"/>
    <n v="194.39"/>
    <n v="194.39"/>
    <n v="777.56"/>
    <n v="777.56"/>
    <s v="user_1014@company.com"/>
    <x v="0"/>
    <s v="user_1014@company.com"/>
  </r>
  <r>
    <s v="TXN-2015"/>
    <d v="1899-12-31T00:00:00"/>
    <x v="2"/>
    <s v="Office Supplies"/>
    <x v="0"/>
    <n v="2"/>
    <x v="1"/>
    <n v="2"/>
    <n v="187.96"/>
    <n v="187.96"/>
    <n v="375.92"/>
    <n v="375.92"/>
    <s v="user_1015@company.com"/>
    <x v="2"/>
    <s v="user_1015@company.com"/>
  </r>
  <r>
    <s v="TXN-2016"/>
    <d v="2023-09-11T00:00:00"/>
    <x v="1"/>
    <s v="Electronics"/>
    <x v="1"/>
    <n v="6"/>
    <x v="0"/>
    <n v="6"/>
    <n v="-195.94"/>
    <n v="195.94"/>
    <n v="1175.6400000000001"/>
    <n v="213.66"/>
    <s v="user_1016@company.com"/>
    <x v="3"/>
    <s v="user_1016@company.com"/>
  </r>
  <r>
    <s v="TXN-2017"/>
    <d v="1899-12-31T00:00:00"/>
    <x v="2"/>
    <s v="Furniture"/>
    <x v="2"/>
    <n v="5"/>
    <x v="0"/>
    <n v="5"/>
    <n v="345.91"/>
    <n v="345.91"/>
    <n v="1729.55"/>
    <n v="1729.55"/>
    <s v="user_1017@company.com"/>
    <x v="2"/>
    <s v="user_1017@company.com"/>
  </r>
  <r>
    <s v="TXN-2018"/>
    <d v="2023-11-12T00:00:00"/>
    <x v="1"/>
    <s v="Office Supplies"/>
    <x v="0"/>
    <n v="6"/>
    <x v="0"/>
    <n v="6"/>
    <n v="223.75"/>
    <n v="223.75"/>
    <n v="1342.5"/>
    <n v="1342.5"/>
    <s v="user_1018@company.com"/>
    <x v="0"/>
    <s v="user_1018@company.com"/>
  </r>
  <r>
    <s v="TXN-2020"/>
    <d v="2023-03-05T00:00:00"/>
    <x v="4"/>
    <s v="Electronics"/>
    <x v="1"/>
    <n v="3"/>
    <x v="1"/>
    <n v="3"/>
    <n v="409.86"/>
    <n v="409.86"/>
    <n v="1229.58"/>
    <n v="1229.58"/>
    <s v="user_1020@company.com"/>
    <x v="4"/>
    <s v="user_1020@company.com"/>
  </r>
  <r>
    <s v="TXN-2021"/>
    <d v="2023-08-08T00:00:00"/>
    <x v="4"/>
    <s v="Electronics"/>
    <x v="1"/>
    <n v="9"/>
    <x v="2"/>
    <n v="9"/>
    <n v="403.25"/>
    <n v="403.25"/>
    <n v="3629.25"/>
    <n v="3629.25"/>
    <s v="user_1021@company.com"/>
    <x v="2"/>
    <s v="user_1021@company.com"/>
  </r>
  <r>
    <s v="TXN-2022"/>
    <d v="2023-05-07T00:00:00"/>
    <x v="1"/>
    <s v="Furniture "/>
    <x v="2"/>
    <n v="2"/>
    <x v="1"/>
    <n v="2"/>
    <n v="248.33"/>
    <n v="248.33"/>
    <n v="496.66"/>
    <n v="496.66"/>
    <s v="user_1022@company.com"/>
    <x v="0"/>
    <s v="user_1022@company.com"/>
  </r>
  <r>
    <s v="TXN-2023"/>
    <d v="2023-05-08T00:00:00"/>
    <x v="2"/>
    <s v="Electronics"/>
    <x v="1"/>
    <n v="0"/>
    <x v="3"/>
    <n v="0"/>
    <n v="156.24"/>
    <n v="156.24"/>
    <n v="0"/>
    <n v="0"/>
    <s v="user_1023@company.com"/>
    <x v="2"/>
    <s v="user_1023@company.com"/>
  </r>
  <r>
    <s v="TXN-2024"/>
    <d v="2023-12-20T00:00:00"/>
    <x v="3"/>
    <s v="Office Supplies"/>
    <x v="0"/>
    <n v="6"/>
    <x v="0"/>
    <n v="6"/>
    <n v="322.67"/>
    <n v="322.67"/>
    <n v="1936.02"/>
    <n v="1936.02"/>
    <s v="user_1024@company.com"/>
    <x v="0"/>
    <s v="user_1024@company.com"/>
  </r>
  <r>
    <s v="TXN-2025"/>
    <d v="2023-12-04T00:00:00"/>
    <x v="1"/>
    <s v="Office Supplies"/>
    <x v="0"/>
    <n v="4"/>
    <x v="0"/>
    <n v="4"/>
    <s v="$250.00"/>
    <n v="250"/>
    <n v="1000"/>
    <n v="604.76"/>
    <s v="user_1025@company.com"/>
    <x v="2"/>
    <s v="user_1025@company.com"/>
  </r>
  <r>
    <s v="TXN-2026"/>
    <d v="2023-07-11T00:00:00"/>
    <x v="0"/>
    <s v="Electronics"/>
    <x v="1"/>
    <n v="6"/>
    <x v="0"/>
    <n v="6"/>
    <n v="125.64"/>
    <n v="125.64"/>
    <n v="753.84"/>
    <n v="753.84"/>
    <s v="user_1026@company.com"/>
    <x v="4"/>
    <s v="user_1026@company.com"/>
  </r>
  <r>
    <s v="TXN-2027"/>
    <d v="2023-06-01T00:00:00"/>
    <x v="2"/>
    <s v="Office Supplies"/>
    <x v="0"/>
    <n v="4"/>
    <x v="0"/>
    <n v="4"/>
    <n v="367.95"/>
    <n v="367.95"/>
    <n v="1471.8"/>
    <n v="1471.8"/>
    <s v="user_1027@company.com"/>
    <x v="0"/>
    <s v="user_1027@company.com"/>
  </r>
  <r>
    <s v="TXN-2028"/>
    <d v="2023-05-03T00:00:00"/>
    <x v="0"/>
    <s v="Electronics"/>
    <x v="1"/>
    <n v="5"/>
    <x v="0"/>
    <n v="5"/>
    <n v="29.76"/>
    <n v="29.76"/>
    <n v="148.80000000000001"/>
    <n v="148.80000000000001"/>
    <s v="user_1028@company.com"/>
    <x v="4"/>
    <s v="user_1028@company.com"/>
  </r>
  <r>
    <s v="TXN-2029"/>
    <d v="2023-05-04T00:00:00"/>
    <x v="1"/>
    <s v="Electronics"/>
    <x v="1"/>
    <n v="2"/>
    <x v="1"/>
    <n v="2"/>
    <n v="56.44"/>
    <n v="56.44"/>
    <n v="112.88"/>
    <n v="112.88"/>
    <s v="user_1029@company.com"/>
    <x v="2"/>
    <s v="user_1029@company.com"/>
  </r>
  <r>
    <s v="TXN-2030"/>
    <d v="2023-02-06T00:00:00"/>
    <x v="0"/>
    <s v="Furniture "/>
    <x v="2"/>
    <n v="5"/>
    <x v="0"/>
    <n v="5"/>
    <n v="13.33"/>
    <n v="13.33"/>
    <n v="66.650000000000006"/>
    <n v="66.650000000000006"/>
    <s v="user_1030@company.com"/>
    <x v="4"/>
    <s v="user_1030@company.com"/>
  </r>
  <r>
    <s v="TXN-2031"/>
    <d v="2023-12-06T00:00:00"/>
    <x v="3"/>
    <s v="Office Supplies"/>
    <x v="0"/>
    <n v="4"/>
    <x v="0"/>
    <n v="4"/>
    <n v="84.94"/>
    <n v="84.94"/>
    <n v="339.76"/>
    <n v="339.76"/>
    <m/>
    <x v="4"/>
    <s v="unknown@domain.com"/>
  </r>
  <r>
    <s v="TXN-2032"/>
    <d v="2023-10-19T00:00:00"/>
    <x v="0"/>
    <s v="Electronics"/>
    <x v="1"/>
    <n v="-1"/>
    <x v="1"/>
    <n v="1"/>
    <n v="43.81"/>
    <n v="43.81"/>
    <n v="43.81"/>
    <n v="131.43"/>
    <s v="user_1032@company.com"/>
    <x v="0"/>
    <s v="user_1032@company.com"/>
  </r>
  <r>
    <s v="TXN-2033"/>
    <d v="1899-12-31T00:00:00"/>
    <x v="1"/>
    <s v="Furniture "/>
    <x v="2"/>
    <n v="5"/>
    <x v="0"/>
    <n v="5"/>
    <n v="497.94"/>
    <n v="497.94"/>
    <n v="2489.6999999999998"/>
    <m/>
    <s v="user_1033@company.com"/>
    <x v="0"/>
    <s v="user_1033@company.com"/>
  </r>
  <r>
    <s v="TXN-2034"/>
    <d v="2023-02-07T00:00:00"/>
    <x v="0"/>
    <s v="Office Supplies"/>
    <x v="0"/>
    <n v="3"/>
    <x v="1"/>
    <n v="3"/>
    <n v="151.52000000000001"/>
    <n v="151.52000000000001"/>
    <n v="454.56"/>
    <m/>
    <s v="user_1034@company.com"/>
    <x v="0"/>
    <s v="user_1034@company.com"/>
  </r>
  <r>
    <s v="TXN-2035"/>
    <d v="2023-01-08T00:00:00"/>
    <x v="2"/>
    <s v="Electronics"/>
    <x v="1"/>
    <n v="3"/>
    <x v="1"/>
    <n v="3"/>
    <n v="83.14"/>
    <n v="83.14"/>
    <n v="249.42"/>
    <n v="249.42"/>
    <s v="user_1035@company.com"/>
    <x v="2"/>
    <s v="user_1035@company.com"/>
  </r>
  <r>
    <s v="TXN-2036"/>
    <d v="2023-01-31T00:00:00"/>
    <x v="3"/>
    <s v="Office Supplies"/>
    <x v="0"/>
    <n v="4"/>
    <x v="0"/>
    <n v="4"/>
    <n v="128.09"/>
    <n v="128.09"/>
    <n v="512.36"/>
    <n v="512.36"/>
    <s v="user_1036@company.com"/>
    <x v="2"/>
    <s v="user_1036@company.com"/>
  </r>
  <r>
    <s v="TXN-2037"/>
    <d v="2023-11-18T00:00:00"/>
    <x v="3"/>
    <s v="Furniture"/>
    <x v="2"/>
    <n v="8"/>
    <x v="2"/>
    <n v="8"/>
    <n v="468.7"/>
    <n v="468.7"/>
    <n v="3749.6"/>
    <n v="3749.6"/>
    <s v="user_1037@company.com"/>
    <x v="4"/>
    <s v="user_1037@company.com"/>
  </r>
  <r>
    <s v="TXN-2038"/>
    <d v="2023-07-25T00:00:00"/>
    <x v="2"/>
    <s v="Office Supplies"/>
    <x v="0"/>
    <n v="5"/>
    <x v="0"/>
    <n v="5"/>
    <n v="264.88"/>
    <n v="264.88"/>
    <n v="1324.4"/>
    <n v="1324.4"/>
    <s v="user_1038@company.com"/>
    <x v="2"/>
    <s v="user_1038@company.com"/>
  </r>
  <r>
    <s v="TXN-2039"/>
    <d v="2023-03-10T00:00:00"/>
    <x v="2"/>
    <s v="Office Supplies"/>
    <x v="0"/>
    <n v="4"/>
    <x v="0"/>
    <n v="4"/>
    <s v="$250.00"/>
    <n v="250"/>
    <n v="1000"/>
    <n v="755.04"/>
    <s v="user_1039@company.com"/>
    <x v="2"/>
    <s v="user_1039@company.com"/>
  </r>
  <r>
    <s v="TXN-2041"/>
    <d v="1899-12-31T00:00:00"/>
    <x v="1"/>
    <s v="Furniture"/>
    <x v="2"/>
    <n v="4"/>
    <x v="0"/>
    <n v="4"/>
    <n v="203.55"/>
    <n v="203.55"/>
    <n v="814.2"/>
    <n v="814.2"/>
    <s v="user_1041@company.com"/>
    <x v="4"/>
    <s v="user_1041@company.com"/>
  </r>
  <r>
    <s v="TXN-2042"/>
    <d v="2023-07-20T00:00:00"/>
    <x v="3"/>
    <s v="Furniture "/>
    <x v="2"/>
    <n v="4"/>
    <x v="0"/>
    <n v="4"/>
    <n v="174.15"/>
    <n v="174.15"/>
    <n v="696.6"/>
    <n v="696.6"/>
    <s v="user_1042@company.com"/>
    <x v="0"/>
    <s v="user_1042@company.com"/>
  </r>
  <r>
    <s v="TXN-2043"/>
    <d v="2023-12-08T00:00:00"/>
    <x v="1"/>
    <s v="Electronics"/>
    <x v="1"/>
    <n v="7"/>
    <x v="0"/>
    <n v="7"/>
    <n v="111.57"/>
    <n v="111.57"/>
    <n v="780.99"/>
    <n v="780.99"/>
    <s v="user_1043@company.com"/>
    <x v="4"/>
    <s v="user_1043@company.com"/>
  </r>
  <r>
    <s v="TXN-2044"/>
    <d v="1899-12-31T00:00:00"/>
    <x v="2"/>
    <s v="Electronics"/>
    <x v="1"/>
    <n v="8"/>
    <x v="2"/>
    <n v="8"/>
    <n v="195.12"/>
    <n v="195.12"/>
    <n v="1560.96"/>
    <n v="1560.96"/>
    <s v="user_1044@company.com"/>
    <x v="4"/>
    <s v="user_1044@company.com"/>
  </r>
  <r>
    <s v="TXN-2045"/>
    <d v="1899-12-31T00:00:00"/>
    <x v="0"/>
    <s v="Office Supplies"/>
    <x v="0"/>
    <n v="7"/>
    <x v="0"/>
    <n v="7"/>
    <n v="165.18"/>
    <n v="165.18"/>
    <n v="1156.26"/>
    <n v="1156.26"/>
    <s v="user_1045@company.com"/>
    <x v="4"/>
    <s v="user_1045@company.com"/>
  </r>
  <r>
    <s v="TXN-2046"/>
    <d v="2023-08-21T00:00:00"/>
    <x v="0"/>
    <s v="Electronics"/>
    <x v="1"/>
    <n v="3"/>
    <x v="1"/>
    <n v="3"/>
    <n v="341.88"/>
    <n v="341.88"/>
    <n v="1025.6400000000001"/>
    <n v="1025.6400000000001"/>
    <s v="user_1046@company.com"/>
    <x v="2"/>
    <s v="user_1046@company.com"/>
  </r>
  <r>
    <s v="TXN-2047"/>
    <d v="2023-03-12T00:00:00"/>
    <x v="4"/>
    <s v="Furniture"/>
    <x v="2"/>
    <n v="6"/>
    <x v="0"/>
    <n v="6"/>
    <n v="151.9"/>
    <n v="151.9"/>
    <n v="911.4"/>
    <n v="911.4"/>
    <s v="user_1047@company.com"/>
    <x v="2"/>
    <s v="user_1047@company.com"/>
  </r>
  <r>
    <s v="TXN-2048"/>
    <d v="1899-12-31T00:00:00"/>
    <x v="2"/>
    <s v="Electronics"/>
    <x v="1"/>
    <n v="6"/>
    <x v="0"/>
    <n v="6"/>
    <n v="292.83"/>
    <n v="292.83"/>
    <n v="1756.98"/>
    <n v="1756.98"/>
    <s v="user_1048@company.com"/>
    <x v="3"/>
    <s v="user_1048@company.com"/>
  </r>
  <r>
    <s v="TXN-2049"/>
    <d v="2023-03-25T00:00:00"/>
    <x v="4"/>
    <s v="Office Supplies"/>
    <x v="0"/>
    <n v="4"/>
    <x v="0"/>
    <n v="4"/>
    <n v="42.29"/>
    <n v="42.29"/>
    <n v="169.16"/>
    <n v="169.16"/>
    <s v="user_1049@company.com"/>
    <x v="2"/>
    <s v="user_1049@company.com"/>
  </r>
  <r>
    <s v="TXN-2050"/>
    <d v="2023-09-25T00:00:00"/>
    <x v="1"/>
    <s v="Electronics"/>
    <x v="1"/>
    <n v="6"/>
    <x v="0"/>
    <n v="6"/>
    <n v="103.73"/>
    <n v="103.73"/>
    <n v="622.38"/>
    <n v="622.38"/>
    <s v="user_1050@company.com"/>
    <x v="0"/>
    <s v="user_1050@company.com"/>
  </r>
  <r>
    <s v="TXN-2051"/>
    <d v="2023-03-06T00:00:00"/>
    <x v="3"/>
    <s v="Office Supplies"/>
    <x v="0"/>
    <n v="9"/>
    <x v="2"/>
    <n v="9"/>
    <n v="209.63"/>
    <n v="209.63"/>
    <n v="1886.67"/>
    <m/>
    <s v="user_1051@company.com"/>
    <x v="4"/>
    <s v="user_1051@company.com"/>
  </r>
  <r>
    <s v="TXN-2052"/>
    <d v="2023-03-02T00:00:00"/>
    <x v="3"/>
    <s v="Electronics"/>
    <x v="1"/>
    <n v="6"/>
    <x v="0"/>
    <n v="6"/>
    <n v="469.11"/>
    <n v="469.11"/>
    <n v="2814.66"/>
    <n v="2814.66"/>
    <s v="user_1052@company.com"/>
    <x v="0"/>
    <s v="user_1052@company.com"/>
  </r>
  <r>
    <s v="TXN-2053"/>
    <d v="2023-08-08T00:00:00"/>
    <x v="3"/>
    <s v="Furniture"/>
    <x v="2"/>
    <n v="4"/>
    <x v="0"/>
    <n v="4"/>
    <n v="194.85"/>
    <n v="194.85"/>
    <n v="779.4"/>
    <n v="779.4"/>
    <s v="user_1053@company.com"/>
    <x v="3"/>
    <s v="user_1053@company.com"/>
  </r>
  <r>
    <s v="TXN-2054"/>
    <d v="2023-05-15T00:00:00"/>
    <x v="4"/>
    <s v="Office Supplies"/>
    <x v="0"/>
    <n v="6"/>
    <x v="0"/>
    <n v="6"/>
    <n v="335.4"/>
    <n v="335.4"/>
    <n v="2012.4"/>
    <n v="2012.4"/>
    <s v="user_1054@company.com"/>
    <x v="0"/>
    <s v="user_1054@company.com"/>
  </r>
  <r>
    <s v="TXN-2055"/>
    <d v="2023-09-19T00:00:00"/>
    <x v="1"/>
    <s v="Office Supplies"/>
    <x v="0"/>
    <n v="7"/>
    <x v="0"/>
    <n v="7"/>
    <m/>
    <n v="0"/>
    <n v="0"/>
    <n v="944.93"/>
    <s v="user_1055@company.com"/>
    <x v="2"/>
    <s v="user_1055@company.com"/>
  </r>
  <r>
    <s v="TXN-2056"/>
    <d v="1899-12-31T00:00:00"/>
    <x v="2"/>
    <s v="Furniture "/>
    <x v="2"/>
    <n v="4"/>
    <x v="0"/>
    <n v="4"/>
    <n v="72.25"/>
    <n v="72.25"/>
    <n v="289"/>
    <n v="289"/>
    <m/>
    <x v="0"/>
    <s v="unknown@domain.com"/>
  </r>
  <r>
    <s v="TXN-2057"/>
    <d v="2023-03-27T00:00:00"/>
    <x v="0"/>
    <s v="Office Supplies"/>
    <x v="0"/>
    <n v="3"/>
    <x v="1"/>
    <n v="3"/>
    <n v="38.68"/>
    <n v="38.68"/>
    <n v="116.04"/>
    <n v="116.04"/>
    <s v="user_1057@company.com"/>
    <x v="0"/>
    <s v="user_1057@company.com"/>
  </r>
  <r>
    <s v="TXN-2058"/>
    <d v="2023-02-22T00:00:00"/>
    <x v="3"/>
    <s v="Electronics"/>
    <x v="1"/>
    <n v="4"/>
    <x v="0"/>
    <n v="4"/>
    <n v="159.65"/>
    <n v="159.65"/>
    <n v="638.6"/>
    <n v="1123.6600000000001"/>
    <s v="user_1058@company.com"/>
    <x v="0"/>
    <s v="user_1058@company.com"/>
  </r>
  <r>
    <s v="TXN-2059"/>
    <d v="2023-09-18T00:00:00"/>
    <x v="0"/>
    <s v="Electronics"/>
    <x v="1"/>
    <n v="5"/>
    <x v="0"/>
    <n v="5"/>
    <n v="87.25"/>
    <n v="87.25"/>
    <n v="436.25"/>
    <n v="436.25"/>
    <s v="user_1059@company.com"/>
    <x v="0"/>
    <s v="user_1059@company.com"/>
  </r>
  <r>
    <s v="TXN-2060"/>
    <d v="1899-12-31T00:00:00"/>
    <x v="2"/>
    <s v="Electronics"/>
    <x v="1"/>
    <n v="3"/>
    <x v="1"/>
    <n v="3"/>
    <n v="95.27"/>
    <n v="95.27"/>
    <n v="285.81"/>
    <n v="285.81"/>
    <s v="user_1060@company.com"/>
    <x v="3"/>
    <s v="user_1060@company.com"/>
  </r>
  <r>
    <s v="TXN-2061"/>
    <d v="2023-05-06T00:00:00"/>
    <x v="3"/>
    <s v="Furniture"/>
    <x v="2"/>
    <n v="5"/>
    <x v="0"/>
    <n v="5"/>
    <n v="382.77"/>
    <n v="382.77"/>
    <n v="1913.85"/>
    <n v="1913.85"/>
    <s v="user_1061@company.com"/>
    <x v="0"/>
    <s v="user_1061@company.com"/>
  </r>
  <r>
    <s v="TXN-2062"/>
    <d v="1899-12-31T00:00:00"/>
    <x v="3"/>
    <s v="Electronics"/>
    <x v="1"/>
    <n v="3"/>
    <x v="1"/>
    <n v="3"/>
    <n v="17.760000000000002"/>
    <n v="17.760000000000002"/>
    <n v="53.28"/>
    <n v="53.28"/>
    <s v="user_1062@company.com"/>
    <x v="0"/>
    <s v="user_1062@company.com"/>
  </r>
  <r>
    <s v="TXN-2063"/>
    <d v="2023-01-19T00:00:00"/>
    <x v="3"/>
    <s v="Office Supplies"/>
    <x v="0"/>
    <n v="5"/>
    <x v="0"/>
    <n v="5"/>
    <n v="283.33"/>
    <n v="283.33"/>
    <n v="1416.65"/>
    <n v="1416.65"/>
    <s v="invalid_email_at_gmail.com"/>
    <x v="1"/>
    <s v="invalid_email@gmail.com"/>
  </r>
  <r>
    <s v="TXN-2064"/>
    <d v="2023-05-08T00:00:00"/>
    <x v="2"/>
    <s v="Office Supplies"/>
    <x v="0"/>
    <n v="5"/>
    <x v="0"/>
    <n v="5"/>
    <n v="195.94"/>
    <n v="195.94"/>
    <n v="979.7"/>
    <n v="979.7"/>
    <s v="invalid_email_at_gmail.com"/>
    <x v="4"/>
    <s v="invalid_email@gmail.com"/>
  </r>
  <r>
    <s v="TXN-2065"/>
    <d v="2023-06-13T00:00:00"/>
    <x v="2"/>
    <s v="Electronics"/>
    <x v="1"/>
    <n v="5"/>
    <x v="0"/>
    <n v="5"/>
    <n v="258.20999999999998"/>
    <n v="258.20999999999998"/>
    <n v="1291.05"/>
    <n v="1291.05"/>
    <s v="user_1065@company.com"/>
    <x v="0"/>
    <s v="user_1065@company.com"/>
  </r>
  <r>
    <s v="TXN-2066"/>
    <d v="2023-10-20T00:00:00"/>
    <x v="4"/>
    <s v="Electronics"/>
    <x v="1"/>
    <n v="6"/>
    <x v="0"/>
    <n v="6"/>
    <n v="285.79000000000002"/>
    <n v="285.79000000000002"/>
    <n v="1714.74"/>
    <n v="1714.74"/>
    <s v="user_1066@company.com"/>
    <x v="2"/>
    <s v="user_1066@company.com"/>
  </r>
  <r>
    <s v="TXN-2067"/>
    <d v="2023-12-11T00:00:00"/>
    <x v="1"/>
    <s v="Furniture "/>
    <x v="2"/>
    <m/>
    <x v="0"/>
    <n v="6"/>
    <n v="163.55000000000001"/>
    <n v="163.55000000000001"/>
    <n v="981.3"/>
    <n v="981.3"/>
    <s v="user_1067@company.com"/>
    <x v="4"/>
    <s v="user_1067@company.com"/>
  </r>
  <r>
    <s v="TXN-2068"/>
    <d v="2023-09-22T00:00:00"/>
    <x v="2"/>
    <s v="Electronics"/>
    <x v="1"/>
    <n v="6"/>
    <x v="0"/>
    <n v="6"/>
    <n v="154.6"/>
    <n v="154.6"/>
    <n v="927.6"/>
    <n v="927.6"/>
    <s v="user_1068@company.com"/>
    <x v="2"/>
    <s v="user_1068@company.com"/>
  </r>
  <r>
    <s v="TXN-2069"/>
    <d v="2023-02-05T00:00:00"/>
    <x v="1"/>
    <s v="Electronics"/>
    <x v="1"/>
    <n v="9999"/>
    <x v="0"/>
    <n v="5"/>
    <n v="369.37"/>
    <n v="369.37"/>
    <n v="1846.85"/>
    <n v="1846.85"/>
    <s v="user_at_company"/>
    <x v="1"/>
    <s v="user@company"/>
  </r>
  <r>
    <s v="TXN-2070"/>
    <d v="2023-06-09T00:00:00"/>
    <x v="2"/>
    <s v="Office Supplies"/>
    <x v="0"/>
    <n v="7"/>
    <x v="0"/>
    <n v="7"/>
    <n v="436.93"/>
    <n v="436.93"/>
    <n v="3058.51"/>
    <n v="3058.51"/>
    <s v="user_1070@company.com"/>
    <x v="2"/>
    <s v="user_1070@company.com"/>
  </r>
  <r>
    <s v="TXN-2071"/>
    <d v="1899-12-31T00:00:00"/>
    <x v="1"/>
    <s v="Office Supplies"/>
    <x v="0"/>
    <n v="3"/>
    <x v="1"/>
    <n v="3"/>
    <n v="104.36"/>
    <n v="104.36"/>
    <n v="313.08"/>
    <n v="313.08"/>
    <s v="user_1071@company.com"/>
    <x v="2"/>
    <s v="user_1071@company.com"/>
  </r>
  <r>
    <s v="TXN-2072"/>
    <d v="2023-08-07T00:00:00"/>
    <x v="0"/>
    <s v="Electronics"/>
    <x v="1"/>
    <n v="5"/>
    <x v="0"/>
    <n v="5"/>
    <n v="57.83"/>
    <n v="57.83"/>
    <n v="289.14999999999998"/>
    <n v="289.14999999999998"/>
    <s v="user_1072@company.com"/>
    <x v="2"/>
    <s v="user_1072@company.com"/>
  </r>
  <r>
    <s v="TXN-2073"/>
    <d v="2023-05-06T00:00:00"/>
    <x v="1"/>
    <s v="Electronics"/>
    <x v="1"/>
    <n v="7"/>
    <x v="0"/>
    <n v="7"/>
    <n v="449.92"/>
    <n v="449.92"/>
    <n v="3149.44"/>
    <n v="3149.44"/>
    <s v="user_1073@company.com"/>
    <x v="0"/>
    <s v="user_1073@company.com"/>
  </r>
  <r>
    <s v="TXN-2074"/>
    <d v="2023-10-30T00:00:00"/>
    <x v="2"/>
    <s v="Furniture "/>
    <x v="2"/>
    <n v="9999"/>
    <x v="0"/>
    <n v="5"/>
    <n v="181.45"/>
    <n v="181.45"/>
    <n v="907.25"/>
    <n v="362.9"/>
    <s v="user_1074@company.com"/>
    <x v="0"/>
    <s v="user_1074@company.com"/>
  </r>
  <r>
    <s v="TXN-2075"/>
    <d v="2023-11-04T00:00:00"/>
    <x v="0"/>
    <s v="Electronics"/>
    <x v="1"/>
    <n v="8"/>
    <x v="2"/>
    <n v="8"/>
    <n v="280.14999999999998"/>
    <n v="280.14999999999998"/>
    <n v="2241.1999999999998"/>
    <n v="2241.1999999999998"/>
    <s v="user_1075@company.com"/>
    <x v="4"/>
    <s v="user_1075@company.com"/>
  </r>
  <r>
    <s v="TXN-2076"/>
    <d v="2023-07-29T00:00:00"/>
    <x v="0"/>
    <s v="Furniture "/>
    <x v="2"/>
    <n v="4"/>
    <x v="0"/>
    <n v="4"/>
    <n v="186.18"/>
    <n v="186.18"/>
    <n v="744.72"/>
    <n v="744.72"/>
    <s v="user_1076@company.com"/>
    <x v="2"/>
    <s v="user_1076@company.com"/>
  </r>
  <r>
    <s v="TXN-2077"/>
    <d v="2023-06-27T00:00:00"/>
    <x v="1"/>
    <s v="Furniture"/>
    <x v="2"/>
    <n v="2"/>
    <x v="1"/>
    <n v="2"/>
    <n v="71.64"/>
    <n v="71.64"/>
    <n v="143.28"/>
    <n v="143.28"/>
    <s v="invalid_email_at_gmail.com"/>
    <x v="0"/>
    <s v="invalid_email@gmail.com"/>
  </r>
  <r>
    <s v="TXN-2078"/>
    <d v="2023-01-01T00:00:00"/>
    <x v="1"/>
    <s v="Office Supplies"/>
    <x v="0"/>
    <n v="5"/>
    <x v="0"/>
    <n v="5"/>
    <n v="298.77"/>
    <n v="298.77"/>
    <n v="1493.85"/>
    <n v="1493.85"/>
    <s v="user_1078@company.com"/>
    <x v="1"/>
    <s v="user_1078@company.com"/>
  </r>
  <r>
    <s v="TXN-2079"/>
    <d v="2023-06-07T00:00:00"/>
    <x v="1"/>
    <s v="Furniture"/>
    <x v="2"/>
    <n v="5"/>
    <x v="0"/>
    <n v="5"/>
    <n v="267.32"/>
    <n v="267.32"/>
    <n v="1336.6"/>
    <n v="1756.82"/>
    <s v="user_1079@company.com"/>
    <x v="3"/>
    <s v="user_1079@company.com"/>
  </r>
  <r>
    <s v="TXN-2080"/>
    <d v="2023-05-02T00:00:00"/>
    <x v="3"/>
    <s v="Furniture"/>
    <x v="2"/>
    <n v="4"/>
    <x v="0"/>
    <n v="4"/>
    <n v="109.47"/>
    <n v="109.47"/>
    <n v="437.88"/>
    <n v="437.88"/>
    <s v="user_1080@company.com"/>
    <x v="2"/>
    <s v="user_1080@company.com"/>
  </r>
  <r>
    <s v="TXN-2081"/>
    <d v="1899-12-31T00:00:00"/>
    <x v="4"/>
    <s v="Furniture "/>
    <x v="2"/>
    <n v="6"/>
    <x v="0"/>
    <n v="6"/>
    <s v="$250.00"/>
    <n v="250"/>
    <n v="1500"/>
    <n v="1388.52"/>
    <s v="user_1081@company.com"/>
    <x v="0"/>
    <s v="user_1081@company.com"/>
  </r>
  <r>
    <s v="TXN-2082"/>
    <d v="2023-02-17T00:00:00"/>
    <x v="1"/>
    <s v="Furniture "/>
    <x v="2"/>
    <n v="8"/>
    <x v="2"/>
    <n v="8"/>
    <n v="400.5"/>
    <n v="400.5"/>
    <n v="3204"/>
    <n v="3204"/>
    <s v="user_1082@company.com"/>
    <x v="1"/>
    <s v="user_1082@company.com"/>
  </r>
  <r>
    <s v="TXN-2083"/>
    <d v="2023-09-24T00:00:00"/>
    <x v="0"/>
    <s v="Office Supplies"/>
    <x v="0"/>
    <n v="4"/>
    <x v="0"/>
    <n v="4"/>
    <n v="299.31"/>
    <n v="299.31"/>
    <n v="1197.24"/>
    <n v="1197.24"/>
    <s v="user_1083@company.com"/>
    <x v="0"/>
    <s v="user_1083@company.com"/>
  </r>
  <r>
    <s v="TXN-2084"/>
    <d v="2023-07-10T00:00:00"/>
    <x v="3"/>
    <s v="Office Supplies"/>
    <x v="0"/>
    <n v="3"/>
    <x v="1"/>
    <n v="3"/>
    <n v="-40.08"/>
    <n v="40.08"/>
    <n v="120.24"/>
    <n v="172.47"/>
    <s v="user_1084@company.com"/>
    <x v="3"/>
    <s v="user_1084@company.com"/>
  </r>
  <r>
    <s v="TXN-2085"/>
    <d v="2023-02-13T00:00:00"/>
    <x v="3"/>
    <s v="Electronics"/>
    <x v="1"/>
    <n v="6"/>
    <x v="0"/>
    <n v="6"/>
    <n v="278.52999999999997"/>
    <n v="278.52999999999997"/>
    <n v="1671.18"/>
    <n v="1671.18"/>
    <s v="user_1085@company.com"/>
    <x v="3"/>
    <s v="user_1085@company.com"/>
  </r>
  <r>
    <s v="TXN-2086"/>
    <d v="2023-11-23T00:00:00"/>
    <x v="1"/>
    <s v="Furniture "/>
    <x v="2"/>
    <n v="4"/>
    <x v="0"/>
    <n v="4"/>
    <n v="354.34"/>
    <n v="354.34"/>
    <n v="1417.36"/>
    <n v="1417.36"/>
    <s v="user_1086@company.com"/>
    <x v="0"/>
    <s v="user_1086@company.com"/>
  </r>
  <r>
    <s v="TXN-2087"/>
    <d v="1899-12-31T00:00:00"/>
    <x v="2"/>
    <s v="Electronics"/>
    <x v="1"/>
    <n v="2"/>
    <x v="1"/>
    <n v="2"/>
    <n v="398.42"/>
    <n v="398.42"/>
    <n v="796.84"/>
    <n v="796.84"/>
    <s v="user_1087@company.com"/>
    <x v="0"/>
    <s v="user_1087@company.com"/>
  </r>
  <r>
    <s v="TXN-2088"/>
    <d v="2023-11-08T00:00:00"/>
    <x v="2"/>
    <s v="Electronics"/>
    <x v="1"/>
    <n v="3"/>
    <x v="1"/>
    <n v="3"/>
    <n v="318.27"/>
    <n v="318.27"/>
    <n v="954.81"/>
    <n v="1394.71"/>
    <s v="user_1088@company.com"/>
    <x v="2"/>
    <s v="user_1088@company.com"/>
  </r>
  <r>
    <s v="TXN-2089"/>
    <d v="2023-05-14T00:00:00"/>
    <x v="2"/>
    <s v="Furniture "/>
    <x v="2"/>
    <n v="1"/>
    <x v="1"/>
    <n v="1"/>
    <n v="84.8"/>
    <n v="84.8"/>
    <n v="84.8"/>
    <n v="84.8"/>
    <s v="user_1089@company.com"/>
    <x v="0"/>
    <s v="user_1089@company.com"/>
  </r>
  <r>
    <s v="TXN-2090"/>
    <d v="2023-07-21T00:00:00"/>
    <x v="0"/>
    <s v="Electronics"/>
    <x v="1"/>
    <m/>
    <x v="2"/>
    <n v="9"/>
    <n v="357.98"/>
    <n v="357.98"/>
    <n v="3221.82"/>
    <n v="3221.82"/>
    <s v="user_1090@company.com"/>
    <x v="4"/>
    <s v="user_1090@company.com"/>
  </r>
  <r>
    <s v="TXN-2091"/>
    <d v="1899-12-31T00:00:00"/>
    <x v="4"/>
    <s v="Electronics"/>
    <x v="1"/>
    <n v="5"/>
    <x v="0"/>
    <n v="5"/>
    <n v="341.9"/>
    <n v="341.9"/>
    <n v="1709.5"/>
    <n v="1709.5"/>
    <s v="user_1091@company.com"/>
    <x v="0"/>
    <s v="user_1091@company.com"/>
  </r>
  <r>
    <s v="TXN-2092"/>
    <d v="1899-12-31T00:00:00"/>
    <x v="1"/>
    <s v="Electronics"/>
    <x v="1"/>
    <n v="3"/>
    <x v="1"/>
    <n v="3"/>
    <n v="21.97"/>
    <n v="21.97"/>
    <n v="65.91"/>
    <n v="65.91"/>
    <s v="user_1092@company.com"/>
    <x v="0"/>
    <s v="user_1092@company.com"/>
  </r>
  <r>
    <s v="TXN-2093"/>
    <d v="2023-10-27T00:00:00"/>
    <x v="3"/>
    <s v="Furniture"/>
    <x v="2"/>
    <n v="4"/>
    <x v="0"/>
    <n v="4"/>
    <n v="211.76"/>
    <n v="211.76"/>
    <n v="847.04"/>
    <n v="847.04"/>
    <s v="user_1093@company.com"/>
    <x v="0"/>
    <s v="user_1093@company.com"/>
  </r>
  <r>
    <s v="TXN-2094"/>
    <d v="2023-03-26T00:00:00"/>
    <x v="1"/>
    <s v="Office Supplies"/>
    <x v="0"/>
    <n v="3"/>
    <x v="1"/>
    <n v="3"/>
    <n v="173.15"/>
    <n v="173.15"/>
    <n v="519.45000000000005"/>
    <n v="519.45000000000005"/>
    <m/>
    <x v="2"/>
    <s v="unknown@domain.com"/>
  </r>
  <r>
    <s v="TXN-2095"/>
    <d v="2023-07-28T00:00:00"/>
    <x v="0"/>
    <s v="Office Supplies"/>
    <x v="0"/>
    <m/>
    <x v="0"/>
    <n v="5"/>
    <n v="-149.25"/>
    <n v="149.25"/>
    <n v="746.25"/>
    <n v="1352.04"/>
    <s v="user_1095@company.com"/>
    <x v="4"/>
    <s v="user_1095@company.com"/>
  </r>
  <r>
    <s v="TXN-2096"/>
    <d v="2023-04-17T00:00:00"/>
    <x v="1"/>
    <s v="Furniture "/>
    <x v="2"/>
    <n v="6"/>
    <x v="0"/>
    <n v="6"/>
    <n v="115.91"/>
    <n v="115.91"/>
    <n v="695.46"/>
    <n v="695.46"/>
    <s v="user_1096@company.com"/>
    <x v="4"/>
    <s v="user_1096@company.com"/>
  </r>
  <r>
    <s v="TXN-2097"/>
    <d v="2023-05-16T00:00:00"/>
    <x v="1"/>
    <s v="Electronics"/>
    <x v="1"/>
    <n v="4"/>
    <x v="0"/>
    <n v="4"/>
    <n v="299.52999999999997"/>
    <n v="299.52999999999997"/>
    <n v="1198.1199999999999"/>
    <n v="1198.1199999999999"/>
    <s v="user_1097@company.com"/>
    <x v="3"/>
    <s v="user_1097@company.com"/>
  </r>
  <r>
    <s v="TXN-2098"/>
    <d v="1899-12-31T00:00:00"/>
    <x v="4"/>
    <s v="Furniture "/>
    <x v="2"/>
    <n v="2"/>
    <x v="1"/>
    <n v="2"/>
    <n v="457.47"/>
    <n v="457.47"/>
    <n v="914.94"/>
    <n v="914.94"/>
    <s v="user_1098@company.com"/>
    <x v="0"/>
    <s v="user_1098@company.com"/>
  </r>
  <r>
    <s v="TXN-2099"/>
    <d v="2023-06-05T00:00:00"/>
    <x v="4"/>
    <s v="Furniture"/>
    <x v="2"/>
    <n v="6"/>
    <x v="0"/>
    <n v="6"/>
    <n v="400.92"/>
    <n v="400.92"/>
    <n v="2405.52"/>
    <n v="2405.52"/>
    <s v="user_1099@company.com"/>
    <x v="3"/>
    <s v="user_1099@company.com"/>
  </r>
  <r>
    <s v="TXN-2100"/>
    <d v="1899-12-31T00:00:00"/>
    <x v="1"/>
    <s v="Electronics"/>
    <x v="1"/>
    <n v="3"/>
    <x v="1"/>
    <n v="3"/>
    <n v="461.51"/>
    <n v="461.51"/>
    <n v="1384.53"/>
    <n v="1384.53"/>
    <s v="user_1100@company.com"/>
    <x v="0"/>
    <s v="user_1100@company.com"/>
  </r>
  <r>
    <s v="TXN-2101"/>
    <d v="1899-12-31T00:00:00"/>
    <x v="1"/>
    <s v="Electronics"/>
    <x v="1"/>
    <n v="6"/>
    <x v="0"/>
    <n v="6"/>
    <s v="$250.00"/>
    <n v="250"/>
    <n v="1500"/>
    <n v="2936.82"/>
    <m/>
    <x v="1"/>
    <s v="unknown@domain.com"/>
  </r>
  <r>
    <s v="TXN-2102"/>
    <d v="2023-07-02T00:00:00"/>
    <x v="2"/>
    <s v="Furniture "/>
    <x v="2"/>
    <n v="2"/>
    <x v="1"/>
    <n v="2"/>
    <n v="15.23"/>
    <n v="15.23"/>
    <n v="30.46"/>
    <n v="30.46"/>
    <s v="user_1102@company.com"/>
    <x v="2"/>
    <s v="user_1102@company.com"/>
  </r>
  <r>
    <s v="TXN-2103"/>
    <d v="2023-12-13T00:00:00"/>
    <x v="1"/>
    <s v="Office Supplies"/>
    <x v="0"/>
    <n v="9999"/>
    <x v="0"/>
    <n v="5"/>
    <n v="315.14"/>
    <n v="315.14"/>
    <n v="1575.7"/>
    <n v="2521.12"/>
    <s v="user_at_company"/>
    <x v="2"/>
    <s v="user@company"/>
  </r>
  <r>
    <s v="TXN-2104"/>
    <d v="2023-03-31T00:00:00"/>
    <x v="4"/>
    <s v="Office Supplies"/>
    <x v="0"/>
    <n v="3"/>
    <x v="1"/>
    <n v="3"/>
    <n v="212.29"/>
    <n v="212.29"/>
    <n v="636.87"/>
    <n v="636.87"/>
    <s v="user_1104@company.com"/>
    <x v="4"/>
    <s v="user_1104@company.com"/>
  </r>
  <r>
    <s v="TXN-2105"/>
    <d v="1899-12-31T00:00:00"/>
    <x v="1"/>
    <s v="Electronics"/>
    <x v="1"/>
    <n v="6"/>
    <x v="0"/>
    <n v="6"/>
    <n v="431.33"/>
    <n v="431.33"/>
    <n v="2587.98"/>
    <n v="2661.42"/>
    <s v="user_1105@company.com"/>
    <x v="0"/>
    <s v="user_1105@company.com"/>
  </r>
  <r>
    <s v="TXN-2106"/>
    <d v="1899-12-31T00:00:00"/>
    <x v="1"/>
    <s v="Electronics"/>
    <x v="1"/>
    <n v="4"/>
    <x v="0"/>
    <n v="4"/>
    <n v="133.38999999999999"/>
    <n v="133.38999999999999"/>
    <n v="533.55999999999995"/>
    <n v="533.55999999999995"/>
    <s v="user_1106@company.com"/>
    <x v="0"/>
    <s v="user_1106@company.com"/>
  </r>
  <r>
    <s v="TXN-2107"/>
    <d v="2023-03-13T00:00:00"/>
    <x v="1"/>
    <s v="Electronics"/>
    <x v="1"/>
    <n v="5"/>
    <x v="0"/>
    <n v="5"/>
    <n v="490.7"/>
    <n v="490.7"/>
    <n v="2453.5"/>
    <n v="2453.5"/>
    <s v="user_1107@company.com"/>
    <x v="0"/>
    <s v="user_1107@company.com"/>
  </r>
  <r>
    <s v="TXN-2108"/>
    <d v="1899-12-31T00:00:00"/>
    <x v="0"/>
    <s v="Office Supplies"/>
    <x v="0"/>
    <n v="6"/>
    <x v="0"/>
    <n v="6"/>
    <n v="-192.37"/>
    <n v="192.37"/>
    <n v="1154.22"/>
    <n v="1864.32"/>
    <s v="user_1108@company.com"/>
    <x v="4"/>
    <s v="user_1108@company.com"/>
  </r>
  <r>
    <s v="TXN-2109"/>
    <d v="1899-12-31T00:00:00"/>
    <x v="1"/>
    <s v="Electronics"/>
    <x v="1"/>
    <n v="9999"/>
    <x v="0"/>
    <n v="5"/>
    <n v="398.83"/>
    <n v="398.83"/>
    <n v="1994.15"/>
    <m/>
    <s v="user_1109@company.com"/>
    <x v="2"/>
    <s v="user_1109@company.com"/>
  </r>
  <r>
    <s v="TXN-2110"/>
    <d v="2023-07-25T00:00:00"/>
    <x v="2"/>
    <s v="Electronics"/>
    <x v="1"/>
    <n v="5"/>
    <x v="0"/>
    <n v="5"/>
    <n v="51.94"/>
    <n v="51.94"/>
    <n v="259.7"/>
    <n v="259.7"/>
    <s v="user_1110@company.com"/>
    <x v="0"/>
    <s v="user_1110@company.com"/>
  </r>
  <r>
    <s v="TXN-2111"/>
    <d v="2023-11-27T00:00:00"/>
    <x v="3"/>
    <s v="Office Supplies"/>
    <x v="0"/>
    <n v="7"/>
    <x v="0"/>
    <n v="7"/>
    <n v="99.89"/>
    <n v="99.89"/>
    <n v="699.23"/>
    <n v="699.23"/>
    <s v="user_1111@company.com"/>
    <x v="4"/>
    <s v="user_1111@company.com"/>
  </r>
  <r>
    <s v="TXN-2112"/>
    <d v="2023-05-13T00:00:00"/>
    <x v="4"/>
    <s v="Electronics"/>
    <x v="1"/>
    <n v="6"/>
    <x v="0"/>
    <n v="6"/>
    <n v="381.62"/>
    <n v="381.62"/>
    <n v="2289.7199999999998"/>
    <n v="2289.7199999999998"/>
    <s v="user_1112@company.com"/>
    <x v="3"/>
    <s v="user_1112@company.com"/>
  </r>
  <r>
    <s v="TXN-2113"/>
    <d v="1899-12-31T00:00:00"/>
    <x v="4"/>
    <s v="Electronics"/>
    <x v="1"/>
    <n v="6"/>
    <x v="0"/>
    <n v="6"/>
    <n v="20.77"/>
    <n v="20.77"/>
    <n v="124.62"/>
    <n v="245.64"/>
    <s v="user_1113@company.com"/>
    <x v="2"/>
    <s v="user_1113@company.com"/>
  </r>
  <r>
    <s v="TXN-2114"/>
    <d v="1899-12-31T00:00:00"/>
    <x v="1"/>
    <s v="Office Supplies"/>
    <x v="0"/>
    <n v="7"/>
    <x v="0"/>
    <n v="7"/>
    <n v="410.27"/>
    <n v="410.27"/>
    <n v="2871.89"/>
    <n v="2871.89"/>
    <s v="user_1114@company.com"/>
    <x v="0"/>
    <s v="user_1114@company.com"/>
  </r>
  <r>
    <s v="TXN-2115"/>
    <d v="1899-12-31T00:00:00"/>
    <x v="0"/>
    <s v="Office Supplies"/>
    <x v="0"/>
    <n v="4"/>
    <x v="0"/>
    <n v="4"/>
    <n v="16.84"/>
    <n v="16.84"/>
    <n v="67.36"/>
    <n v="67.36"/>
    <s v="user_1115@company.com"/>
    <x v="4"/>
    <s v="user_1115@company.com"/>
  </r>
  <r>
    <s v="TXN-2116"/>
    <d v="1899-12-31T00:00:00"/>
    <x v="1"/>
    <s v="Electronics"/>
    <x v="1"/>
    <n v="3"/>
    <x v="1"/>
    <n v="3"/>
    <n v="331.99"/>
    <n v="331.99"/>
    <n v="995.97"/>
    <n v="995.97"/>
    <s v="user_1116@company.com"/>
    <x v="4"/>
    <s v="user_1116@company.com"/>
  </r>
  <r>
    <s v="TXN-2117"/>
    <d v="2023-06-19T00:00:00"/>
    <x v="0"/>
    <s v="Office Supplies"/>
    <x v="0"/>
    <n v="8"/>
    <x v="2"/>
    <n v="8"/>
    <n v="188.9"/>
    <n v="188.9"/>
    <n v="1511.2"/>
    <n v="1511.2"/>
    <s v="user_1117@company.com"/>
    <x v="0"/>
    <s v="user_1117@company.com"/>
  </r>
  <r>
    <s v="TXN-2118"/>
    <d v="1899-12-31T00:00:00"/>
    <x v="2"/>
    <s v="Office Supplies"/>
    <x v="0"/>
    <n v="5"/>
    <x v="0"/>
    <n v="5"/>
    <n v="309.63"/>
    <n v="309.63"/>
    <n v="1548.15"/>
    <m/>
    <s v="user_1118@company.com"/>
    <x v="2"/>
    <s v="user_1118@company.com"/>
  </r>
  <r>
    <s v="TXN-2119"/>
    <d v="2023-03-28T00:00:00"/>
    <x v="4"/>
    <s v="Furniture "/>
    <x v="2"/>
    <n v="5"/>
    <x v="0"/>
    <n v="5"/>
    <n v="351.06"/>
    <n v="351.06"/>
    <n v="1755.3"/>
    <n v="1755.3"/>
    <s v="user_1119@company.com"/>
    <x v="1"/>
    <s v="user_1119@company.com"/>
  </r>
  <r>
    <s v="TXN-2120"/>
    <d v="2023-07-22T00:00:00"/>
    <x v="2"/>
    <s v="Office Supplies"/>
    <x v="0"/>
    <n v="5"/>
    <x v="0"/>
    <n v="5"/>
    <n v="177.81"/>
    <n v="177.81"/>
    <n v="889.05"/>
    <n v="889.05"/>
    <s v="user_1120@company.com"/>
    <x v="0"/>
    <s v="user_1120@company.com"/>
  </r>
  <r>
    <s v="TXN-2121"/>
    <d v="1899-12-31T00:00:00"/>
    <x v="2"/>
    <s v="Furniture"/>
    <x v="2"/>
    <n v="3"/>
    <x v="1"/>
    <n v="3"/>
    <n v="62.9"/>
    <n v="62.9"/>
    <n v="188.7"/>
    <n v="188.7"/>
    <s v="user_1121@company.com"/>
    <x v="2"/>
    <s v="user_1121@company.com"/>
  </r>
  <r>
    <s v="TXN-2122"/>
    <d v="2023-03-30T00:00:00"/>
    <x v="1"/>
    <s v="Electronics"/>
    <x v="1"/>
    <n v="9"/>
    <x v="2"/>
    <n v="9"/>
    <n v="44.13"/>
    <n v="44.13"/>
    <n v="397.17"/>
    <n v="397.17"/>
    <s v="user_1122@company.com"/>
    <x v="0"/>
    <s v="user_1122@company.com"/>
  </r>
  <r>
    <s v="TXN-2123"/>
    <d v="2023-04-06T00:00:00"/>
    <x v="0"/>
    <s v="Office Supplies"/>
    <x v="0"/>
    <n v="8"/>
    <x v="2"/>
    <n v="8"/>
    <n v="298.58"/>
    <n v="298.58"/>
    <n v="2388.64"/>
    <n v="2388.64"/>
    <s v="user_1123@company.com"/>
    <x v="2"/>
    <s v="user_1123@company.com"/>
  </r>
  <r>
    <s v="TXN-2124"/>
    <d v="2023-03-18T00:00:00"/>
    <x v="3"/>
    <s v="Electronics"/>
    <x v="1"/>
    <n v="6"/>
    <x v="0"/>
    <n v="6"/>
    <n v="265.12"/>
    <n v="265.12"/>
    <n v="1590.72"/>
    <n v="1590.72"/>
    <s v="user_1124@company.com"/>
    <x v="4"/>
    <s v="user_1124@company.com"/>
  </r>
  <r>
    <s v="TXN-2125"/>
    <d v="2023-12-11T00:00:00"/>
    <x v="4"/>
    <s v="Electronics"/>
    <x v="1"/>
    <n v="3"/>
    <x v="1"/>
    <n v="3"/>
    <n v="373.68"/>
    <n v="373.68"/>
    <n v="1121.04"/>
    <m/>
    <s v="user_1125@company.com"/>
    <x v="3"/>
    <s v="user_1125@company.com"/>
  </r>
  <r>
    <s v="TXN-2126"/>
    <d v="2023-09-13T00:00:00"/>
    <x v="1"/>
    <s v="Office Supplies"/>
    <x v="0"/>
    <n v="5"/>
    <x v="0"/>
    <n v="5"/>
    <n v="259.77"/>
    <n v="259.77"/>
    <n v="1298.8499999999999"/>
    <n v="1298.8499999999999"/>
    <s v="user_1126@company.com"/>
    <x v="0"/>
    <s v="user_1126@company.com"/>
  </r>
  <r>
    <s v="TXN-2127"/>
    <d v="2023-09-03T00:00:00"/>
    <x v="4"/>
    <s v="Electronics"/>
    <x v="1"/>
    <n v="5"/>
    <x v="0"/>
    <n v="5"/>
    <n v="217"/>
    <n v="217"/>
    <n v="1085"/>
    <n v="1085"/>
    <s v="user_1127@company.com"/>
    <x v="3"/>
    <s v="user_1127@company.com"/>
  </r>
  <r>
    <s v="TXN-2128"/>
    <d v="1899-12-31T00:00:00"/>
    <x v="1"/>
    <s v="Office Supplies"/>
    <x v="0"/>
    <n v="5"/>
    <x v="0"/>
    <n v="5"/>
    <n v="205.06"/>
    <n v="205.06"/>
    <n v="1025.3"/>
    <n v="1025.3"/>
    <s v="user_1128@company.com"/>
    <x v="0"/>
    <s v="user_1128@company.com"/>
  </r>
  <r>
    <s v="TXN-2129"/>
    <d v="2023-03-08T00:00:00"/>
    <x v="4"/>
    <s v="Furniture "/>
    <x v="2"/>
    <m/>
    <x v="1"/>
    <n v="3"/>
    <n v="22.96"/>
    <n v="22.96"/>
    <n v="68.88"/>
    <n v="68.88"/>
    <s v="user_1129@company.com"/>
    <x v="2"/>
    <s v="user_1129@company.com"/>
  </r>
  <r>
    <s v="TXN-2130"/>
    <d v="1899-12-31T00:00:00"/>
    <x v="2"/>
    <s v="Office Supplies"/>
    <x v="0"/>
    <n v="7"/>
    <x v="0"/>
    <n v="7"/>
    <n v="174.42"/>
    <n v="174.42"/>
    <n v="1220.94"/>
    <n v="1220.94"/>
    <s v="user_1130@company.com"/>
    <x v="1"/>
    <s v="user_1130@company.com"/>
  </r>
  <r>
    <s v="TXN-2131"/>
    <d v="2023-10-06T00:00:00"/>
    <x v="0"/>
    <s v="Office Supplies"/>
    <x v="0"/>
    <n v="3"/>
    <x v="1"/>
    <n v="3"/>
    <n v="488.25"/>
    <n v="488.25"/>
    <n v="1464.75"/>
    <n v="1464.75"/>
    <s v="user_1131@company.com"/>
    <x v="2"/>
    <s v="user_1131@company.com"/>
  </r>
  <r>
    <s v="TXN-2132"/>
    <d v="2024-01-01T00:00:00"/>
    <x v="1"/>
    <s v="Furniture"/>
    <x v="2"/>
    <n v="0"/>
    <x v="3"/>
    <n v="0"/>
    <n v="438.04"/>
    <n v="438.04"/>
    <n v="0"/>
    <n v="0"/>
    <s v="user_1132@company.com"/>
    <x v="1"/>
    <s v="user_1132@company.com"/>
  </r>
  <r>
    <s v="TXN-2133"/>
    <d v="2023-09-06T00:00:00"/>
    <x v="3"/>
    <s v="Furniture"/>
    <x v="2"/>
    <n v="6"/>
    <x v="0"/>
    <n v="6"/>
    <n v="171.4"/>
    <n v="171.4"/>
    <n v="1028.4000000000001"/>
    <n v="1028.4000000000001"/>
    <s v="invalid_email_at_gmail.com"/>
    <x v="0"/>
    <s v="invalid_email@gmail.com"/>
  </r>
  <r>
    <s v="TXN-2135"/>
    <d v="2023-04-03T00:00:00"/>
    <x v="4"/>
    <s v="Furniture "/>
    <x v="2"/>
    <n v="4"/>
    <x v="0"/>
    <n v="4"/>
    <n v="425.18"/>
    <n v="425.18"/>
    <n v="1700.72"/>
    <n v="1700.72"/>
    <s v="user_1135@company.com"/>
    <x v="1"/>
    <s v="user_1135@company.com"/>
  </r>
  <r>
    <s v="TXN-2136"/>
    <d v="2023-04-23T00:00:00"/>
    <x v="4"/>
    <s v="Office Supplies"/>
    <x v="0"/>
    <n v="5"/>
    <x v="0"/>
    <n v="5"/>
    <n v="226.22"/>
    <n v="226.22"/>
    <n v="1131.0999999999999"/>
    <n v="1131.0999999999999"/>
    <s v="user_1136@company.com"/>
    <x v="4"/>
    <s v="user_1136@company.com"/>
  </r>
  <r>
    <s v="TXN-2137"/>
    <d v="2023-05-24T00:00:00"/>
    <x v="1"/>
    <s v="Office Supplies"/>
    <x v="0"/>
    <n v="9"/>
    <x v="2"/>
    <n v="9"/>
    <n v="-158.55000000000001"/>
    <n v="158.55000000000001"/>
    <n v="1426.95"/>
    <n v="169.2"/>
    <s v="user_1137@company.com"/>
    <x v="0"/>
    <s v="user_1137@company.com"/>
  </r>
  <r>
    <s v="TXN-2138"/>
    <d v="2023-08-30T00:00:00"/>
    <x v="0"/>
    <s v="Electronics"/>
    <x v="1"/>
    <n v="5"/>
    <x v="0"/>
    <n v="5"/>
    <n v="46.51"/>
    <n v="46.51"/>
    <n v="232.55"/>
    <n v="232.55"/>
    <s v="user_1138@company.com"/>
    <x v="0"/>
    <s v="user_1138@company.com"/>
  </r>
  <r>
    <s v="TXN-2139"/>
    <d v="1899-12-31T00:00:00"/>
    <x v="3"/>
    <s v="Office Supplies"/>
    <x v="0"/>
    <n v="-8"/>
    <x v="2"/>
    <n v="8"/>
    <m/>
    <n v="0"/>
    <n v="0"/>
    <n v="1040.3599999999999"/>
    <s v="user_1139@company.com"/>
    <x v="0"/>
    <s v="user_1139@company.com"/>
  </r>
  <r>
    <s v="TXN-2140"/>
    <d v="2023-03-12T00:00:00"/>
    <x v="3"/>
    <s v="Office Supplies"/>
    <x v="0"/>
    <n v="3"/>
    <x v="1"/>
    <n v="3"/>
    <n v="485.03"/>
    <n v="485.03"/>
    <n v="1455.09"/>
    <n v="1455.09"/>
    <s v="user_1140@company.com"/>
    <x v="4"/>
    <s v="user_1140@company.com"/>
  </r>
  <r>
    <s v="TXN-2141"/>
    <d v="1899-12-31T00:00:00"/>
    <x v="1"/>
    <s v="Office Supplies"/>
    <x v="0"/>
    <n v="6"/>
    <x v="0"/>
    <n v="6"/>
    <n v="349.67"/>
    <n v="349.67"/>
    <n v="2098.02"/>
    <n v="2098.02"/>
    <s v="user_1141@company.com"/>
    <x v="1"/>
    <s v="user_1141@company.com"/>
  </r>
  <r>
    <s v="TXN-2142"/>
    <d v="2023-07-18T00:00:00"/>
    <x v="1"/>
    <s v="Office Supplies"/>
    <x v="0"/>
    <n v="2"/>
    <x v="1"/>
    <n v="2"/>
    <n v="44.75"/>
    <n v="44.75"/>
    <n v="89.5"/>
    <n v="89.5"/>
    <s v="user_1142@company.com"/>
    <x v="1"/>
    <s v="user_1142@company.com"/>
  </r>
  <r>
    <s v="TXN-2143"/>
    <d v="1899-12-31T00:00:00"/>
    <x v="1"/>
    <s v="Electronics"/>
    <x v="1"/>
    <n v="6"/>
    <x v="0"/>
    <n v="6"/>
    <m/>
    <n v="0"/>
    <n v="0"/>
    <n v="616.74"/>
    <s v="user_1143@company.com"/>
    <x v="0"/>
    <s v="user_1143@company.com"/>
  </r>
  <r>
    <s v="TXN-2144"/>
    <d v="2023-06-12T00:00:00"/>
    <x v="0"/>
    <s v="Electronics"/>
    <x v="1"/>
    <n v="6"/>
    <x v="0"/>
    <n v="6"/>
    <n v="387.95"/>
    <n v="387.95"/>
    <n v="2327.6999999999998"/>
    <n v="2327.6999999999998"/>
    <s v="user_1144@company.com"/>
    <x v="0"/>
    <s v="user_1144@company.com"/>
  </r>
  <r>
    <s v="TXN-2145"/>
    <d v="2023-01-15T00:00:00"/>
    <x v="2"/>
    <s v="Office Supplies"/>
    <x v="0"/>
    <n v="6"/>
    <x v="0"/>
    <n v="6"/>
    <n v="422.31"/>
    <n v="422.31"/>
    <n v="2533.86"/>
    <n v="2533.86"/>
    <s v="user_1145@company.com"/>
    <x v="4"/>
    <s v="user_1145@company.com"/>
  </r>
  <r>
    <s v="TXN-2146"/>
    <d v="1899-12-31T00:00:00"/>
    <x v="2"/>
    <s v="Electronics"/>
    <x v="1"/>
    <n v="5"/>
    <x v="0"/>
    <n v="5"/>
    <n v="-146.77000000000001"/>
    <n v="146.77000000000001"/>
    <n v="733.85"/>
    <n v="1563.35"/>
    <s v="user_1146@company.com"/>
    <x v="4"/>
    <s v="user_1146@company.com"/>
  </r>
  <r>
    <s v="TXN-2147"/>
    <d v="2023-04-07T00:00:00"/>
    <x v="3"/>
    <s v="Office Supplies"/>
    <x v="0"/>
    <m/>
    <x v="0"/>
    <n v="4"/>
    <n v="325.77"/>
    <n v="325.77"/>
    <n v="1303.08"/>
    <n v="1192.8699999999999"/>
    <s v="user_1147@company.com"/>
    <x v="0"/>
    <s v="user_1147@company.com"/>
  </r>
  <r>
    <s v="TXN-2148"/>
    <d v="2023-03-31T00:00:00"/>
    <x v="1"/>
    <s v="Office Supplies"/>
    <x v="0"/>
    <n v="5"/>
    <x v="0"/>
    <n v="5"/>
    <n v="23.89"/>
    <n v="23.89"/>
    <n v="119.45"/>
    <n v="95.56"/>
    <s v="user_1148@company.com"/>
    <x v="0"/>
    <s v="user_1148@company.com"/>
  </r>
  <r>
    <s v="TXN-2149"/>
    <d v="1899-12-31T00:00:00"/>
    <x v="4"/>
    <s v="Office Supplies"/>
    <x v="0"/>
    <n v="4"/>
    <x v="0"/>
    <n v="4"/>
    <n v="415.98"/>
    <n v="415.98"/>
    <n v="1663.92"/>
    <n v="1663.92"/>
    <s v="user_1149@company.com"/>
    <x v="0"/>
    <s v="user_1149@company.com"/>
  </r>
  <r>
    <s v="TXN-2150"/>
    <d v="1899-12-31T00:00:00"/>
    <x v="1"/>
    <s v="Electronics"/>
    <x v="1"/>
    <n v="5"/>
    <x v="0"/>
    <n v="5"/>
    <n v="396.25"/>
    <n v="396.25"/>
    <n v="1981.25"/>
    <n v="1981.25"/>
    <s v="user_1150@company.com"/>
    <x v="2"/>
    <s v="user_1150@company.com"/>
  </r>
  <r>
    <s v="TXN-2151"/>
    <d v="2023-01-11T00:00:00"/>
    <x v="1"/>
    <s v="Furniture "/>
    <x v="2"/>
    <n v="4"/>
    <x v="0"/>
    <n v="4"/>
    <n v="136.93"/>
    <n v="136.93"/>
    <n v="547.72"/>
    <n v="547.72"/>
    <s v="user_1151@company.com"/>
    <x v="0"/>
    <s v="user_1151@company.com"/>
  </r>
  <r>
    <s v="TXN-2152"/>
    <d v="1899-12-31T00:00:00"/>
    <x v="2"/>
    <s v="Office Supplies"/>
    <x v="0"/>
    <n v="4"/>
    <x v="0"/>
    <n v="4"/>
    <n v="357.25"/>
    <n v="357.25"/>
    <n v="1429"/>
    <n v="1429"/>
    <s v="user_1152@company.com"/>
    <x v="4"/>
    <s v="user_1152@company.com"/>
  </r>
  <r>
    <s v="TXN-2153"/>
    <d v="1899-12-31T00:00:00"/>
    <x v="4"/>
    <s v="Electronics"/>
    <x v="1"/>
    <n v="5"/>
    <x v="0"/>
    <n v="5"/>
    <n v="115.28"/>
    <n v="115.28"/>
    <n v="576.4"/>
    <n v="576.4"/>
    <s v="user_1153@company.com"/>
    <x v="0"/>
    <s v="user_1153@company.com"/>
  </r>
  <r>
    <s v="TXN-2154"/>
    <d v="2023-04-01T00:00:00"/>
    <x v="4"/>
    <s v="Electronics"/>
    <x v="1"/>
    <n v="5"/>
    <x v="0"/>
    <n v="5"/>
    <n v="29.76"/>
    <n v="29.76"/>
    <n v="148.80000000000001"/>
    <n v="148.80000000000001"/>
    <s v="user_1154@company.com"/>
    <x v="0"/>
    <s v="user_1154@company.com"/>
  </r>
  <r>
    <s v="TXN-2155"/>
    <d v="1899-12-31T00:00:00"/>
    <x v="1"/>
    <s v="Office Supplies"/>
    <x v="0"/>
    <n v="5"/>
    <x v="0"/>
    <n v="5"/>
    <n v="108.56"/>
    <n v="108.56"/>
    <n v="542.79999999999995"/>
    <n v="542.79999999999995"/>
    <s v="invalid_email_at_gmail.com"/>
    <x v="4"/>
    <s v="invalid_email@gmail.com"/>
  </r>
  <r>
    <s v="TXN-2156"/>
    <d v="1899-12-31T00:00:00"/>
    <x v="2"/>
    <s v="Electronics"/>
    <x v="1"/>
    <n v="7"/>
    <x v="0"/>
    <n v="7"/>
    <m/>
    <n v="0"/>
    <n v="0"/>
    <n v="682.71"/>
    <s v="user_1156@company.com"/>
    <x v="0"/>
    <s v="user_1156@company.com"/>
  </r>
  <r>
    <s v="TXN-2157"/>
    <d v="2023-09-27T00:00:00"/>
    <x v="2"/>
    <s v="Office Supplies"/>
    <x v="0"/>
    <n v="3"/>
    <x v="1"/>
    <n v="3"/>
    <n v="175.5"/>
    <n v="175.5"/>
    <n v="526.5"/>
    <n v="526.5"/>
    <s v="user_1157@company.com"/>
    <x v="2"/>
    <s v="user_1157@company.com"/>
  </r>
  <r>
    <s v="TXN-2158"/>
    <d v="2023-07-11T00:00:00"/>
    <x v="1"/>
    <s v="Electronics"/>
    <x v="1"/>
    <n v="2"/>
    <x v="1"/>
    <n v="2"/>
    <n v="215.04"/>
    <n v="215.04"/>
    <n v="430.08"/>
    <n v="430.08"/>
    <s v="user_1158@company.com"/>
    <x v="0"/>
    <s v="user_1158@company.com"/>
  </r>
  <r>
    <s v="TXN-2159"/>
    <d v="2023-06-22T00:00:00"/>
    <x v="1"/>
    <s v="Furniture "/>
    <x v="2"/>
    <n v="4"/>
    <x v="0"/>
    <n v="4"/>
    <n v="259.18"/>
    <n v="259.18"/>
    <n v="1036.72"/>
    <n v="1036.72"/>
    <s v="user_1159@company.com"/>
    <x v="1"/>
    <s v="user_1159@company.com"/>
  </r>
  <r>
    <s v="TXN-2160"/>
    <d v="2023-03-22T00:00:00"/>
    <x v="2"/>
    <s v="Office Supplies"/>
    <x v="0"/>
    <n v="4"/>
    <x v="0"/>
    <n v="4"/>
    <n v="243.61"/>
    <n v="243.61"/>
    <n v="974.44"/>
    <n v="974.44"/>
    <s v="user_1160@company.com"/>
    <x v="0"/>
    <s v="user_1160@company.com"/>
  </r>
  <r>
    <s v="TXN-2161"/>
    <d v="2023-09-07T00:00:00"/>
    <x v="1"/>
    <s v="Office Supplies"/>
    <x v="0"/>
    <n v="6"/>
    <x v="0"/>
    <n v="6"/>
    <n v="142.63"/>
    <n v="142.63"/>
    <n v="855.78"/>
    <n v="855.78"/>
    <s v="user_1161@company.com"/>
    <x v="0"/>
    <s v="user_1161@company.com"/>
  </r>
  <r>
    <s v="TXN-2162"/>
    <d v="2023-10-15T00:00:00"/>
    <x v="4"/>
    <s v="Office Supplies"/>
    <x v="0"/>
    <n v="3"/>
    <x v="1"/>
    <n v="3"/>
    <n v="24.29"/>
    <n v="24.29"/>
    <n v="72.87"/>
    <n v="72.87"/>
    <s v="user_1162@company.com"/>
    <x v="3"/>
    <s v="user_1162@company.com"/>
  </r>
  <r>
    <s v="TXN-2163"/>
    <d v="1899-12-31T00:00:00"/>
    <x v="2"/>
    <s v="Furniture"/>
    <x v="2"/>
    <n v="9999"/>
    <x v="0"/>
    <n v="5"/>
    <n v="306.5"/>
    <n v="306.5"/>
    <n v="1532.5"/>
    <n v="1532.5"/>
    <s v="user_1163@company.com"/>
    <x v="4"/>
    <s v="user_1163@company.com"/>
  </r>
  <r>
    <s v="TXN-2164"/>
    <d v="2023-12-19T00:00:00"/>
    <x v="1"/>
    <s v="Furniture"/>
    <x v="2"/>
    <n v="5"/>
    <x v="0"/>
    <n v="5"/>
    <n v="203.91"/>
    <n v="203.91"/>
    <n v="1019.55"/>
    <n v="1019.55"/>
    <s v="user_1164@company.com"/>
    <x v="2"/>
    <s v="user_1164@company.com"/>
  </r>
  <r>
    <s v="TXN-2165"/>
    <d v="2023-01-01T00:00:00"/>
    <x v="3"/>
    <s v="Electronics"/>
    <x v="1"/>
    <n v="5"/>
    <x v="0"/>
    <n v="5"/>
    <n v="156.35"/>
    <n v="156.35"/>
    <n v="781.75"/>
    <n v="781.75"/>
    <s v="user_1165@company.com"/>
    <x v="4"/>
    <s v="user_1165@company.com"/>
  </r>
  <r>
    <s v="TXN-2166"/>
    <d v="2023-10-18T00:00:00"/>
    <x v="2"/>
    <s v="Office Supplies"/>
    <x v="0"/>
    <n v="5"/>
    <x v="0"/>
    <n v="5"/>
    <s v="$250.00"/>
    <n v="250"/>
    <n v="1250"/>
    <n v="2174"/>
    <s v="user_1166@company.com"/>
    <x v="3"/>
    <s v="user_1166@company.com"/>
  </r>
  <r>
    <s v="TXN-2167"/>
    <d v="2023-12-06T00:00:00"/>
    <x v="3"/>
    <s v="Office Supplies"/>
    <x v="0"/>
    <n v="3"/>
    <x v="1"/>
    <n v="3"/>
    <n v="375.9"/>
    <n v="375.9"/>
    <n v="1127.7"/>
    <m/>
    <s v="user_1167@company.com"/>
    <x v="2"/>
    <s v="user_1167@company.com"/>
  </r>
  <r>
    <s v="TXN-2168"/>
    <d v="2023-02-23T00:00:00"/>
    <x v="3"/>
    <s v="Electronics"/>
    <x v="1"/>
    <n v="10"/>
    <x v="2"/>
    <n v="10"/>
    <n v="430.31"/>
    <n v="430.31"/>
    <n v="4303.1000000000004"/>
    <n v="4303.1000000000004"/>
    <s v="user_1168@company.com"/>
    <x v="3"/>
    <s v="user_1168@company.com"/>
  </r>
  <r>
    <s v="TXN-2169"/>
    <d v="2023-09-02T00:00:00"/>
    <x v="1"/>
    <s v="Office Supplies"/>
    <x v="0"/>
    <n v="9999"/>
    <x v="0"/>
    <n v="5"/>
    <n v="252.54"/>
    <n v="252.54"/>
    <n v="1262.7"/>
    <n v="1262.7"/>
    <s v="user_1169@company.com"/>
    <x v="2"/>
    <s v="user_1169@company.com"/>
  </r>
  <r>
    <s v="TXN-2170"/>
    <d v="1899-12-31T00:00:00"/>
    <x v="2"/>
    <s v="Furniture"/>
    <x v="2"/>
    <n v="4"/>
    <x v="0"/>
    <n v="4"/>
    <n v="74.16"/>
    <n v="74.16"/>
    <n v="296.64"/>
    <n v="296.64"/>
    <s v="user_1170@company.com"/>
    <x v="4"/>
    <s v="user_1170@company.com"/>
  </r>
  <r>
    <s v="TXN-2171"/>
    <d v="2023-02-15T00:00:00"/>
    <x v="3"/>
    <s v="Office Supplies"/>
    <x v="0"/>
    <n v="4"/>
    <x v="0"/>
    <n v="4"/>
    <n v="351.15"/>
    <n v="351.15"/>
    <n v="1404.6"/>
    <n v="1404.6"/>
    <s v="user_1171@company.com"/>
    <x v="3"/>
    <s v="user_1171@company.com"/>
  </r>
  <r>
    <s v="TXN-2172"/>
    <d v="1899-12-31T00:00:00"/>
    <x v="0"/>
    <s v="Office Supplies"/>
    <x v="0"/>
    <n v="7"/>
    <x v="0"/>
    <n v="7"/>
    <n v="110.98"/>
    <n v="110.98"/>
    <n v="776.86"/>
    <n v="776.86"/>
    <s v="user_1172@company.com"/>
    <x v="3"/>
    <s v="user_1172@company.com"/>
  </r>
  <r>
    <s v="TXN-2173"/>
    <d v="2023-02-04T00:00:00"/>
    <x v="2"/>
    <s v="Office Supplies"/>
    <x v="0"/>
    <n v="3"/>
    <x v="1"/>
    <n v="3"/>
    <n v="226.2"/>
    <n v="226.2"/>
    <n v="678.6"/>
    <m/>
    <s v="user_1173@company.com"/>
    <x v="0"/>
    <s v="user_1173@company.com"/>
  </r>
  <r>
    <s v="TXN-2174"/>
    <d v="2023-02-25T00:00:00"/>
    <x v="3"/>
    <s v="Furniture"/>
    <x v="2"/>
    <n v="6"/>
    <x v="0"/>
    <n v="6"/>
    <n v="41.85"/>
    <n v="41.85"/>
    <n v="251.1"/>
    <n v="251.1"/>
    <s v="user_1174@company.com"/>
    <x v="3"/>
    <s v="user_1174@company.com"/>
  </r>
  <r>
    <s v="TXN-2175"/>
    <d v="1899-12-31T00:00:00"/>
    <x v="3"/>
    <s v="Electronics"/>
    <x v="1"/>
    <n v="2"/>
    <x v="1"/>
    <n v="2"/>
    <n v="414.4"/>
    <n v="414.4"/>
    <n v="828.8"/>
    <n v="828.8"/>
    <s v="user_1175@company.com"/>
    <x v="1"/>
    <s v="user_1175@company.com"/>
  </r>
  <r>
    <s v="TXN-2176"/>
    <d v="2023-03-08T00:00:00"/>
    <x v="4"/>
    <s v="Electronics"/>
    <x v="1"/>
    <n v="4"/>
    <x v="0"/>
    <n v="4"/>
    <n v="71.709999999999994"/>
    <n v="71.709999999999994"/>
    <n v="286.83999999999997"/>
    <n v="286.83999999999997"/>
    <m/>
    <x v="4"/>
    <s v="unknown@domain.com"/>
  </r>
  <r>
    <s v="TXN-2177"/>
    <d v="2023-09-10T00:00:00"/>
    <x v="4"/>
    <s v="Office Supplies"/>
    <x v="0"/>
    <n v="4"/>
    <x v="0"/>
    <n v="4"/>
    <n v="452.52"/>
    <n v="452.52"/>
    <n v="1810.08"/>
    <n v="1810.08"/>
    <s v="user_1177@company.com"/>
    <x v="2"/>
    <s v="user_1177@company.com"/>
  </r>
  <r>
    <s v="TXN-2178"/>
    <d v="2023-07-12T00:00:00"/>
    <x v="1"/>
    <s v="Electronics"/>
    <x v="1"/>
    <n v="4"/>
    <x v="0"/>
    <n v="4"/>
    <n v="433.47"/>
    <n v="433.47"/>
    <n v="1733.88"/>
    <n v="1843.82"/>
    <s v="user_at_company"/>
    <x v="0"/>
    <s v="user@company"/>
  </r>
  <r>
    <s v="TXN-2179"/>
    <d v="1899-12-31T00:00:00"/>
    <x v="3"/>
    <s v="Office Supplies"/>
    <x v="0"/>
    <n v="-5"/>
    <x v="0"/>
    <n v="5"/>
    <n v="237.65"/>
    <n v="237.65"/>
    <n v="1188.25"/>
    <n v="1901.2"/>
    <s v="user_1179@company.com"/>
    <x v="2"/>
    <s v="user_1179@company.com"/>
  </r>
  <r>
    <s v="TXN-2180"/>
    <d v="2023-02-07T00:00:00"/>
    <x v="1"/>
    <s v="Office Supplies"/>
    <x v="0"/>
    <n v="5"/>
    <x v="0"/>
    <n v="5"/>
    <n v="374.74"/>
    <n v="374.74"/>
    <n v="1873.7"/>
    <n v="1873.7"/>
    <s v="user_1180@company.com"/>
    <x v="0"/>
    <s v="user_1180@company.com"/>
  </r>
  <r>
    <s v="TXN-2181"/>
    <d v="2023-06-13T00:00:00"/>
    <x v="0"/>
    <s v="Electronics"/>
    <x v="1"/>
    <n v="8"/>
    <x v="2"/>
    <n v="8"/>
    <n v="313.52999999999997"/>
    <n v="313.52999999999997"/>
    <n v="2508.2399999999998"/>
    <n v="2508.2399999999998"/>
    <s v="user_1181@company.com"/>
    <x v="4"/>
    <s v="user_1181@company.com"/>
  </r>
  <r>
    <s v="TXN-2182"/>
    <d v="2023-02-07T00:00:00"/>
    <x v="2"/>
    <s v="Office Supplies"/>
    <x v="0"/>
    <n v="5"/>
    <x v="0"/>
    <n v="5"/>
    <n v="403.51"/>
    <n v="403.51"/>
    <n v="2017.55"/>
    <n v="2017.55"/>
    <s v="user_1182@company.com"/>
    <x v="2"/>
    <s v="user_1182@company.com"/>
  </r>
  <r>
    <s v="TXN-2183"/>
    <d v="2023-12-07T00:00:00"/>
    <x v="0"/>
    <s v="Electronics"/>
    <x v="1"/>
    <n v="7"/>
    <x v="0"/>
    <n v="7"/>
    <n v="221.58"/>
    <n v="221.58"/>
    <n v="1551.06"/>
    <n v="1551.06"/>
    <s v="user_1183@company.com"/>
    <x v="0"/>
    <s v="user_1183@company.com"/>
  </r>
  <r>
    <s v="TXN-2184"/>
    <d v="2023-10-08T00:00:00"/>
    <x v="1"/>
    <s v="Furniture "/>
    <x v="2"/>
    <n v="8"/>
    <x v="2"/>
    <n v="8"/>
    <n v="395.05"/>
    <n v="395.05"/>
    <n v="3160.4"/>
    <n v="3160.4"/>
    <s v="user_at_company"/>
    <x v="4"/>
    <s v="user@company"/>
  </r>
  <r>
    <s v="TXN-2185"/>
    <d v="2023-11-11T00:00:00"/>
    <x v="0"/>
    <s v="Office Supplies"/>
    <x v="0"/>
    <n v="3"/>
    <x v="1"/>
    <n v="3"/>
    <n v="236.6"/>
    <n v="236.6"/>
    <n v="709.8"/>
    <n v="709.8"/>
    <s v="user_1185@company.com"/>
    <x v="0"/>
    <s v="user_1185@company.com"/>
  </r>
  <r>
    <s v="TXN-2186"/>
    <d v="2023-09-08T00:00:00"/>
    <x v="4"/>
    <s v="Electronics"/>
    <x v="1"/>
    <n v="4"/>
    <x v="0"/>
    <n v="4"/>
    <n v="471.07"/>
    <n v="471.07"/>
    <n v="1884.28"/>
    <n v="1960.72"/>
    <s v="user_1186@company.com"/>
    <x v="4"/>
    <s v="user_1186@company.com"/>
  </r>
  <r>
    <s v="TXN-2187"/>
    <d v="2023-11-08T00:00:00"/>
    <x v="2"/>
    <s v="Electronics"/>
    <x v="1"/>
    <n v="5"/>
    <x v="0"/>
    <n v="5"/>
    <n v="248.32"/>
    <n v="248.32"/>
    <n v="1241.5999999999999"/>
    <n v="1489.92"/>
    <s v="user_1187@company.com"/>
    <x v="2"/>
    <s v="user_1187@company.com"/>
  </r>
  <r>
    <s v="TXN-2188"/>
    <d v="1899-12-31T00:00:00"/>
    <x v="3"/>
    <s v="Office Supplies"/>
    <x v="0"/>
    <n v="4"/>
    <x v="0"/>
    <n v="4"/>
    <n v="236.68"/>
    <n v="236.68"/>
    <n v="946.72"/>
    <n v="946.72"/>
    <s v="user_1188@company.com"/>
    <x v="0"/>
    <s v="user_1188@company.com"/>
  </r>
  <r>
    <s v="TXN-2189"/>
    <d v="2023-04-08T00:00:00"/>
    <x v="0"/>
    <s v="Office Supplies"/>
    <x v="0"/>
    <n v="4"/>
    <x v="0"/>
    <n v="4"/>
    <n v="394.69"/>
    <n v="394.69"/>
    <n v="1578.76"/>
    <n v="1578.76"/>
    <s v="user_1189@company.com"/>
    <x v="0"/>
    <s v="user_1189@company.com"/>
  </r>
  <r>
    <s v="TXN-2190"/>
    <d v="2023-10-04T00:00:00"/>
    <x v="0"/>
    <s v="Office Supplies"/>
    <x v="0"/>
    <n v="6"/>
    <x v="0"/>
    <n v="6"/>
    <n v="412.57"/>
    <n v="412.57"/>
    <n v="2475.42"/>
    <n v="2475.42"/>
    <s v="user_1190@company.com"/>
    <x v="3"/>
    <s v="user_1190@company.com"/>
  </r>
  <r>
    <s v="TXN-2191"/>
    <d v="2023-02-06T00:00:00"/>
    <x v="1"/>
    <s v="Electronics"/>
    <x v="1"/>
    <n v="2"/>
    <x v="1"/>
    <n v="2"/>
    <n v="281.7"/>
    <n v="281.7"/>
    <n v="563.4"/>
    <m/>
    <s v="user_1191@company.com"/>
    <x v="4"/>
    <s v="user_1191@company.com"/>
  </r>
  <r>
    <s v="TXN-2192"/>
    <d v="1899-12-31T00:00:00"/>
    <x v="1"/>
    <s v="Electronics"/>
    <x v="1"/>
    <n v="4"/>
    <x v="0"/>
    <n v="4"/>
    <s v="$250.00"/>
    <n v="250"/>
    <n v="1000"/>
    <n v="392.4"/>
    <s v="user_1192@company.com"/>
    <x v="1"/>
    <s v="user_1192@company.com"/>
  </r>
  <r>
    <s v="TXN-2193"/>
    <d v="2023-10-09T00:00:00"/>
    <x v="4"/>
    <s v="Furniture"/>
    <x v="2"/>
    <n v="2"/>
    <x v="1"/>
    <n v="2"/>
    <n v="239.2"/>
    <n v="239.2"/>
    <n v="478.4"/>
    <m/>
    <s v="user_1193@company.com"/>
    <x v="2"/>
    <s v="user_1193@company.com"/>
  </r>
  <r>
    <s v="TXN-2194"/>
    <d v="2023-07-04T00:00:00"/>
    <x v="2"/>
    <s v="Electronics"/>
    <x v="1"/>
    <n v="8"/>
    <x v="2"/>
    <n v="8"/>
    <m/>
    <n v="0"/>
    <n v="0"/>
    <n v="3874.88"/>
    <s v="invalid_email_at_gmail.com"/>
    <x v="4"/>
    <s v="invalid_email@gmail.com"/>
  </r>
  <r>
    <s v="TXN-2195"/>
    <d v="2023-05-31T00:00:00"/>
    <x v="1"/>
    <s v="Electronics"/>
    <x v="1"/>
    <n v="7"/>
    <x v="0"/>
    <n v="7"/>
    <n v="378.96"/>
    <n v="378.96"/>
    <n v="2652.72"/>
    <n v="2816.87"/>
    <s v="user_1195@company.com"/>
    <x v="0"/>
    <s v="user_1195@company.com"/>
  </r>
  <r>
    <s v="TXN-2196"/>
    <d v="1899-12-31T00:00:00"/>
    <x v="2"/>
    <s v="Electronics"/>
    <x v="1"/>
    <n v="2"/>
    <x v="1"/>
    <n v="2"/>
    <n v="407.47"/>
    <n v="407.47"/>
    <n v="814.94"/>
    <n v="814.94"/>
    <s v="user_1196@company.com"/>
    <x v="4"/>
    <s v="user_1196@company.com"/>
  </r>
  <r>
    <s v="TXN-2197"/>
    <d v="2023-05-30T00:00:00"/>
    <x v="1"/>
    <s v="Electronics"/>
    <x v="1"/>
    <n v="5"/>
    <x v="0"/>
    <n v="5"/>
    <n v="26.08"/>
    <n v="26.08"/>
    <n v="130.4"/>
    <n v="130.4"/>
    <m/>
    <x v="2"/>
    <s v="unknown@domain.com"/>
  </r>
  <r>
    <s v="TXN-2198"/>
    <d v="2023-03-01T00:00:00"/>
    <x v="3"/>
    <s v="Office Supplies"/>
    <x v="0"/>
    <n v="6"/>
    <x v="0"/>
    <n v="6"/>
    <n v="239.25"/>
    <n v="239.25"/>
    <n v="1435.5"/>
    <n v="1435.5"/>
    <s v="user_1198@company.com"/>
    <x v="4"/>
    <s v="user_1198@company.com"/>
  </r>
  <r>
    <s v="TXN-2199"/>
    <d v="2023-08-30T00:00:00"/>
    <x v="0"/>
    <s v="Furniture "/>
    <x v="2"/>
    <n v="7"/>
    <x v="0"/>
    <n v="7"/>
    <n v="326.83999999999997"/>
    <n v="326.83999999999997"/>
    <n v="2287.88"/>
    <n v="2287.88"/>
    <s v="user_1199@company.com"/>
    <x v="4"/>
    <s v="user_1199@company.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DD1A1E-8EAF-46BE-8FC0-67FF2ACDC6DF}" name="PivotTable3"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4:C8" firstHeaderRow="0" firstDataRow="1" firstDataCol="1"/>
  <pivotFields count="15">
    <pivotField showAll="0"/>
    <pivotField numFmtId="14" showAll="0"/>
    <pivotField showAll="0"/>
    <pivotField showAll="0"/>
    <pivotField axis="axisRow" dataField="1" showAll="0">
      <items count="4">
        <item x="1"/>
        <item x="2"/>
        <item x="0"/>
        <item t="default"/>
      </items>
    </pivotField>
    <pivotField showAll="0"/>
    <pivotField showAll="0"/>
    <pivotField showAll="0"/>
    <pivotField showAll="0"/>
    <pivotField showAll="0"/>
    <pivotField dataField="1" showAll="0"/>
    <pivotField showAll="0"/>
    <pivotField showAll="0"/>
    <pivotField showAll="0"/>
    <pivotField showAll="0"/>
  </pivotFields>
  <rowFields count="1">
    <field x="4"/>
  </rowFields>
  <rowItems count="4">
    <i>
      <x/>
    </i>
    <i>
      <x v="1"/>
    </i>
    <i>
      <x v="2"/>
    </i>
    <i t="grand">
      <x/>
    </i>
  </rowItems>
  <colFields count="1">
    <field x="-2"/>
  </colFields>
  <colItems count="2">
    <i>
      <x/>
    </i>
    <i i="1">
      <x v="1"/>
    </i>
  </colItems>
  <dataFields count="2">
    <dataField name="total Revenue" fld="10" baseField="4" baseItem="0"/>
    <dataField name="Percent of Total Revenue" fld="4" subtotal="count" showDataAs="percentOfCol" baseField="4" baseItem="1" numFmtId="10"/>
  </dataFields>
  <chartFormats count="10">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0"/>
          </reference>
          <reference field="4" count="1" selected="0">
            <x v="2"/>
          </reference>
        </references>
      </pivotArea>
    </chartFormat>
    <chartFormat chart="6" format="3">
      <pivotArea type="data" outline="0" fieldPosition="0">
        <references count="2">
          <reference field="4294967294" count="1" selected="0">
            <x v="0"/>
          </reference>
          <reference field="4" count="1" selected="0">
            <x v="0"/>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4" count="1" selected="0">
            <x v="0"/>
          </reference>
        </references>
      </pivotArea>
    </chartFormat>
    <chartFormat chart="24" format="10">
      <pivotArea type="data" outline="0" fieldPosition="0">
        <references count="2">
          <reference field="4294967294" count="1" selected="0">
            <x v="0"/>
          </reference>
          <reference field="4" count="1" selected="0">
            <x v="2"/>
          </reference>
        </references>
      </pivotArea>
    </chartFormat>
    <chartFormat chart="24"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ED8761-3B27-479F-A7AA-F353E7E05AE3}" name="PivotTable4"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C11" firstHeaderRow="0" firstDataRow="1" firstDataCol="1"/>
  <pivotFields count="15">
    <pivotField showAll="0"/>
    <pivotField numFmtId="14" showAll="0"/>
    <pivotField axis="axisRow" showAll="0">
      <items count="6">
        <item x="3"/>
        <item x="1"/>
        <item x="0"/>
        <item x="4"/>
        <item x="2"/>
        <item t="default"/>
      </items>
    </pivotField>
    <pivotField showAll="0"/>
    <pivotField dataField="1" showAll="0"/>
    <pivotField showAll="0"/>
    <pivotField showAll="0"/>
    <pivotField showAll="0"/>
    <pivotField showAll="0"/>
    <pivotField showAll="0"/>
    <pivotField dataField="1" showAll="0"/>
    <pivotField showAll="0"/>
    <pivotField showAll="0"/>
    <pivotField showAll="0"/>
    <pivotField showAll="0"/>
  </pivotFields>
  <rowFields count="1">
    <field x="2"/>
  </rowFields>
  <rowItems count="6">
    <i>
      <x/>
    </i>
    <i>
      <x v="1"/>
    </i>
    <i>
      <x v="2"/>
    </i>
    <i>
      <x v="3"/>
    </i>
    <i>
      <x v="4"/>
    </i>
    <i t="grand">
      <x/>
    </i>
  </rowItems>
  <colFields count="1">
    <field x="-2"/>
  </colFields>
  <colItems count="2">
    <i>
      <x/>
    </i>
    <i i="1">
      <x v="1"/>
    </i>
  </colItems>
  <dataFields count="2">
    <dataField name="Total revenue" fld="10" baseField="0" baseItem="0"/>
    <dataField name="Order Count" fld="4" subtotal="count"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4"/>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7" series="1">
      <pivotArea type="data" outline="0" fieldPosition="0">
        <references count="1">
          <reference field="4294967294" count="1" selected="0">
            <x v="1"/>
          </reference>
        </references>
      </pivotArea>
    </chartFormat>
    <chartFormat chart="0" format="8">
      <pivotArea type="data" outline="0" fieldPosition="0">
        <references count="2">
          <reference field="4294967294" count="1" selected="0">
            <x v="1"/>
          </reference>
          <reference field="2" count="1" selected="0">
            <x v="2"/>
          </reference>
        </references>
      </pivotArea>
    </chartFormat>
    <chartFormat chart="0" format="9">
      <pivotArea type="data" outline="0" fieldPosition="0">
        <references count="2">
          <reference field="4294967294" count="1" selected="0">
            <x v="1"/>
          </reference>
          <reference field="2" count="1" selected="0">
            <x v="1"/>
          </reference>
        </references>
      </pivotArea>
    </chartFormat>
    <chartFormat chart="0" format="10">
      <pivotArea type="data" outline="0" fieldPosition="0">
        <references count="2">
          <reference field="4294967294" count="1" selected="0">
            <x v="1"/>
          </reference>
          <reference field="2" count="1" selected="0">
            <x v="0"/>
          </reference>
        </references>
      </pivotArea>
    </chartFormat>
    <chartFormat chart="0" format="11">
      <pivotArea type="data" outline="0" fieldPosition="0">
        <references count="2">
          <reference field="4294967294" count="1" selected="0">
            <x v="1"/>
          </reference>
          <reference field="2" count="1" selected="0">
            <x v="3"/>
          </reference>
        </references>
      </pivotArea>
    </chartFormat>
    <chartFormat chart="0" format="12">
      <pivotArea type="data" outline="0" fieldPosition="0">
        <references count="2">
          <reference field="4294967294" count="1" selected="0">
            <x v="1"/>
          </reference>
          <reference field="2" count="1" selected="0">
            <x v="4"/>
          </reference>
        </references>
      </pivotArea>
    </chartFormat>
    <chartFormat chart="16" format="24" series="1">
      <pivotArea type="data" outline="0" fieldPosition="0">
        <references count="1">
          <reference field="4294967294" count="1" selected="0">
            <x v="0"/>
          </reference>
        </references>
      </pivotArea>
    </chartFormat>
    <chartFormat chart="16" format="25">
      <pivotArea type="data" outline="0" fieldPosition="0">
        <references count="2">
          <reference field="4294967294" count="1" selected="0">
            <x v="0"/>
          </reference>
          <reference field="2" count="1" selected="0">
            <x v="0"/>
          </reference>
        </references>
      </pivotArea>
    </chartFormat>
    <chartFormat chart="16" format="26">
      <pivotArea type="data" outline="0" fieldPosition="0">
        <references count="2">
          <reference field="4294967294" count="1" selected="0">
            <x v="0"/>
          </reference>
          <reference field="2" count="1" selected="0">
            <x v="1"/>
          </reference>
        </references>
      </pivotArea>
    </chartFormat>
    <chartFormat chart="16" format="27">
      <pivotArea type="data" outline="0" fieldPosition="0">
        <references count="2">
          <reference field="4294967294" count="1" selected="0">
            <x v="0"/>
          </reference>
          <reference field="2" count="1" selected="0">
            <x v="2"/>
          </reference>
        </references>
      </pivotArea>
    </chartFormat>
    <chartFormat chart="16" format="28">
      <pivotArea type="data" outline="0" fieldPosition="0">
        <references count="2">
          <reference field="4294967294" count="1" selected="0">
            <x v="0"/>
          </reference>
          <reference field="2" count="1" selected="0">
            <x v="4"/>
          </reference>
        </references>
      </pivotArea>
    </chartFormat>
    <chartFormat chart="16" format="29" series="1">
      <pivotArea type="data" outline="0" fieldPosition="0">
        <references count="1">
          <reference field="4294967294" count="1" selected="0">
            <x v="1"/>
          </reference>
        </references>
      </pivotArea>
    </chartFormat>
    <chartFormat chart="16" format="30">
      <pivotArea type="data" outline="0" fieldPosition="0">
        <references count="2">
          <reference field="4294967294" count="1" selected="0">
            <x v="1"/>
          </reference>
          <reference field="2" count="1" selected="0">
            <x v="0"/>
          </reference>
        </references>
      </pivotArea>
    </chartFormat>
    <chartFormat chart="16" format="31">
      <pivotArea type="data" outline="0" fieldPosition="0">
        <references count="2">
          <reference field="4294967294" count="1" selected="0">
            <x v="1"/>
          </reference>
          <reference field="2" count="1" selected="0">
            <x v="1"/>
          </reference>
        </references>
      </pivotArea>
    </chartFormat>
    <chartFormat chart="16" format="32">
      <pivotArea type="data" outline="0" fieldPosition="0">
        <references count="2">
          <reference field="4294967294" count="1" selected="0">
            <x v="1"/>
          </reference>
          <reference field="2" count="1" selected="0">
            <x v="2"/>
          </reference>
        </references>
      </pivotArea>
    </chartFormat>
    <chartFormat chart="16" format="33">
      <pivotArea type="data" outline="0" fieldPosition="0">
        <references count="2">
          <reference field="4294967294" count="1" selected="0">
            <x v="1"/>
          </reference>
          <reference field="2" count="1" selected="0">
            <x v="3"/>
          </reference>
        </references>
      </pivotArea>
    </chartFormat>
    <chartFormat chart="16" format="34">
      <pivotArea type="data" outline="0" fieldPosition="0">
        <references count="2">
          <reference field="4294967294" count="1" selected="0">
            <x v="1"/>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1A7204-035D-49D6-A5A2-ED7D2580C129}" name="PivotTable5"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7:B13" firstHeaderRow="1" firstDataRow="1" firstDataCol="1"/>
  <pivotFields count="15">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6">
        <item x="4"/>
        <item x="0"/>
        <item x="3"/>
        <item x="2"/>
        <item x="1"/>
        <item t="default"/>
      </items>
    </pivotField>
    <pivotField showAll="0"/>
  </pivotFields>
  <rowFields count="1">
    <field x="13"/>
  </rowFields>
  <rowItems count="6">
    <i>
      <x/>
    </i>
    <i>
      <x v="1"/>
    </i>
    <i>
      <x v="2"/>
    </i>
    <i>
      <x v="3"/>
    </i>
    <i>
      <x v="4"/>
    </i>
    <i t="grand">
      <x/>
    </i>
  </rowItems>
  <colItems count="1">
    <i/>
  </colItems>
  <dataFields count="1">
    <dataField name="Total revenue" fld="10" baseField="0" baseItem="0"/>
  </dataFields>
  <chartFormats count="7">
    <chartFormat chart="0" format="0"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13" count="1" selected="0">
            <x v="0"/>
          </reference>
        </references>
      </pivotArea>
    </chartFormat>
    <chartFormat chart="12" format="9">
      <pivotArea type="data" outline="0" fieldPosition="0">
        <references count="2">
          <reference field="4294967294" count="1" selected="0">
            <x v="0"/>
          </reference>
          <reference field="13" count="1" selected="0">
            <x v="1"/>
          </reference>
        </references>
      </pivotArea>
    </chartFormat>
    <chartFormat chart="12" format="10">
      <pivotArea type="data" outline="0" fieldPosition="0">
        <references count="2">
          <reference field="4294967294" count="1" selected="0">
            <x v="0"/>
          </reference>
          <reference field="13" count="1" selected="0">
            <x v="2"/>
          </reference>
        </references>
      </pivotArea>
    </chartFormat>
    <chartFormat chart="12" format="11">
      <pivotArea type="data" outline="0" fieldPosition="0">
        <references count="2">
          <reference field="4294967294" count="1" selected="0">
            <x v="0"/>
          </reference>
          <reference field="13" count="1" selected="0">
            <x v="3"/>
          </reference>
        </references>
      </pivotArea>
    </chartFormat>
    <chartFormat chart="12" format="12">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BE2E85-2A07-486E-9547-16F9B7DF2ADA}" name="PivotTable6"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C10" firstHeaderRow="0" firstDataRow="1" firstDataCol="1"/>
  <pivotFields count="15">
    <pivotField showAll="0"/>
    <pivotField numFmtId="14" showAll="0"/>
    <pivotField showAll="0"/>
    <pivotField showAll="0"/>
    <pivotField showAll="0"/>
    <pivotField showAll="0"/>
    <pivotField axis="axisRow" showAll="0">
      <items count="5">
        <item x="1"/>
        <item x="0"/>
        <item x="2"/>
        <item x="3"/>
        <item t="default"/>
      </items>
    </pivotField>
    <pivotField showAll="0"/>
    <pivotField showAll="0"/>
    <pivotField showAll="0"/>
    <pivotField dataField="1" showAll="0"/>
    <pivotField showAll="0"/>
    <pivotField showAll="0"/>
    <pivotField showAll="0"/>
    <pivotField showAll="0"/>
  </pivotFields>
  <rowFields count="1">
    <field x="6"/>
  </rowFields>
  <rowItems count="5">
    <i>
      <x/>
    </i>
    <i>
      <x v="1"/>
    </i>
    <i>
      <x v="2"/>
    </i>
    <i>
      <x v="3"/>
    </i>
    <i t="grand">
      <x/>
    </i>
  </rowItems>
  <colFields count="1">
    <field x="-2"/>
  </colFields>
  <colItems count="2">
    <i>
      <x/>
    </i>
    <i i="1">
      <x v="1"/>
    </i>
  </colItems>
  <dataFields count="2">
    <dataField name="Total Revenue" fld="10" baseField="0" baseItem="0"/>
    <dataField name="percentage" fld="10" subtotal="count" showDataAs="percentOfCo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6" count="1" selected="0">
            <x v="1"/>
          </reference>
        </references>
      </pivotArea>
    </chartFormat>
    <chartFormat chart="8" format="10">
      <pivotArea type="data" outline="0" fieldPosition="0">
        <references count="2">
          <reference field="4294967294" count="1" selected="0">
            <x v="0"/>
          </reference>
          <reference field="6" count="1" selected="0">
            <x v="2"/>
          </reference>
        </references>
      </pivotArea>
    </chartFormat>
    <chartFormat chart="8" format="11"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6" count="1" selected="0">
            <x v="1"/>
          </reference>
        </references>
      </pivotArea>
    </chartFormat>
    <chartFormat chart="14" format="10">
      <pivotArea type="data" outline="0" fieldPosition="0">
        <references count="2">
          <reference field="4294967294" count="1" selected="0">
            <x v="0"/>
          </reference>
          <reference field="6" count="1" selected="0">
            <x v="2"/>
          </reference>
        </references>
      </pivotArea>
    </chartFormat>
    <chartFormat chart="14"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F390BDC-EFEB-43E7-9854-684EA2F82F25}" autoFormatId="16" applyNumberFormats="0" applyBorderFormats="0" applyFontFormats="0" applyPatternFormats="0" applyAlignmentFormats="0" applyWidthHeightFormats="0">
  <queryTableRefresh nextId="17">
    <queryTableFields count="15">
      <queryTableField id="1" name="Transaction_ID" tableColumnId="1"/>
      <queryTableField id="2" name="Date" tableColumnId="2"/>
      <queryTableField id="3" name="Region" tableColumnId="3"/>
      <queryTableField id="4" name="Category" tableColumnId="4"/>
      <queryTableField id="15" dataBound="0" tableColumnId="14"/>
      <queryTableField id="5" name="Units_Sold" tableColumnId="5"/>
      <queryTableField id="16" dataBound="0" tableColumnId="15"/>
      <queryTableField id="11" name="CleanedUnits_sold" tableColumnId="11"/>
      <queryTableField id="6" name="Unit_Price" tableColumnId="6"/>
      <queryTableField id="13" dataBound="0" tableColumnId="12"/>
      <queryTableField id="14" dataBound="0" tableColumnId="13"/>
      <queryTableField id="7" name="Total_Amount" tableColumnId="7"/>
      <queryTableField id="8" name="Customer_Email" tableColumnId="8"/>
      <queryTableField id="9" name="Payment_Method" tableColumnId="9"/>
      <queryTableField id="10" name="Cleaned_Customer_Email"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ed_Category" xr10:uid="{91E0568F-968D-458D-B662-BF28C36773D8}" sourceName="Cleaned_Category">
  <pivotTables>
    <pivotTable tabId="1" name="PivotTable3"/>
  </pivotTables>
  <data>
    <tabular pivotCacheId="68402817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D98151-95AF-4073-8ED2-226BC89854F1}" sourceName="Region">
  <pivotTables>
    <pivotTable tabId="5" name="PivotTable4"/>
  </pivotTables>
  <data>
    <tabular pivotCacheId="684028179">
      <items count="5">
        <i x="3" s="1"/>
        <i x="1"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181007B-09B7-4B44-B36E-AE3977C35F7E}" sourceName="Payment_Method">
  <pivotTables>
    <pivotTable tabId="6" name="PivotTable5"/>
  </pivotTables>
  <data>
    <tabular pivotCacheId="684028179">
      <items count="5">
        <i x="4" s="1"/>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Tier" xr10:uid="{0DF07364-B167-49AA-BCCF-B65CD033FF2A}" sourceName="Market Tier">
  <pivotTables>
    <pivotTable tabId="7" name="PivotTable6"/>
  </pivotTables>
  <data>
    <tabular pivotCacheId="684028179">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D7DC1C1-42B7-497D-9536-D757285046C7}" cache="Slicer_Cleaned_Category" caption="Cleaned_Category" style="SlicerStyleLight6"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6D4FB2E-5DF3-4F57-AE3C-6A1E01AD72D7}" cache="Slicer_Region" caption="Region" style="SlicerStyleLight2"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45FA3A29-E45B-4B0B-90D0-78E171FB9A0F}" cache="Slicer_Payment_Method" caption="Payment_Method" style="SlicerStyleLight6"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Tier" xr10:uid="{B2CF6A33-C730-4423-9DD2-5FF50ED9263B}" cache="Slicer_Market_Tier" caption="Market Tier" style="SlicerStyleLight5"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ed_Category 1" xr10:uid="{791AD067-7337-4752-B4A5-8534533F22F1}" cache="Slicer_Cleaned_Category" caption="Cleaned_Category" style="SlicerStyleLight6" rowHeight="251883"/>
  <slicer name="Region 1" xr10:uid="{FB86B499-9635-46C1-A98B-680F730766DF}" cache="Slicer_Region" caption="Region" style="SlicerStyleLight2" rowHeight="251883"/>
  <slicer name="Payment_Method 1" xr10:uid="{E2C48ADA-CCCE-4E46-BB53-0FEBD0EA9125}" cache="Slicer_Payment_Method" caption="Payment_Method" style="SlicerStyleLight6" rowHeight="251883"/>
  <slicer name="Market Tier 1" xr10:uid="{D6806540-6416-4EEB-9A47-CC7F95DB7AFA}" cache="Slicer_Market_Tier" caption="Market Tier" style="SlicerStyleLight5"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120FE8-AC48-40DA-848E-316B028CDF80}" name="Sheet1" displayName="Sheet1" ref="A1:O1177" tableType="queryTable" totalsRowShown="0">
  <autoFilter ref="A1:O1177" xr:uid="{16120FE8-AC48-40DA-848E-316B028CDF80}"/>
  <tableColumns count="15">
    <tableColumn id="1" xr3:uid="{208BDC6D-DBB7-4DC2-97C1-BDECC1C7512F}" uniqueName="1" name="Transaction_ID" queryTableFieldId="1" dataDxfId="20"/>
    <tableColumn id="2" xr3:uid="{75CE6483-3BF9-44BF-8A1B-91D35FDA4122}" uniqueName="2" name="Date" queryTableFieldId="2" dataDxfId="19"/>
    <tableColumn id="3" xr3:uid="{DFD778AE-5739-427A-9FEA-A2C1C9822AEB}" uniqueName="3" name="Region" queryTableFieldId="3" dataDxfId="18"/>
    <tableColumn id="4" xr3:uid="{CF075867-07A8-4AF6-9DB7-A6D47D95A0EE}" uniqueName="4" name="Category" queryTableFieldId="4" dataDxfId="17"/>
    <tableColumn id="14" xr3:uid="{23AE4BB8-B45E-4996-9058-3E8A1AF1C8F9}" uniqueName="14" name="Cleaned_Category" queryTableFieldId="15" dataDxfId="11">
      <calculatedColumnFormula>TRIM(CLEAN(Sheet1[[#This Row],[Category]]))</calculatedColumnFormula>
    </tableColumn>
    <tableColumn id="5" xr3:uid="{DCC62AAB-41B8-4F73-B0CE-C938108B87BC}" uniqueName="5" name="Units_Sold" queryTableFieldId="5"/>
    <tableColumn id="15" xr3:uid="{DAA72F99-BA2A-4DDF-8DC5-FC096CE8EE2E}" uniqueName="15" name="Market Tier" queryTableFieldId="16" dataDxfId="4">
      <calculatedColumnFormula>IF(H2=0, "Non-Billable / Zero", IF(H2&lt;=3, "1. Retail (1-3 Units)", IF(H2&lt;=7, "2. Mid-Market (4-7 Units)", "3. Wholesale / Bulk (8+ Units)")))</calculatedColumnFormula>
    </tableColumn>
    <tableColumn id="11" xr3:uid="{A9116276-BBB6-42EA-8517-E6F4398363D1}" uniqueName="11" name="CleanedUnits_sold" queryTableFieldId="11"/>
    <tableColumn id="6" xr3:uid="{DEA6E365-7512-482E-BCAA-B45B799247D3}" uniqueName="6" name="Unit_Price" queryTableFieldId="6"/>
    <tableColumn id="12" xr3:uid="{19C05894-F605-4E08-B70A-9D339D79AB95}" uniqueName="12" name="Cleaned_Unit_Price" queryTableFieldId="13" dataDxfId="13">
      <calculatedColumnFormula>IF(ISBLANK(I2), ROUND(I2/ABS(VALUE(_xlfn.TEXTBEFORE(F2&amp;" ", " "))), 2), ABS(VALUE(SUBSTITUTE(I2, "$", ""))))</calculatedColumnFormula>
    </tableColumn>
    <tableColumn id="13" xr3:uid="{853E9940-068B-4EBA-ADA6-58C33CB2F47A}" uniqueName="13" name="Cleaned_total_amount" queryTableFieldId="14" dataDxfId="12">
      <calculatedColumnFormula>ROUND(Sheet1[[#This Row],[CleanedUnits_sold]]*Sheet1[[#This Row],[Cleaned_Unit_Price]],2)</calculatedColumnFormula>
    </tableColumn>
    <tableColumn id="7" xr3:uid="{E06550A9-F492-47DF-84AA-C189819A33C1}" uniqueName="7" name="Total_Amount" queryTableFieldId="7"/>
    <tableColumn id="8" xr3:uid="{C0DD8D97-5F21-438C-9481-D6F1EBF912B5}" uniqueName="8" name="Customer_Email" queryTableFieldId="8" dataDxfId="16"/>
    <tableColumn id="9" xr3:uid="{A2BDB673-C851-494C-8DD4-5F4BEFE48637}" uniqueName="9" name="Payment_Method" queryTableFieldId="9" dataDxfId="15"/>
    <tableColumn id="10" xr3:uid="{819AE108-E206-42DF-949D-47C2759C64FD}" uniqueName="10" name="Cleaned_Customer_Email" queryTableFieldId="10"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AF6A84F-76EA-433C-B5AC-66C1DD7821BE}" name="Table46" displayName="Table46" ref="E4:F7" totalsRowShown="0">
  <autoFilter ref="E4:F7" xr:uid="{AAF6A84F-76EA-433C-B5AC-66C1DD7821BE}"/>
  <tableColumns count="2">
    <tableColumn id="1" xr3:uid="{3CF59519-A7B1-4137-8237-2C22CA41C69C}" name="Category"/>
    <tableColumn id="2" xr3:uid="{69C531B1-3843-4E01-9A31-171FF50A2BC2}" name="Average value per ord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7481271-247F-4A42-B3A0-846101BF2E43}" name="Table467" displayName="Table467" ref="H4:I7" totalsRowShown="0">
  <autoFilter ref="H4:I7" xr:uid="{F7481271-247F-4A42-B3A0-846101BF2E43}"/>
  <tableColumns count="2">
    <tableColumn id="1" xr3:uid="{BD146300-21DD-43CC-BD8D-C94EF08A5132}" name="Category"/>
    <tableColumn id="2" xr3:uid="{380BDF4E-533B-4C69-AD4F-4969DD02920E}" name="Count of orders place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609B954-F941-43BE-9C43-594F1F3227D5}" name="Table7" displayName="Table7" ref="E5:F10" totalsRowShown="0">
  <autoFilter ref="E5:F10" xr:uid="{A609B954-F941-43BE-9C43-594F1F3227D5}"/>
  <tableColumns count="2">
    <tableColumn id="1" xr3:uid="{D9B69285-7C42-47FF-BF23-EC4EF0A923F3}" name="Category"/>
    <tableColumn id="2" xr3:uid="{B80340F4-AE66-425A-9414-36AA7EB8B67C}" name="Average value per order" dataDxfId="1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5FB462B-CA7B-49A1-84E0-93222E583D53}" name="Table9" displayName="Table9" ref="H5:I10" totalsRowShown="0" headerRowDxfId="7" headerRowBorderDxfId="8" tableBorderDxfId="9">
  <autoFilter ref="H5:I10" xr:uid="{E5FB462B-CA7B-49A1-84E0-93222E583D53}"/>
  <tableColumns count="2">
    <tableColumn id="1" xr3:uid="{231D5DA4-3E5B-4788-8A9A-57D46EC5C194}" name="Category"/>
    <tableColumn id="2" xr3:uid="{491C90EE-830A-4F01-BC3F-3B04DD41D25D}" name="Percentage" dataDxf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7A038B6-45F9-40A8-8ADD-CE96D128F329}" name="Table10" displayName="Table10" ref="F7:G12" totalsRowShown="0">
  <autoFilter ref="F7:G12" xr:uid="{17A038B6-45F9-40A8-8ADD-CE96D128F329}"/>
  <tableColumns count="2">
    <tableColumn id="1" xr3:uid="{D4565AD9-7158-44AF-A0C5-18160C85CC77}" name="Payment Mode " dataDxfId="5"/>
    <tableColumn id="2" xr3:uid="{C17AA3B2-25AA-4E05-BD08-37E0B89C4DAC}" name="AOV"/>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BF85971-54BE-457E-96D6-CB5711F8CBC8}" name="Table11" displayName="Table11" ref="E5:F9" totalsRowShown="0">
  <autoFilter ref="E5:F9" xr:uid="{ABF85971-54BE-457E-96D6-CB5711F8CBC8}"/>
  <tableColumns count="2">
    <tableColumn id="1" xr3:uid="{9FFAB918-33AE-44E6-A0B2-B93E990F0D1A}" name="Category" dataDxfId="3"/>
    <tableColumn id="2" xr3:uid="{F249BE9E-E838-4D01-A112-C1FCF916A9CA}" name="AOV" dataDxfId="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7A9AE80-F579-4318-B817-22DDAD552C5B}" name="Table1113" displayName="Table1113" ref="H5:I9" totalsRowShown="0">
  <autoFilter ref="H5:I9" xr:uid="{97A9AE80-F579-4318-B817-22DDAD552C5B}"/>
  <tableColumns count="2">
    <tableColumn id="1" xr3:uid="{0EE5345E-3F68-4080-AA68-E786FBC91C66}" name="Category" dataDxfId="1"/>
    <tableColumn id="2" xr3:uid="{5305142F-6AA1-403A-A9ED-E6625EFE2BC2}" name="Count of transaction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3.xm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3.xml"/><Relationship Id="rId5" Type="http://schemas.microsoft.com/office/2007/relationships/slicer" Target="../slicers/slicer3.xml"/><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4.xml"/><Relationship Id="rId1" Type="http://schemas.openxmlformats.org/officeDocument/2006/relationships/pivotTable" Target="../pivotTables/pivotTable4.xml"/><Relationship Id="rId5" Type="http://schemas.microsoft.com/office/2007/relationships/slicer" Target="../slicers/slicer4.xml"/><Relationship Id="rId4" Type="http://schemas.openxmlformats.org/officeDocument/2006/relationships/table" Target="../tables/table8.xml"/></Relationships>
</file>

<file path=xl/worksheets/_rels/sheet8.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AEB9C-FA55-4352-97C8-3CF1C77CD915}">
  <dimension ref="A4:D11"/>
  <sheetViews>
    <sheetView workbookViewId="0">
      <selection activeCell="I5" sqref="I5"/>
    </sheetView>
  </sheetViews>
  <sheetFormatPr defaultRowHeight="14.5" x14ac:dyDescent="0.35"/>
  <cols>
    <col min="2" max="2" width="38.6328125" customWidth="1"/>
    <col min="3" max="3" width="35.453125" customWidth="1"/>
    <col min="4" max="4" width="25.453125" customWidth="1"/>
  </cols>
  <sheetData>
    <row r="4" spans="1:4" x14ac:dyDescent="0.35">
      <c r="A4" s="24" t="s">
        <v>3144</v>
      </c>
      <c r="B4" s="24" t="s">
        <v>3145</v>
      </c>
      <c r="C4" s="24" t="s">
        <v>3146</v>
      </c>
      <c r="D4" s="24" t="s">
        <v>3147</v>
      </c>
    </row>
    <row r="5" spans="1:4" ht="91" x14ac:dyDescent="0.35">
      <c r="A5" s="25" t="s">
        <v>3148</v>
      </c>
      <c r="B5" s="25" t="s">
        <v>3149</v>
      </c>
      <c r="C5" s="25" t="s">
        <v>3150</v>
      </c>
      <c r="D5" s="25" t="s">
        <v>3151</v>
      </c>
    </row>
    <row r="6" spans="1:4" ht="104" x14ac:dyDescent="0.35">
      <c r="A6" s="25" t="s">
        <v>3152</v>
      </c>
      <c r="B6" s="25" t="s">
        <v>3153</v>
      </c>
      <c r="C6" s="25" t="s">
        <v>3154</v>
      </c>
      <c r="D6" s="25" t="s">
        <v>3155</v>
      </c>
    </row>
    <row r="7" spans="1:4" ht="104" x14ac:dyDescent="0.35">
      <c r="A7" s="25" t="s">
        <v>3156</v>
      </c>
      <c r="B7" s="25" t="s">
        <v>3157</v>
      </c>
      <c r="C7" s="25" t="s">
        <v>3158</v>
      </c>
      <c r="D7" s="25" t="s">
        <v>3159</v>
      </c>
    </row>
    <row r="8" spans="1:4" ht="104" x14ac:dyDescent="0.35">
      <c r="A8" s="25" t="s">
        <v>3160</v>
      </c>
      <c r="B8" s="25" t="s">
        <v>3161</v>
      </c>
      <c r="C8" s="25" t="s">
        <v>3162</v>
      </c>
      <c r="D8" s="25" t="s">
        <v>3163</v>
      </c>
    </row>
    <row r="9" spans="1:4" ht="78" x14ac:dyDescent="0.35">
      <c r="A9" s="25" t="s">
        <v>3164</v>
      </c>
      <c r="B9" s="25" t="s">
        <v>3165</v>
      </c>
      <c r="C9" s="25" t="s">
        <v>3166</v>
      </c>
      <c r="D9" s="25" t="s">
        <v>3167</v>
      </c>
    </row>
    <row r="10" spans="1:4" ht="91" x14ac:dyDescent="0.35">
      <c r="A10" s="25" t="s">
        <v>3168</v>
      </c>
      <c r="B10" s="25" t="s">
        <v>3169</v>
      </c>
      <c r="C10" s="25" t="s">
        <v>3170</v>
      </c>
      <c r="D10" s="25" t="s">
        <v>3171</v>
      </c>
    </row>
    <row r="11" spans="1:4" ht="117" x14ac:dyDescent="0.35">
      <c r="A11" s="25" t="s">
        <v>3172</v>
      </c>
      <c r="B11" s="25" t="s">
        <v>3173</v>
      </c>
      <c r="C11" s="25" t="s">
        <v>3174</v>
      </c>
      <c r="D11" s="25" t="s">
        <v>3175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5133E-7DA1-4F3E-B429-3077F1E07285}">
  <dimension ref="A1:I1201"/>
  <sheetViews>
    <sheetView workbookViewId="0">
      <selection activeCell="M12" sqref="M12"/>
    </sheetView>
  </sheetViews>
  <sheetFormatPr defaultRowHeight="14.5" x14ac:dyDescent="0.35"/>
  <sheetData>
    <row r="1" spans="1:9" ht="29" x14ac:dyDescent="0.35">
      <c r="A1" s="21" t="s">
        <v>0</v>
      </c>
      <c r="B1" s="21" t="s">
        <v>1</v>
      </c>
      <c r="C1" s="21" t="s">
        <v>2</v>
      </c>
      <c r="D1" s="21" t="s">
        <v>3</v>
      </c>
      <c r="E1" s="21" t="s">
        <v>4</v>
      </c>
      <c r="F1" s="21" t="s">
        <v>5</v>
      </c>
      <c r="G1" s="21" t="s">
        <v>6</v>
      </c>
      <c r="H1" s="21" t="s">
        <v>7</v>
      </c>
      <c r="I1" s="21" t="s">
        <v>8</v>
      </c>
    </row>
    <row r="2" spans="1:9" x14ac:dyDescent="0.35">
      <c r="A2" s="22" t="s">
        <v>10</v>
      </c>
      <c r="B2" s="22" t="s">
        <v>2339</v>
      </c>
      <c r="C2" s="22" t="s">
        <v>2282</v>
      </c>
      <c r="D2" s="22" t="s">
        <v>12</v>
      </c>
      <c r="E2" s="23">
        <v>5</v>
      </c>
      <c r="F2" s="23">
        <v>387.29</v>
      </c>
      <c r="G2" s="23">
        <v>1936.45</v>
      </c>
      <c r="H2" s="22" t="s">
        <v>13</v>
      </c>
      <c r="I2" s="22" t="s">
        <v>2340</v>
      </c>
    </row>
    <row r="3" spans="1:9" x14ac:dyDescent="0.35">
      <c r="A3" s="22" t="s">
        <v>15</v>
      </c>
      <c r="B3" s="22" t="s">
        <v>2341</v>
      </c>
      <c r="C3" s="22" t="s">
        <v>2342</v>
      </c>
      <c r="D3" s="22" t="s">
        <v>2343</v>
      </c>
      <c r="E3" s="23">
        <v>4</v>
      </c>
      <c r="F3" s="23">
        <v>60.94</v>
      </c>
      <c r="G3" s="23">
        <v>243.76</v>
      </c>
      <c r="H3" s="22" t="s">
        <v>17</v>
      </c>
      <c r="I3" s="22" t="s">
        <v>2344</v>
      </c>
    </row>
    <row r="4" spans="1:9" x14ac:dyDescent="0.35">
      <c r="A4" s="22" t="s">
        <v>18</v>
      </c>
      <c r="B4" s="22" t="s">
        <v>2345</v>
      </c>
      <c r="C4" s="22" t="s">
        <v>19</v>
      </c>
      <c r="D4" s="22" t="s">
        <v>12</v>
      </c>
      <c r="E4" s="23">
        <v>4</v>
      </c>
      <c r="F4" s="23">
        <v>481.56</v>
      </c>
      <c r="G4" s="23">
        <v>1926.24</v>
      </c>
      <c r="H4" s="22" t="s">
        <v>20</v>
      </c>
      <c r="I4" s="22"/>
    </row>
    <row r="5" spans="1:9" x14ac:dyDescent="0.35">
      <c r="A5" s="22" t="s">
        <v>22</v>
      </c>
      <c r="B5" s="22"/>
      <c r="C5" s="22" t="s">
        <v>2346</v>
      </c>
      <c r="D5" s="22" t="s">
        <v>2347</v>
      </c>
      <c r="E5" s="23">
        <v>5</v>
      </c>
      <c r="F5" s="23">
        <v>446.21</v>
      </c>
      <c r="G5" s="23">
        <v>2231.0500000000002</v>
      </c>
      <c r="H5" s="22" t="s">
        <v>25</v>
      </c>
      <c r="I5" s="22" t="s">
        <v>26</v>
      </c>
    </row>
    <row r="6" spans="1:9" x14ac:dyDescent="0.35">
      <c r="A6" s="22" t="s">
        <v>27</v>
      </c>
      <c r="B6" s="22" t="s">
        <v>2348</v>
      </c>
      <c r="C6" s="22" t="s">
        <v>2349</v>
      </c>
      <c r="D6" s="22" t="s">
        <v>2350</v>
      </c>
      <c r="E6" s="23" t="s">
        <v>2351</v>
      </c>
      <c r="F6" s="23">
        <v>142.47</v>
      </c>
      <c r="G6" s="23">
        <v>712.35</v>
      </c>
      <c r="H6" s="22" t="s">
        <v>28</v>
      </c>
      <c r="I6" s="22" t="s">
        <v>14</v>
      </c>
    </row>
    <row r="7" spans="1:9" x14ac:dyDescent="0.35">
      <c r="A7" s="22" t="s">
        <v>29</v>
      </c>
      <c r="B7" s="22" t="s">
        <v>2352</v>
      </c>
      <c r="C7" s="22" t="s">
        <v>23</v>
      </c>
      <c r="D7" s="22" t="s">
        <v>2343</v>
      </c>
      <c r="E7" s="23">
        <v>3</v>
      </c>
      <c r="F7" s="23">
        <v>413.15</v>
      </c>
      <c r="G7" s="23">
        <v>1239.45</v>
      </c>
      <c r="H7" s="22" t="s">
        <v>30</v>
      </c>
      <c r="I7" s="22" t="s">
        <v>2298</v>
      </c>
    </row>
    <row r="8" spans="1:9" x14ac:dyDescent="0.35">
      <c r="A8" s="22" t="s">
        <v>31</v>
      </c>
      <c r="B8" s="22" t="s">
        <v>2353</v>
      </c>
      <c r="C8" s="22" t="s">
        <v>2346</v>
      </c>
      <c r="D8" s="22" t="s">
        <v>32</v>
      </c>
      <c r="E8" s="23">
        <v>5</v>
      </c>
      <c r="F8" s="23">
        <v>263.98</v>
      </c>
      <c r="G8" s="23">
        <v>1319.9</v>
      </c>
      <c r="H8" s="22" t="s">
        <v>33</v>
      </c>
      <c r="I8" s="22" t="s">
        <v>2298</v>
      </c>
    </row>
    <row r="9" spans="1:9" x14ac:dyDescent="0.35">
      <c r="A9" s="22" t="s">
        <v>34</v>
      </c>
      <c r="B9" s="22" t="s">
        <v>2354</v>
      </c>
      <c r="C9" s="22" t="s">
        <v>23</v>
      </c>
      <c r="D9" s="22" t="s">
        <v>32</v>
      </c>
      <c r="E9" s="23">
        <v>4</v>
      </c>
      <c r="F9" s="23">
        <v>236.29</v>
      </c>
      <c r="G9" s="23">
        <v>945.16</v>
      </c>
      <c r="H9" s="22" t="s">
        <v>35</v>
      </c>
      <c r="I9" s="22" t="s">
        <v>2298</v>
      </c>
    </row>
    <row r="10" spans="1:9" x14ac:dyDescent="0.35">
      <c r="A10" s="22" t="s">
        <v>36</v>
      </c>
      <c r="B10" s="22" t="s">
        <v>2355</v>
      </c>
      <c r="C10" s="22" t="s">
        <v>2349</v>
      </c>
      <c r="D10" s="22" t="s">
        <v>2343</v>
      </c>
      <c r="E10" s="23">
        <v>6</v>
      </c>
      <c r="F10" s="23">
        <v>164.07</v>
      </c>
      <c r="G10" s="23">
        <v>984.42</v>
      </c>
      <c r="H10" s="22" t="s">
        <v>37</v>
      </c>
      <c r="I10" s="22" t="s">
        <v>2356</v>
      </c>
    </row>
    <row r="11" spans="1:9" x14ac:dyDescent="0.35">
      <c r="A11" s="22" t="s">
        <v>39</v>
      </c>
      <c r="B11" s="22" t="s">
        <v>2357</v>
      </c>
      <c r="C11" s="22" t="s">
        <v>2358</v>
      </c>
      <c r="D11" s="22" t="s">
        <v>12</v>
      </c>
      <c r="E11" s="23">
        <v>7</v>
      </c>
      <c r="F11" s="23">
        <v>294.67</v>
      </c>
      <c r="G11" s="23">
        <v>2062.69</v>
      </c>
      <c r="H11" s="22" t="s">
        <v>40</v>
      </c>
      <c r="I11" s="22" t="s">
        <v>2356</v>
      </c>
    </row>
    <row r="12" spans="1:9" x14ac:dyDescent="0.35">
      <c r="A12" s="22" t="s">
        <v>41</v>
      </c>
      <c r="B12" s="22" t="s">
        <v>2359</v>
      </c>
      <c r="C12" s="22" t="s">
        <v>16</v>
      </c>
      <c r="D12" s="22" t="s">
        <v>32</v>
      </c>
      <c r="E12" s="23">
        <v>2</v>
      </c>
      <c r="F12" s="23">
        <v>367.65</v>
      </c>
      <c r="G12" s="23"/>
      <c r="H12" s="22" t="s">
        <v>42</v>
      </c>
      <c r="I12" s="22" t="s">
        <v>2340</v>
      </c>
    </row>
    <row r="13" spans="1:9" x14ac:dyDescent="0.35">
      <c r="A13" s="22" t="s">
        <v>43</v>
      </c>
      <c r="B13" s="22" t="s">
        <v>2360</v>
      </c>
      <c r="C13" s="22" t="s">
        <v>2282</v>
      </c>
      <c r="D13" s="22" t="s">
        <v>2343</v>
      </c>
      <c r="E13" s="23">
        <v>5</v>
      </c>
      <c r="F13" s="23">
        <v>211.36</v>
      </c>
      <c r="G13" s="23"/>
      <c r="H13" s="22" t="s">
        <v>44</v>
      </c>
      <c r="I13" s="22"/>
    </row>
    <row r="14" spans="1:9" x14ac:dyDescent="0.35">
      <c r="A14" s="22" t="s">
        <v>45</v>
      </c>
      <c r="B14" s="22" t="s">
        <v>2361</v>
      </c>
      <c r="C14" s="22" t="s">
        <v>2358</v>
      </c>
      <c r="D14" s="22" t="s">
        <v>46</v>
      </c>
      <c r="E14" s="23">
        <v>5</v>
      </c>
      <c r="F14" s="23">
        <v>318.32</v>
      </c>
      <c r="G14" s="23">
        <v>1645.25</v>
      </c>
      <c r="H14" s="22" t="s">
        <v>47</v>
      </c>
      <c r="I14" s="22" t="s">
        <v>14</v>
      </c>
    </row>
    <row r="15" spans="1:9" x14ac:dyDescent="0.35">
      <c r="A15" s="22" t="s">
        <v>48</v>
      </c>
      <c r="B15" s="22" t="s">
        <v>2362</v>
      </c>
      <c r="C15" s="22" t="s">
        <v>2358</v>
      </c>
      <c r="D15" s="22" t="s">
        <v>2343</v>
      </c>
      <c r="E15" s="23">
        <v>6</v>
      </c>
      <c r="F15" s="23">
        <v>352.66</v>
      </c>
      <c r="G15" s="23"/>
      <c r="H15" s="22" t="s">
        <v>49</v>
      </c>
      <c r="I15" s="22" t="s">
        <v>50</v>
      </c>
    </row>
    <row r="16" spans="1:9" x14ac:dyDescent="0.35">
      <c r="A16" s="22" t="s">
        <v>52</v>
      </c>
      <c r="B16" s="22" t="s">
        <v>2363</v>
      </c>
      <c r="C16" s="22" t="s">
        <v>2282</v>
      </c>
      <c r="D16" s="22" t="s">
        <v>2364</v>
      </c>
      <c r="E16" s="23">
        <v>4</v>
      </c>
      <c r="F16" s="23">
        <v>358.45</v>
      </c>
      <c r="G16" s="23">
        <v>1433.8</v>
      </c>
      <c r="H16" s="22" t="s">
        <v>53</v>
      </c>
      <c r="I16" s="22" t="s">
        <v>2340</v>
      </c>
    </row>
    <row r="17" spans="1:9" x14ac:dyDescent="0.35">
      <c r="A17" s="22" t="s">
        <v>54</v>
      </c>
      <c r="B17" s="22" t="s">
        <v>2365</v>
      </c>
      <c r="C17" s="22" t="s">
        <v>11</v>
      </c>
      <c r="D17" s="22" t="s">
        <v>2350</v>
      </c>
      <c r="E17" s="23">
        <v>6</v>
      </c>
      <c r="F17" s="23">
        <v>35.46</v>
      </c>
      <c r="G17" s="23">
        <v>212.76</v>
      </c>
      <c r="H17" s="22" t="s">
        <v>55</v>
      </c>
      <c r="I17" s="22" t="s">
        <v>2298</v>
      </c>
    </row>
    <row r="18" spans="1:9" x14ac:dyDescent="0.35">
      <c r="A18" s="22" t="s">
        <v>56</v>
      </c>
      <c r="B18" s="22" t="s">
        <v>2366</v>
      </c>
      <c r="C18" s="22" t="s">
        <v>2282</v>
      </c>
      <c r="D18" s="22" t="s">
        <v>12</v>
      </c>
      <c r="E18" s="23">
        <v>6</v>
      </c>
      <c r="F18" s="23">
        <v>431.28</v>
      </c>
      <c r="G18" s="23">
        <v>2587.6799999999998</v>
      </c>
      <c r="H18" s="22" t="s">
        <v>49</v>
      </c>
      <c r="I18" s="22" t="s">
        <v>2356</v>
      </c>
    </row>
    <row r="19" spans="1:9" x14ac:dyDescent="0.35">
      <c r="A19" s="22" t="s">
        <v>57</v>
      </c>
      <c r="B19" s="22" t="s">
        <v>2367</v>
      </c>
      <c r="C19" s="22"/>
      <c r="D19" s="22" t="s">
        <v>2364</v>
      </c>
      <c r="E19" s="23">
        <v>1</v>
      </c>
      <c r="F19" s="23">
        <v>234.54</v>
      </c>
      <c r="G19" s="23">
        <v>234.54</v>
      </c>
      <c r="H19" s="22" t="s">
        <v>59</v>
      </c>
      <c r="I19" s="22" t="s">
        <v>2340</v>
      </c>
    </row>
    <row r="20" spans="1:9" x14ac:dyDescent="0.35">
      <c r="A20" s="22" t="s">
        <v>60</v>
      </c>
      <c r="B20" s="22" t="s">
        <v>2368</v>
      </c>
      <c r="C20" s="22" t="s">
        <v>16</v>
      </c>
      <c r="D20" s="22" t="s">
        <v>32</v>
      </c>
      <c r="E20" s="23">
        <v>7</v>
      </c>
      <c r="F20" s="23">
        <v>138.58000000000001</v>
      </c>
      <c r="G20" s="23">
        <v>970.06</v>
      </c>
      <c r="H20" s="22" t="s">
        <v>61</v>
      </c>
      <c r="I20" s="22" t="s">
        <v>2356</v>
      </c>
    </row>
    <row r="21" spans="1:9" x14ac:dyDescent="0.35">
      <c r="A21" s="22" t="s">
        <v>62</v>
      </c>
      <c r="B21" s="22" t="s">
        <v>2369</v>
      </c>
      <c r="C21" s="22" t="s">
        <v>2349</v>
      </c>
      <c r="D21" s="22" t="s">
        <v>32</v>
      </c>
      <c r="E21" s="23">
        <v>2</v>
      </c>
      <c r="F21" s="23">
        <v>128.46</v>
      </c>
      <c r="G21" s="23">
        <v>623.42999999999995</v>
      </c>
      <c r="H21" s="22" t="s">
        <v>63</v>
      </c>
      <c r="I21" s="22" t="s">
        <v>2340</v>
      </c>
    </row>
    <row r="22" spans="1:9" x14ac:dyDescent="0.35">
      <c r="A22" s="22" t="s">
        <v>64</v>
      </c>
      <c r="B22" s="22" t="s">
        <v>2370</v>
      </c>
      <c r="C22" s="22" t="s">
        <v>2342</v>
      </c>
      <c r="D22" s="22" t="s">
        <v>12</v>
      </c>
      <c r="E22" s="23">
        <v>11</v>
      </c>
      <c r="F22" s="23">
        <v>246.68</v>
      </c>
      <c r="G22" s="23">
        <v>2713.48</v>
      </c>
      <c r="H22" s="22" t="s">
        <v>65</v>
      </c>
      <c r="I22" s="22" t="s">
        <v>2356</v>
      </c>
    </row>
    <row r="23" spans="1:9" x14ac:dyDescent="0.35">
      <c r="A23" s="22" t="s">
        <v>66</v>
      </c>
      <c r="B23" s="22" t="s">
        <v>2371</v>
      </c>
      <c r="C23" s="22" t="s">
        <v>2342</v>
      </c>
      <c r="D23" s="22" t="s">
        <v>2343</v>
      </c>
      <c r="E23" s="23">
        <v>4</v>
      </c>
      <c r="F23" s="23">
        <v>444.55</v>
      </c>
      <c r="G23" s="23">
        <v>1778.2</v>
      </c>
      <c r="H23" s="22" t="s">
        <v>67</v>
      </c>
      <c r="I23" s="22" t="s">
        <v>2298</v>
      </c>
    </row>
    <row r="24" spans="1:9" x14ac:dyDescent="0.35">
      <c r="A24" s="22" t="s">
        <v>68</v>
      </c>
      <c r="B24" s="22"/>
      <c r="C24" s="22" t="s">
        <v>23</v>
      </c>
      <c r="D24" s="22" t="s">
        <v>2350</v>
      </c>
      <c r="E24" s="23">
        <v>9999</v>
      </c>
      <c r="F24" s="23">
        <v>195.39</v>
      </c>
      <c r="G24" s="23">
        <v>586.16999999999996</v>
      </c>
      <c r="H24" s="22" t="s">
        <v>69</v>
      </c>
      <c r="I24" s="22" t="s">
        <v>2340</v>
      </c>
    </row>
    <row r="25" spans="1:9" x14ac:dyDescent="0.35">
      <c r="A25" s="22" t="s">
        <v>70</v>
      </c>
      <c r="B25" s="22" t="s">
        <v>2372</v>
      </c>
      <c r="C25" s="22" t="s">
        <v>19</v>
      </c>
      <c r="D25" s="22" t="s">
        <v>2347</v>
      </c>
      <c r="E25" s="23">
        <v>8</v>
      </c>
      <c r="F25" s="23">
        <v>377.37</v>
      </c>
      <c r="G25" s="23">
        <v>3018.96</v>
      </c>
      <c r="H25" s="22" t="s">
        <v>71</v>
      </c>
      <c r="I25" s="22"/>
    </row>
    <row r="26" spans="1:9" x14ac:dyDescent="0.35">
      <c r="A26" s="22" t="s">
        <v>72</v>
      </c>
      <c r="B26" s="22" t="s">
        <v>2373</v>
      </c>
      <c r="C26" s="22" t="s">
        <v>2346</v>
      </c>
      <c r="D26" s="22" t="s">
        <v>46</v>
      </c>
      <c r="E26" s="23">
        <v>3</v>
      </c>
      <c r="F26" s="23">
        <v>57.44</v>
      </c>
      <c r="G26" s="23">
        <v>172.32</v>
      </c>
      <c r="H26" s="22" t="s">
        <v>73</v>
      </c>
      <c r="I26" s="22" t="s">
        <v>2298</v>
      </c>
    </row>
    <row r="27" spans="1:9" x14ac:dyDescent="0.35">
      <c r="A27" s="22" t="s">
        <v>74</v>
      </c>
      <c r="B27" s="22" t="s">
        <v>2374</v>
      </c>
      <c r="C27" s="22"/>
      <c r="D27" s="22" t="s">
        <v>2364</v>
      </c>
      <c r="E27" s="23">
        <v>3</v>
      </c>
      <c r="F27" s="23">
        <v>243.27</v>
      </c>
      <c r="G27" s="23">
        <v>729.81</v>
      </c>
      <c r="H27" s="22" t="s">
        <v>75</v>
      </c>
      <c r="I27" s="22" t="s">
        <v>2356</v>
      </c>
    </row>
    <row r="28" spans="1:9" x14ac:dyDescent="0.35">
      <c r="A28" s="22" t="s">
        <v>76</v>
      </c>
      <c r="B28" s="22" t="s">
        <v>2375</v>
      </c>
      <c r="C28" s="22" t="s">
        <v>11</v>
      </c>
      <c r="D28" s="22" t="s">
        <v>2350</v>
      </c>
      <c r="E28" s="23">
        <v>5</v>
      </c>
      <c r="F28" s="23">
        <v>495.93</v>
      </c>
      <c r="G28" s="23"/>
      <c r="H28" s="22" t="s">
        <v>49</v>
      </c>
      <c r="I28" s="22" t="s">
        <v>26</v>
      </c>
    </row>
    <row r="29" spans="1:9" x14ac:dyDescent="0.35">
      <c r="A29" s="22" t="s">
        <v>77</v>
      </c>
      <c r="B29" s="22" t="s">
        <v>2376</v>
      </c>
      <c r="C29" s="22" t="s">
        <v>19</v>
      </c>
      <c r="D29" s="22" t="s">
        <v>2347</v>
      </c>
      <c r="E29" s="23">
        <v>8</v>
      </c>
      <c r="F29" s="23">
        <v>387.51</v>
      </c>
      <c r="G29" s="23">
        <v>3100.08</v>
      </c>
      <c r="H29" s="22" t="s">
        <v>78</v>
      </c>
      <c r="I29" s="22" t="s">
        <v>14</v>
      </c>
    </row>
    <row r="30" spans="1:9" x14ac:dyDescent="0.35">
      <c r="A30" s="22" t="s">
        <v>79</v>
      </c>
      <c r="B30" s="22" t="s">
        <v>2377</v>
      </c>
      <c r="C30" s="22" t="s">
        <v>16</v>
      </c>
      <c r="D30" s="22" t="s">
        <v>46</v>
      </c>
      <c r="E30" s="23">
        <v>3</v>
      </c>
      <c r="F30" s="23">
        <v>113.16</v>
      </c>
      <c r="G30" s="23">
        <v>339.48</v>
      </c>
      <c r="H30" s="22" t="s">
        <v>80</v>
      </c>
      <c r="I30" s="22" t="s">
        <v>2378</v>
      </c>
    </row>
    <row r="31" spans="1:9" x14ac:dyDescent="0.35">
      <c r="A31" s="22" t="s">
        <v>81</v>
      </c>
      <c r="B31" s="22" t="s">
        <v>2379</v>
      </c>
      <c r="C31" s="22" t="s">
        <v>2346</v>
      </c>
      <c r="D31" s="22" t="s">
        <v>2343</v>
      </c>
      <c r="E31" s="23">
        <v>2</v>
      </c>
      <c r="F31" s="23">
        <v>255.71</v>
      </c>
      <c r="G31" s="23">
        <v>511.42</v>
      </c>
      <c r="H31" s="22" t="s">
        <v>82</v>
      </c>
      <c r="I31" s="22" t="s">
        <v>2340</v>
      </c>
    </row>
    <row r="32" spans="1:9" x14ac:dyDescent="0.35">
      <c r="A32" s="22" t="s">
        <v>83</v>
      </c>
      <c r="B32" s="22"/>
      <c r="C32" s="22" t="s">
        <v>19</v>
      </c>
      <c r="D32" s="22" t="s">
        <v>12</v>
      </c>
      <c r="E32" s="23" t="s">
        <v>2351</v>
      </c>
      <c r="F32" s="23">
        <v>124.48</v>
      </c>
      <c r="G32" s="23">
        <v>622.4</v>
      </c>
      <c r="H32" s="22" t="s">
        <v>84</v>
      </c>
      <c r="I32" s="22" t="s">
        <v>2356</v>
      </c>
    </row>
    <row r="33" spans="1:9" x14ac:dyDescent="0.35">
      <c r="A33" s="22" t="s">
        <v>86</v>
      </c>
      <c r="B33" s="22" t="s">
        <v>2380</v>
      </c>
      <c r="C33" s="22" t="s">
        <v>2346</v>
      </c>
      <c r="D33" s="22" t="s">
        <v>24</v>
      </c>
      <c r="E33" s="23" t="s">
        <v>2351</v>
      </c>
      <c r="F33" s="23">
        <v>210.68</v>
      </c>
      <c r="G33" s="23">
        <v>632.04</v>
      </c>
      <c r="H33" s="22" t="s">
        <v>84</v>
      </c>
      <c r="I33" s="22" t="s">
        <v>2298</v>
      </c>
    </row>
    <row r="34" spans="1:9" x14ac:dyDescent="0.35">
      <c r="A34" s="22" t="s">
        <v>87</v>
      </c>
      <c r="B34" s="22" t="s">
        <v>2381</v>
      </c>
      <c r="C34" s="22" t="s">
        <v>19</v>
      </c>
      <c r="D34" s="22" t="s">
        <v>2350</v>
      </c>
      <c r="E34" s="23">
        <v>8</v>
      </c>
      <c r="F34" s="23">
        <v>392.24</v>
      </c>
      <c r="G34" s="23">
        <v>3137.92</v>
      </c>
      <c r="H34" s="22" t="s">
        <v>88</v>
      </c>
      <c r="I34" s="22" t="s">
        <v>2356</v>
      </c>
    </row>
    <row r="35" spans="1:9" x14ac:dyDescent="0.35">
      <c r="A35" s="22" t="s">
        <v>89</v>
      </c>
      <c r="B35" s="22" t="s">
        <v>2382</v>
      </c>
      <c r="C35" s="22" t="s">
        <v>2358</v>
      </c>
      <c r="D35" s="22" t="s">
        <v>2343</v>
      </c>
      <c r="E35" s="23">
        <v>10</v>
      </c>
      <c r="F35" s="23">
        <v>387.9</v>
      </c>
      <c r="G35" s="23">
        <v>3879</v>
      </c>
      <c r="H35" s="22" t="s">
        <v>90</v>
      </c>
      <c r="I35" s="22" t="s">
        <v>14</v>
      </c>
    </row>
    <row r="36" spans="1:9" x14ac:dyDescent="0.35">
      <c r="A36" s="22" t="s">
        <v>91</v>
      </c>
      <c r="B36" s="22" t="s">
        <v>2383</v>
      </c>
      <c r="C36" s="22"/>
      <c r="D36" s="22" t="s">
        <v>24</v>
      </c>
      <c r="E36" s="23">
        <v>3</v>
      </c>
      <c r="F36" s="23">
        <v>121.77</v>
      </c>
      <c r="G36" s="23">
        <v>365.31</v>
      </c>
      <c r="H36" s="22" t="s">
        <v>92</v>
      </c>
      <c r="I36" s="22" t="s">
        <v>26</v>
      </c>
    </row>
    <row r="37" spans="1:9" x14ac:dyDescent="0.35">
      <c r="A37" s="22" t="s">
        <v>93</v>
      </c>
      <c r="B37" s="22" t="s">
        <v>2384</v>
      </c>
      <c r="C37" s="22" t="s">
        <v>11</v>
      </c>
      <c r="D37" s="22" t="s">
        <v>2347</v>
      </c>
      <c r="E37" s="23">
        <v>2</v>
      </c>
      <c r="F37" s="23">
        <v>461.89</v>
      </c>
      <c r="G37" s="23">
        <v>923.78</v>
      </c>
      <c r="H37" s="22" t="s">
        <v>94</v>
      </c>
      <c r="I37" s="22" t="s">
        <v>2378</v>
      </c>
    </row>
    <row r="38" spans="1:9" x14ac:dyDescent="0.35">
      <c r="A38" s="22" t="s">
        <v>95</v>
      </c>
      <c r="B38" s="22" t="s">
        <v>2385</v>
      </c>
      <c r="C38" s="22" t="s">
        <v>2358</v>
      </c>
      <c r="D38" s="22" t="s">
        <v>2350</v>
      </c>
      <c r="E38" s="23">
        <v>5</v>
      </c>
      <c r="F38" s="23">
        <v>300.36</v>
      </c>
      <c r="G38" s="23">
        <v>1501.8</v>
      </c>
      <c r="H38" s="22" t="s">
        <v>96</v>
      </c>
      <c r="I38" s="22" t="s">
        <v>26</v>
      </c>
    </row>
    <row r="39" spans="1:9" x14ac:dyDescent="0.35">
      <c r="A39" s="22" t="s">
        <v>97</v>
      </c>
      <c r="B39" s="22" t="s">
        <v>2386</v>
      </c>
      <c r="C39" s="22" t="s">
        <v>2282</v>
      </c>
      <c r="D39" s="22" t="s">
        <v>2364</v>
      </c>
      <c r="E39" s="23">
        <v>7</v>
      </c>
      <c r="F39" s="23">
        <v>196.16</v>
      </c>
      <c r="G39" s="23">
        <v>1373.12</v>
      </c>
      <c r="H39" s="22" t="s">
        <v>98</v>
      </c>
      <c r="I39" s="22" t="s">
        <v>2356</v>
      </c>
    </row>
    <row r="40" spans="1:9" x14ac:dyDescent="0.35">
      <c r="A40" s="22" t="s">
        <v>99</v>
      </c>
      <c r="B40" s="22" t="s">
        <v>2371</v>
      </c>
      <c r="C40" s="22" t="s">
        <v>2342</v>
      </c>
      <c r="D40" s="22" t="s">
        <v>2343</v>
      </c>
      <c r="E40" s="23">
        <v>6</v>
      </c>
      <c r="F40" s="23">
        <v>255.95</v>
      </c>
      <c r="G40" s="23">
        <v>1535.7</v>
      </c>
      <c r="H40" s="22" t="s">
        <v>100</v>
      </c>
      <c r="I40" s="22" t="s">
        <v>2344</v>
      </c>
    </row>
    <row r="41" spans="1:9" x14ac:dyDescent="0.35">
      <c r="A41" s="22" t="s">
        <v>101</v>
      </c>
      <c r="B41" s="22" t="s">
        <v>2387</v>
      </c>
      <c r="C41" s="22" t="s">
        <v>2346</v>
      </c>
      <c r="D41" s="22" t="s">
        <v>2347</v>
      </c>
      <c r="E41" s="23">
        <v>6</v>
      </c>
      <c r="F41" s="23">
        <v>306.48</v>
      </c>
      <c r="G41" s="23">
        <v>1838.88</v>
      </c>
      <c r="H41" s="22" t="s">
        <v>102</v>
      </c>
      <c r="I41" s="22" t="s">
        <v>50</v>
      </c>
    </row>
    <row r="42" spans="1:9" x14ac:dyDescent="0.35">
      <c r="A42" s="22" t="s">
        <v>103</v>
      </c>
      <c r="B42" s="22" t="s">
        <v>2388</v>
      </c>
      <c r="C42" s="22" t="s">
        <v>16</v>
      </c>
      <c r="D42" s="22" t="s">
        <v>2347</v>
      </c>
      <c r="E42" s="23">
        <v>2</v>
      </c>
      <c r="F42" s="23">
        <v>284.35000000000002</v>
      </c>
      <c r="G42" s="23">
        <v>568.70000000000005</v>
      </c>
      <c r="H42" s="22" t="s">
        <v>104</v>
      </c>
      <c r="I42" s="22"/>
    </row>
    <row r="43" spans="1:9" x14ac:dyDescent="0.35">
      <c r="A43" s="22" t="s">
        <v>105</v>
      </c>
      <c r="B43" s="22" t="s">
        <v>2389</v>
      </c>
      <c r="C43" s="22" t="s">
        <v>19</v>
      </c>
      <c r="D43" s="22" t="s">
        <v>32</v>
      </c>
      <c r="E43" s="23">
        <v>4</v>
      </c>
      <c r="F43" s="23">
        <v>248.34</v>
      </c>
      <c r="G43" s="23">
        <v>1050.43</v>
      </c>
      <c r="H43" s="22" t="s">
        <v>84</v>
      </c>
      <c r="I43" s="22" t="s">
        <v>2356</v>
      </c>
    </row>
    <row r="44" spans="1:9" x14ac:dyDescent="0.35">
      <c r="A44" s="22" t="s">
        <v>106</v>
      </c>
      <c r="B44" s="22" t="s">
        <v>2390</v>
      </c>
      <c r="C44" s="22"/>
      <c r="D44" s="22" t="s">
        <v>46</v>
      </c>
      <c r="E44" s="23">
        <v>9</v>
      </c>
      <c r="F44" s="23">
        <v>257.42</v>
      </c>
      <c r="G44" s="23"/>
      <c r="H44" s="22" t="s">
        <v>107</v>
      </c>
      <c r="I44" s="22"/>
    </row>
    <row r="45" spans="1:9" x14ac:dyDescent="0.35">
      <c r="A45" s="22" t="s">
        <v>108</v>
      </c>
      <c r="B45" s="22" t="s">
        <v>2391</v>
      </c>
      <c r="C45" s="22" t="s">
        <v>19</v>
      </c>
      <c r="D45" s="22" t="s">
        <v>12</v>
      </c>
      <c r="E45" s="23">
        <v>7</v>
      </c>
      <c r="F45" s="23">
        <v>96.44</v>
      </c>
      <c r="G45" s="23">
        <v>675.08</v>
      </c>
      <c r="H45" s="22" t="s">
        <v>109</v>
      </c>
      <c r="I45" s="22" t="s">
        <v>26</v>
      </c>
    </row>
    <row r="46" spans="1:9" x14ac:dyDescent="0.35">
      <c r="A46" s="22" t="s">
        <v>110</v>
      </c>
      <c r="B46" s="22" t="s">
        <v>2392</v>
      </c>
      <c r="C46" s="22"/>
      <c r="D46" s="22" t="s">
        <v>2347</v>
      </c>
      <c r="E46" s="23">
        <v>11</v>
      </c>
      <c r="F46" s="23">
        <v>408.24</v>
      </c>
      <c r="G46" s="23">
        <v>4490.6400000000003</v>
      </c>
      <c r="H46" s="22" t="s">
        <v>111</v>
      </c>
      <c r="I46" s="22" t="s">
        <v>26</v>
      </c>
    </row>
    <row r="47" spans="1:9" x14ac:dyDescent="0.35">
      <c r="A47" s="22" t="s">
        <v>112</v>
      </c>
      <c r="B47" s="22" t="s">
        <v>2393</v>
      </c>
      <c r="C47" s="22"/>
      <c r="D47" s="22" t="s">
        <v>24</v>
      </c>
      <c r="E47" s="23">
        <v>8</v>
      </c>
      <c r="F47" s="23">
        <v>275.45999999999998</v>
      </c>
      <c r="G47" s="23">
        <v>2203.6799999999998</v>
      </c>
      <c r="H47" s="22" t="s">
        <v>113</v>
      </c>
      <c r="I47" s="22" t="s">
        <v>26</v>
      </c>
    </row>
    <row r="48" spans="1:9" x14ac:dyDescent="0.35">
      <c r="A48" s="22" t="s">
        <v>114</v>
      </c>
      <c r="B48" s="22" t="s">
        <v>2394</v>
      </c>
      <c r="C48" s="22" t="s">
        <v>2349</v>
      </c>
      <c r="D48" s="22" t="s">
        <v>2343</v>
      </c>
      <c r="E48" s="23">
        <v>3</v>
      </c>
      <c r="F48" s="23">
        <v>74.23</v>
      </c>
      <c r="G48" s="23">
        <v>561.70000000000005</v>
      </c>
      <c r="H48" s="22" t="s">
        <v>115</v>
      </c>
      <c r="I48" s="22"/>
    </row>
    <row r="49" spans="1:9" x14ac:dyDescent="0.35">
      <c r="A49" s="22" t="s">
        <v>116</v>
      </c>
      <c r="B49" s="22" t="s">
        <v>2395</v>
      </c>
      <c r="C49" s="22" t="s">
        <v>2342</v>
      </c>
      <c r="D49" s="22" t="s">
        <v>2343</v>
      </c>
      <c r="E49" s="23">
        <v>2</v>
      </c>
      <c r="F49" s="23">
        <v>385.42</v>
      </c>
      <c r="G49" s="23">
        <v>770.84</v>
      </c>
      <c r="H49" s="22" t="s">
        <v>117</v>
      </c>
      <c r="I49" s="22" t="s">
        <v>2298</v>
      </c>
    </row>
    <row r="50" spans="1:9" x14ac:dyDescent="0.35">
      <c r="A50" s="22" t="s">
        <v>118</v>
      </c>
      <c r="B50" s="22" t="s">
        <v>2396</v>
      </c>
      <c r="C50" s="22" t="s">
        <v>2358</v>
      </c>
      <c r="D50" s="22" t="s">
        <v>32</v>
      </c>
      <c r="E50" s="23">
        <v>3</v>
      </c>
      <c r="F50" s="23">
        <v>466.9</v>
      </c>
      <c r="G50" s="23">
        <v>1400.7</v>
      </c>
      <c r="H50" s="22" t="s">
        <v>119</v>
      </c>
      <c r="I50" s="22" t="s">
        <v>50</v>
      </c>
    </row>
    <row r="51" spans="1:9" x14ac:dyDescent="0.35">
      <c r="A51" s="22" t="s">
        <v>120</v>
      </c>
      <c r="B51" s="22" t="s">
        <v>2397</v>
      </c>
      <c r="C51" s="22" t="s">
        <v>2349</v>
      </c>
      <c r="D51" s="22" t="s">
        <v>24</v>
      </c>
      <c r="E51" s="23" t="s">
        <v>2351</v>
      </c>
      <c r="F51" s="23">
        <v>474.18</v>
      </c>
      <c r="G51" s="23"/>
      <c r="H51" s="22" t="s">
        <v>121</v>
      </c>
      <c r="I51" s="22" t="s">
        <v>26</v>
      </c>
    </row>
    <row r="52" spans="1:9" x14ac:dyDescent="0.35">
      <c r="A52" s="22" t="s">
        <v>122</v>
      </c>
      <c r="B52" s="22"/>
      <c r="C52" s="22" t="s">
        <v>2349</v>
      </c>
      <c r="D52" s="22" t="s">
        <v>2350</v>
      </c>
      <c r="E52" s="23">
        <v>5</v>
      </c>
      <c r="F52" s="23">
        <v>190.82</v>
      </c>
      <c r="G52" s="23">
        <v>954.1</v>
      </c>
      <c r="H52" s="22" t="s">
        <v>123</v>
      </c>
      <c r="I52" s="22"/>
    </row>
    <row r="53" spans="1:9" x14ac:dyDescent="0.35">
      <c r="A53" s="22" t="s">
        <v>124</v>
      </c>
      <c r="B53" s="22" t="s">
        <v>2398</v>
      </c>
      <c r="C53" s="22" t="s">
        <v>11</v>
      </c>
      <c r="D53" s="22" t="s">
        <v>2364</v>
      </c>
      <c r="E53" s="23">
        <v>5</v>
      </c>
      <c r="F53" s="23">
        <v>76.400000000000006</v>
      </c>
      <c r="G53" s="23">
        <v>382</v>
      </c>
      <c r="H53" s="22" t="s">
        <v>125</v>
      </c>
      <c r="I53" s="22"/>
    </row>
    <row r="54" spans="1:9" x14ac:dyDescent="0.35">
      <c r="A54" s="22" t="s">
        <v>126</v>
      </c>
      <c r="B54" s="22" t="s">
        <v>2399</v>
      </c>
      <c r="C54" s="22" t="s">
        <v>11</v>
      </c>
      <c r="D54" s="22" t="s">
        <v>2364</v>
      </c>
      <c r="E54" s="23">
        <v>4</v>
      </c>
      <c r="F54" s="23">
        <v>264.02</v>
      </c>
      <c r="G54" s="23">
        <v>1056.08</v>
      </c>
      <c r="H54" s="22" t="s">
        <v>127</v>
      </c>
      <c r="I54" s="22" t="s">
        <v>26</v>
      </c>
    </row>
    <row r="55" spans="1:9" x14ac:dyDescent="0.35">
      <c r="A55" s="22" t="s">
        <v>128</v>
      </c>
      <c r="B55" s="22" t="s">
        <v>2400</v>
      </c>
      <c r="C55" s="22" t="s">
        <v>2349</v>
      </c>
      <c r="D55" s="22" t="s">
        <v>24</v>
      </c>
      <c r="E55" s="23">
        <v>3</v>
      </c>
      <c r="F55" s="23">
        <v>65.180000000000007</v>
      </c>
      <c r="G55" s="23">
        <v>195.54</v>
      </c>
      <c r="H55" s="22" t="s">
        <v>129</v>
      </c>
      <c r="I55" s="22" t="s">
        <v>2356</v>
      </c>
    </row>
    <row r="56" spans="1:9" x14ac:dyDescent="0.35">
      <c r="A56" s="22" t="s">
        <v>130</v>
      </c>
      <c r="B56" s="22" t="s">
        <v>2401</v>
      </c>
      <c r="C56" s="22" t="s">
        <v>16</v>
      </c>
      <c r="D56" s="22" t="s">
        <v>46</v>
      </c>
      <c r="E56" s="23">
        <v>8</v>
      </c>
      <c r="F56" s="23">
        <v>467.65</v>
      </c>
      <c r="G56" s="23">
        <v>3741.2</v>
      </c>
      <c r="H56" s="22"/>
      <c r="I56" s="22" t="s">
        <v>2340</v>
      </c>
    </row>
    <row r="57" spans="1:9" x14ac:dyDescent="0.35">
      <c r="A57" s="22" t="s">
        <v>132</v>
      </c>
      <c r="B57" s="22" t="s">
        <v>2402</v>
      </c>
      <c r="C57" s="22" t="s">
        <v>2346</v>
      </c>
      <c r="D57" s="22" t="s">
        <v>32</v>
      </c>
      <c r="E57" s="23">
        <v>2</v>
      </c>
      <c r="F57" s="23">
        <v>99.95</v>
      </c>
      <c r="G57" s="23">
        <v>199.9</v>
      </c>
      <c r="H57" s="22" t="s">
        <v>133</v>
      </c>
      <c r="I57" s="22" t="s">
        <v>2344</v>
      </c>
    </row>
    <row r="58" spans="1:9" x14ac:dyDescent="0.35">
      <c r="A58" s="22" t="s">
        <v>134</v>
      </c>
      <c r="B58" s="22" t="s">
        <v>2403</v>
      </c>
      <c r="C58" s="22" t="s">
        <v>2342</v>
      </c>
      <c r="D58" s="22" t="s">
        <v>46</v>
      </c>
      <c r="E58" s="23">
        <v>1</v>
      </c>
      <c r="F58" s="23">
        <v>133.86000000000001</v>
      </c>
      <c r="G58" s="23">
        <v>133.86000000000001</v>
      </c>
      <c r="H58" s="22" t="s">
        <v>135</v>
      </c>
      <c r="I58" s="22" t="s">
        <v>2356</v>
      </c>
    </row>
    <row r="59" spans="1:9" x14ac:dyDescent="0.35">
      <c r="A59" s="22" t="s">
        <v>136</v>
      </c>
      <c r="B59" s="22" t="s">
        <v>2404</v>
      </c>
      <c r="C59" s="22" t="s">
        <v>2346</v>
      </c>
      <c r="D59" s="22" t="s">
        <v>24</v>
      </c>
      <c r="E59" s="23">
        <v>4</v>
      </c>
      <c r="F59" s="23">
        <v>209.25</v>
      </c>
      <c r="G59" s="23">
        <v>837</v>
      </c>
      <c r="H59" s="22" t="s">
        <v>137</v>
      </c>
      <c r="I59" s="22" t="s">
        <v>14</v>
      </c>
    </row>
    <row r="60" spans="1:9" x14ac:dyDescent="0.35">
      <c r="A60" s="22" t="s">
        <v>138</v>
      </c>
      <c r="B60" s="22" t="s">
        <v>2397</v>
      </c>
      <c r="C60" s="22" t="s">
        <v>11</v>
      </c>
      <c r="D60" s="22" t="s">
        <v>46</v>
      </c>
      <c r="E60" s="23">
        <v>5</v>
      </c>
      <c r="F60" s="23">
        <v>197.75</v>
      </c>
      <c r="G60" s="23">
        <v>988.75</v>
      </c>
      <c r="H60" s="22" t="s">
        <v>139</v>
      </c>
      <c r="I60" s="22" t="s">
        <v>50</v>
      </c>
    </row>
    <row r="61" spans="1:9" x14ac:dyDescent="0.35">
      <c r="A61" s="22" t="s">
        <v>140</v>
      </c>
      <c r="B61" s="22" t="s">
        <v>2405</v>
      </c>
      <c r="C61" s="22" t="s">
        <v>2349</v>
      </c>
      <c r="D61" s="22" t="s">
        <v>2350</v>
      </c>
      <c r="E61" s="23">
        <v>4</v>
      </c>
      <c r="F61" s="23">
        <v>399.38</v>
      </c>
      <c r="G61" s="23">
        <v>1597.52</v>
      </c>
      <c r="H61" s="22" t="s">
        <v>141</v>
      </c>
      <c r="I61" s="22"/>
    </row>
    <row r="62" spans="1:9" x14ac:dyDescent="0.35">
      <c r="A62" s="22" t="s">
        <v>142</v>
      </c>
      <c r="B62" s="22" t="s">
        <v>2406</v>
      </c>
      <c r="C62" s="22"/>
      <c r="D62" s="22" t="s">
        <v>24</v>
      </c>
      <c r="E62" s="23">
        <v>3</v>
      </c>
      <c r="F62" s="23">
        <v>-32.17</v>
      </c>
      <c r="G62" s="23">
        <v>700.8</v>
      </c>
      <c r="H62" s="22" t="s">
        <v>143</v>
      </c>
      <c r="I62" s="22" t="s">
        <v>2356</v>
      </c>
    </row>
    <row r="63" spans="1:9" x14ac:dyDescent="0.35">
      <c r="A63" s="22" t="s">
        <v>144</v>
      </c>
      <c r="B63" s="22" t="s">
        <v>2407</v>
      </c>
      <c r="C63" s="22" t="s">
        <v>2282</v>
      </c>
      <c r="D63" s="22" t="s">
        <v>12</v>
      </c>
      <c r="E63" s="23">
        <v>4</v>
      </c>
      <c r="F63" s="23">
        <v>93.68</v>
      </c>
      <c r="G63" s="23">
        <v>374.72</v>
      </c>
      <c r="H63" s="22" t="s">
        <v>145</v>
      </c>
      <c r="I63" s="22" t="s">
        <v>2356</v>
      </c>
    </row>
    <row r="64" spans="1:9" x14ac:dyDescent="0.35">
      <c r="A64" s="22" t="s">
        <v>146</v>
      </c>
      <c r="B64" s="22" t="s">
        <v>2408</v>
      </c>
      <c r="C64" s="22" t="s">
        <v>23</v>
      </c>
      <c r="D64" s="22" t="s">
        <v>46</v>
      </c>
      <c r="E64" s="23">
        <v>8</v>
      </c>
      <c r="F64" s="23">
        <v>140.93</v>
      </c>
      <c r="G64" s="23">
        <v>1127.44</v>
      </c>
      <c r="H64" s="22" t="s">
        <v>147</v>
      </c>
      <c r="I64" s="22" t="s">
        <v>2344</v>
      </c>
    </row>
    <row r="65" spans="1:9" x14ac:dyDescent="0.35">
      <c r="A65" s="22" t="s">
        <v>148</v>
      </c>
      <c r="B65" s="22" t="s">
        <v>2409</v>
      </c>
      <c r="C65" s="22" t="s">
        <v>2342</v>
      </c>
      <c r="D65" s="22" t="s">
        <v>24</v>
      </c>
      <c r="E65" s="23">
        <v>2</v>
      </c>
      <c r="F65" s="23">
        <v>259.47000000000003</v>
      </c>
      <c r="G65" s="23">
        <v>518.94000000000005</v>
      </c>
      <c r="H65" s="22" t="s">
        <v>149</v>
      </c>
      <c r="I65" s="22" t="s">
        <v>2344</v>
      </c>
    </row>
    <row r="66" spans="1:9" x14ac:dyDescent="0.35">
      <c r="A66" s="22" t="s">
        <v>150</v>
      </c>
      <c r="B66" s="22"/>
      <c r="C66" s="22" t="s">
        <v>2342</v>
      </c>
      <c r="D66" s="22" t="s">
        <v>2350</v>
      </c>
      <c r="E66" s="23">
        <v>2</v>
      </c>
      <c r="F66" s="23">
        <v>82.25</v>
      </c>
      <c r="G66" s="23">
        <v>164.5</v>
      </c>
      <c r="H66" s="22" t="s">
        <v>151</v>
      </c>
      <c r="I66" s="22" t="s">
        <v>2340</v>
      </c>
    </row>
    <row r="67" spans="1:9" x14ac:dyDescent="0.35">
      <c r="A67" s="22" t="s">
        <v>152</v>
      </c>
      <c r="B67" s="22" t="s">
        <v>2410</v>
      </c>
      <c r="C67" s="22" t="s">
        <v>2346</v>
      </c>
      <c r="D67" s="22" t="s">
        <v>2347</v>
      </c>
      <c r="E67" s="23">
        <v>2</v>
      </c>
      <c r="F67" s="23">
        <v>309.70999999999998</v>
      </c>
      <c r="G67" s="23"/>
      <c r="H67" s="22" t="s">
        <v>153</v>
      </c>
      <c r="I67" s="22" t="s">
        <v>2378</v>
      </c>
    </row>
    <row r="68" spans="1:9" x14ac:dyDescent="0.35">
      <c r="A68" s="22" t="s">
        <v>154</v>
      </c>
      <c r="B68" s="22" t="s">
        <v>2411</v>
      </c>
      <c r="C68" s="22" t="s">
        <v>19</v>
      </c>
      <c r="D68" s="22" t="s">
        <v>32</v>
      </c>
      <c r="E68" s="23">
        <v>7</v>
      </c>
      <c r="F68" s="23">
        <v>-194.4</v>
      </c>
      <c r="G68" s="23">
        <v>2010.54</v>
      </c>
      <c r="H68" s="22" t="s">
        <v>155</v>
      </c>
      <c r="I68" s="22" t="s">
        <v>26</v>
      </c>
    </row>
    <row r="69" spans="1:9" x14ac:dyDescent="0.35">
      <c r="A69" s="22" t="s">
        <v>156</v>
      </c>
      <c r="B69" s="22" t="s">
        <v>2412</v>
      </c>
      <c r="C69" s="22" t="s">
        <v>2346</v>
      </c>
      <c r="D69" s="22" t="s">
        <v>2343</v>
      </c>
      <c r="E69" s="23">
        <v>6</v>
      </c>
      <c r="F69" s="23">
        <v>360.2</v>
      </c>
      <c r="G69" s="23">
        <v>2161.1999999999998</v>
      </c>
      <c r="H69" s="22" t="s">
        <v>157</v>
      </c>
      <c r="I69" s="22" t="s">
        <v>2340</v>
      </c>
    </row>
    <row r="70" spans="1:9" x14ac:dyDescent="0.35">
      <c r="A70" s="22" t="s">
        <v>158</v>
      </c>
      <c r="B70" s="22" t="s">
        <v>2396</v>
      </c>
      <c r="C70" s="22" t="s">
        <v>19</v>
      </c>
      <c r="D70" s="22" t="s">
        <v>12</v>
      </c>
      <c r="E70" s="23">
        <v>7</v>
      </c>
      <c r="F70" s="23">
        <v>469.48</v>
      </c>
      <c r="G70" s="23">
        <v>3286.36</v>
      </c>
      <c r="H70" s="22" t="s">
        <v>159</v>
      </c>
      <c r="I70" s="22" t="s">
        <v>2356</v>
      </c>
    </row>
    <row r="71" spans="1:9" x14ac:dyDescent="0.35">
      <c r="A71" s="22" t="s">
        <v>160</v>
      </c>
      <c r="B71" s="22" t="s">
        <v>2413</v>
      </c>
      <c r="C71" s="22" t="s">
        <v>23</v>
      </c>
      <c r="D71" s="22" t="s">
        <v>2343</v>
      </c>
      <c r="E71" s="23">
        <v>6</v>
      </c>
      <c r="F71" s="23">
        <v>457</v>
      </c>
      <c r="G71" s="23">
        <v>2742</v>
      </c>
      <c r="H71" s="22" t="s">
        <v>161</v>
      </c>
      <c r="I71" s="22" t="s">
        <v>50</v>
      </c>
    </row>
    <row r="72" spans="1:9" x14ac:dyDescent="0.35">
      <c r="A72" s="22" t="s">
        <v>162</v>
      </c>
      <c r="B72" s="22" t="s">
        <v>2414</v>
      </c>
      <c r="C72" s="22" t="s">
        <v>2282</v>
      </c>
      <c r="D72" s="22" t="s">
        <v>2343</v>
      </c>
      <c r="E72" s="23">
        <v>7</v>
      </c>
      <c r="F72" s="23">
        <v>-41.56</v>
      </c>
      <c r="G72" s="23">
        <v>3315.06</v>
      </c>
      <c r="H72" s="22" t="s">
        <v>163</v>
      </c>
      <c r="I72" s="22"/>
    </row>
    <row r="73" spans="1:9" x14ac:dyDescent="0.35">
      <c r="A73" s="22" t="s">
        <v>164</v>
      </c>
      <c r="B73" s="22" t="s">
        <v>2415</v>
      </c>
      <c r="C73" s="22" t="s">
        <v>19</v>
      </c>
      <c r="D73" s="22" t="s">
        <v>46</v>
      </c>
      <c r="E73" s="23">
        <v>6</v>
      </c>
      <c r="F73" s="23">
        <v>129.91</v>
      </c>
      <c r="G73" s="23">
        <v>779.46</v>
      </c>
      <c r="H73" s="22" t="s">
        <v>165</v>
      </c>
      <c r="I73" s="22" t="s">
        <v>2344</v>
      </c>
    </row>
    <row r="74" spans="1:9" x14ac:dyDescent="0.35">
      <c r="A74" s="22" t="s">
        <v>166</v>
      </c>
      <c r="B74" s="22" t="s">
        <v>2416</v>
      </c>
      <c r="C74" s="22" t="s">
        <v>2358</v>
      </c>
      <c r="D74" s="22" t="s">
        <v>24</v>
      </c>
      <c r="E74" s="23">
        <v>4</v>
      </c>
      <c r="F74" s="23">
        <v>74.47</v>
      </c>
      <c r="G74" s="23">
        <v>297.88</v>
      </c>
      <c r="H74" s="22" t="s">
        <v>167</v>
      </c>
      <c r="I74" s="22" t="s">
        <v>2298</v>
      </c>
    </row>
    <row r="75" spans="1:9" x14ac:dyDescent="0.35">
      <c r="A75" s="22" t="s">
        <v>168</v>
      </c>
      <c r="B75" s="22" t="s">
        <v>2417</v>
      </c>
      <c r="C75" s="22" t="s">
        <v>16</v>
      </c>
      <c r="D75" s="22" t="s">
        <v>2347</v>
      </c>
      <c r="E75" s="23">
        <v>2</v>
      </c>
      <c r="F75" s="23">
        <v>158.12</v>
      </c>
      <c r="G75" s="23"/>
      <c r="H75" s="22" t="s">
        <v>169</v>
      </c>
      <c r="I75" s="22" t="s">
        <v>2340</v>
      </c>
    </row>
    <row r="76" spans="1:9" x14ac:dyDescent="0.35">
      <c r="A76" s="22" t="s">
        <v>170</v>
      </c>
      <c r="B76" s="22" t="s">
        <v>2418</v>
      </c>
      <c r="C76" s="22"/>
      <c r="D76" s="22" t="s">
        <v>2347</v>
      </c>
      <c r="E76" s="23">
        <v>-7</v>
      </c>
      <c r="F76" s="23">
        <v>448.59</v>
      </c>
      <c r="G76" s="23">
        <v>1345.77</v>
      </c>
      <c r="H76" s="22" t="s">
        <v>171</v>
      </c>
      <c r="I76" s="22" t="s">
        <v>2298</v>
      </c>
    </row>
    <row r="77" spans="1:9" x14ac:dyDescent="0.35">
      <c r="A77" s="22" t="s">
        <v>172</v>
      </c>
      <c r="B77" s="22" t="s">
        <v>2419</v>
      </c>
      <c r="C77" s="22"/>
      <c r="D77" s="22" t="s">
        <v>32</v>
      </c>
      <c r="E77" s="23">
        <v>4</v>
      </c>
      <c r="F77" s="23">
        <v>486.31</v>
      </c>
      <c r="G77" s="23">
        <v>1945.24</v>
      </c>
      <c r="H77" s="22" t="s">
        <v>173</v>
      </c>
      <c r="I77" s="22" t="s">
        <v>2298</v>
      </c>
    </row>
    <row r="78" spans="1:9" x14ac:dyDescent="0.35">
      <c r="A78" s="22" t="s">
        <v>174</v>
      </c>
      <c r="B78" s="22"/>
      <c r="C78" s="22" t="s">
        <v>19</v>
      </c>
      <c r="D78" s="22" t="s">
        <v>12</v>
      </c>
      <c r="E78" s="23">
        <v>7</v>
      </c>
      <c r="F78" s="23">
        <v>431.07</v>
      </c>
      <c r="G78" s="23">
        <v>3017.49</v>
      </c>
      <c r="H78" s="22" t="s">
        <v>175</v>
      </c>
      <c r="I78" s="22" t="s">
        <v>26</v>
      </c>
    </row>
    <row r="79" spans="1:9" x14ac:dyDescent="0.35">
      <c r="A79" s="22" t="s">
        <v>176</v>
      </c>
      <c r="B79" s="22" t="s">
        <v>2420</v>
      </c>
      <c r="C79" s="22" t="s">
        <v>2346</v>
      </c>
      <c r="D79" s="22" t="s">
        <v>12</v>
      </c>
      <c r="E79" s="23">
        <v>4</v>
      </c>
      <c r="F79" s="23">
        <v>63.91</v>
      </c>
      <c r="G79" s="23">
        <v>255.64</v>
      </c>
      <c r="H79" s="22"/>
      <c r="I79" s="22"/>
    </row>
    <row r="80" spans="1:9" x14ac:dyDescent="0.35">
      <c r="A80" s="22" t="s">
        <v>177</v>
      </c>
      <c r="B80" s="22" t="s">
        <v>2421</v>
      </c>
      <c r="C80" s="22" t="s">
        <v>2342</v>
      </c>
      <c r="D80" s="22" t="s">
        <v>32</v>
      </c>
      <c r="E80" s="23">
        <v>3</v>
      </c>
      <c r="F80" s="23">
        <v>474.24</v>
      </c>
      <c r="G80" s="23">
        <v>1873.18</v>
      </c>
      <c r="H80" s="22" t="s">
        <v>178</v>
      </c>
      <c r="I80" s="22" t="s">
        <v>26</v>
      </c>
    </row>
    <row r="81" spans="1:9" x14ac:dyDescent="0.35">
      <c r="A81" s="22" t="s">
        <v>179</v>
      </c>
      <c r="B81" s="22" t="s">
        <v>2422</v>
      </c>
      <c r="C81" s="22" t="s">
        <v>2346</v>
      </c>
      <c r="D81" s="22" t="s">
        <v>46</v>
      </c>
      <c r="E81" s="23">
        <v>2</v>
      </c>
      <c r="F81" s="23">
        <v>217.45</v>
      </c>
      <c r="G81" s="23">
        <v>697.5</v>
      </c>
      <c r="H81" s="22" t="s">
        <v>180</v>
      </c>
      <c r="I81" s="22" t="s">
        <v>50</v>
      </c>
    </row>
    <row r="82" spans="1:9" x14ac:dyDescent="0.35">
      <c r="A82" s="22" t="s">
        <v>181</v>
      </c>
      <c r="B82" s="22" t="s">
        <v>2423</v>
      </c>
      <c r="C82" s="22" t="s">
        <v>2349</v>
      </c>
      <c r="D82" s="22" t="s">
        <v>46</v>
      </c>
      <c r="E82" s="23"/>
      <c r="F82" s="23">
        <v>14.56</v>
      </c>
      <c r="G82" s="23">
        <v>87.36</v>
      </c>
      <c r="H82" s="22" t="s">
        <v>182</v>
      </c>
      <c r="I82" s="22"/>
    </row>
    <row r="83" spans="1:9" x14ac:dyDescent="0.35">
      <c r="A83" s="22" t="s">
        <v>183</v>
      </c>
      <c r="B83" s="22" t="s">
        <v>2424</v>
      </c>
      <c r="C83" s="22" t="s">
        <v>2349</v>
      </c>
      <c r="D83" s="22" t="s">
        <v>2364</v>
      </c>
      <c r="E83" s="23">
        <v>3</v>
      </c>
      <c r="F83" s="23">
        <v>226.77</v>
      </c>
      <c r="G83" s="23">
        <v>680.31</v>
      </c>
      <c r="H83" s="22" t="s">
        <v>184</v>
      </c>
      <c r="I83" s="22" t="s">
        <v>2356</v>
      </c>
    </row>
    <row r="84" spans="1:9" x14ac:dyDescent="0.35">
      <c r="A84" s="22" t="s">
        <v>185</v>
      </c>
      <c r="B84" s="22" t="s">
        <v>2425</v>
      </c>
      <c r="C84" s="22"/>
      <c r="D84" s="22" t="s">
        <v>2343</v>
      </c>
      <c r="E84" s="23">
        <v>5</v>
      </c>
      <c r="F84" s="23">
        <v>32.57</v>
      </c>
      <c r="G84" s="23"/>
      <c r="H84" s="22" t="s">
        <v>186</v>
      </c>
      <c r="I84" s="22" t="s">
        <v>2340</v>
      </c>
    </row>
    <row r="85" spans="1:9" x14ac:dyDescent="0.35">
      <c r="A85" s="22" t="s">
        <v>187</v>
      </c>
      <c r="B85" s="22" t="s">
        <v>2426</v>
      </c>
      <c r="C85" s="22"/>
      <c r="D85" s="22" t="s">
        <v>24</v>
      </c>
      <c r="E85" s="23">
        <v>9</v>
      </c>
      <c r="F85" s="23">
        <v>276.5</v>
      </c>
      <c r="G85" s="23">
        <v>2488.5</v>
      </c>
      <c r="H85" s="22" t="s">
        <v>188</v>
      </c>
      <c r="I85" s="22" t="s">
        <v>26</v>
      </c>
    </row>
    <row r="86" spans="1:9" x14ac:dyDescent="0.35">
      <c r="A86" s="22" t="s">
        <v>189</v>
      </c>
      <c r="B86" s="22" t="s">
        <v>2427</v>
      </c>
      <c r="C86" s="22"/>
      <c r="D86" s="22" t="s">
        <v>32</v>
      </c>
      <c r="E86" s="23">
        <v>6</v>
      </c>
      <c r="F86" s="23">
        <v>175.89</v>
      </c>
      <c r="G86" s="23">
        <v>1055.3399999999999</v>
      </c>
      <c r="H86" s="22" t="s">
        <v>190</v>
      </c>
      <c r="I86" s="22" t="s">
        <v>2298</v>
      </c>
    </row>
    <row r="87" spans="1:9" x14ac:dyDescent="0.35">
      <c r="A87" s="22" t="s">
        <v>191</v>
      </c>
      <c r="B87" s="22" t="s">
        <v>2428</v>
      </c>
      <c r="C87" s="22" t="s">
        <v>2342</v>
      </c>
      <c r="D87" s="22" t="s">
        <v>2350</v>
      </c>
      <c r="E87" s="23">
        <v>6</v>
      </c>
      <c r="F87" s="23">
        <v>241.98</v>
      </c>
      <c r="G87" s="23">
        <v>1656.48</v>
      </c>
      <c r="H87" s="22" t="s">
        <v>49</v>
      </c>
      <c r="I87" s="22" t="s">
        <v>2344</v>
      </c>
    </row>
    <row r="88" spans="1:9" x14ac:dyDescent="0.35">
      <c r="A88" s="22" t="s">
        <v>192</v>
      </c>
      <c r="B88" s="22" t="s">
        <v>2429</v>
      </c>
      <c r="C88" s="22" t="s">
        <v>2342</v>
      </c>
      <c r="D88" s="22" t="s">
        <v>2343</v>
      </c>
      <c r="E88" s="23">
        <v>9</v>
      </c>
      <c r="F88" s="23">
        <v>310.45</v>
      </c>
      <c r="G88" s="23">
        <v>2794.05</v>
      </c>
      <c r="H88" s="22" t="s">
        <v>193</v>
      </c>
      <c r="I88" s="22" t="s">
        <v>50</v>
      </c>
    </row>
    <row r="89" spans="1:9" x14ac:dyDescent="0.35">
      <c r="A89" s="22" t="s">
        <v>194</v>
      </c>
      <c r="B89" s="22" t="s">
        <v>2397</v>
      </c>
      <c r="C89" s="22"/>
      <c r="D89" s="22" t="s">
        <v>2347</v>
      </c>
      <c r="E89" s="23">
        <v>4</v>
      </c>
      <c r="F89" s="23">
        <v>435.71</v>
      </c>
      <c r="G89" s="23">
        <v>1742.84</v>
      </c>
      <c r="H89" s="22" t="s">
        <v>195</v>
      </c>
      <c r="I89" s="22" t="s">
        <v>2344</v>
      </c>
    </row>
    <row r="90" spans="1:9" x14ac:dyDescent="0.35">
      <c r="A90" s="22" t="s">
        <v>196</v>
      </c>
      <c r="B90" s="22" t="s">
        <v>2430</v>
      </c>
      <c r="C90" s="22" t="s">
        <v>2342</v>
      </c>
      <c r="D90" s="22" t="s">
        <v>2347</v>
      </c>
      <c r="E90" s="23">
        <v>9</v>
      </c>
      <c r="F90" s="23">
        <v>334.33</v>
      </c>
      <c r="G90" s="23">
        <v>3008.97</v>
      </c>
      <c r="H90" s="22" t="s">
        <v>197</v>
      </c>
      <c r="I90" s="22" t="s">
        <v>2298</v>
      </c>
    </row>
    <row r="91" spans="1:9" x14ac:dyDescent="0.35">
      <c r="A91" s="22" t="s">
        <v>198</v>
      </c>
      <c r="B91" s="22" t="s">
        <v>2387</v>
      </c>
      <c r="C91" s="22" t="s">
        <v>2282</v>
      </c>
      <c r="D91" s="22" t="s">
        <v>32</v>
      </c>
      <c r="E91" s="23">
        <v>2</v>
      </c>
      <c r="F91" s="23">
        <v>222.68</v>
      </c>
      <c r="G91" s="23">
        <v>445.36</v>
      </c>
      <c r="H91" s="22" t="s">
        <v>199</v>
      </c>
      <c r="I91" s="22" t="s">
        <v>2378</v>
      </c>
    </row>
    <row r="92" spans="1:9" x14ac:dyDescent="0.35">
      <c r="A92" s="22" t="s">
        <v>200</v>
      </c>
      <c r="B92" s="22" t="s">
        <v>2379</v>
      </c>
      <c r="C92" s="22" t="s">
        <v>19</v>
      </c>
      <c r="D92" s="22" t="s">
        <v>12</v>
      </c>
      <c r="E92" s="23">
        <v>10</v>
      </c>
      <c r="F92" s="23">
        <v>411.52</v>
      </c>
      <c r="G92" s="23">
        <v>4115.2</v>
      </c>
      <c r="H92" s="22" t="s">
        <v>201</v>
      </c>
      <c r="I92" s="22" t="s">
        <v>2344</v>
      </c>
    </row>
    <row r="93" spans="1:9" x14ac:dyDescent="0.35">
      <c r="A93" s="22" t="s">
        <v>202</v>
      </c>
      <c r="B93" s="22" t="s">
        <v>2431</v>
      </c>
      <c r="C93" s="22" t="s">
        <v>23</v>
      </c>
      <c r="D93" s="22" t="s">
        <v>2347</v>
      </c>
      <c r="E93" s="23">
        <v>6</v>
      </c>
      <c r="F93" s="23">
        <v>453.74</v>
      </c>
      <c r="G93" s="23">
        <v>2722.44</v>
      </c>
      <c r="H93" s="22" t="s">
        <v>203</v>
      </c>
      <c r="I93" s="22" t="s">
        <v>2344</v>
      </c>
    </row>
    <row r="94" spans="1:9" x14ac:dyDescent="0.35">
      <c r="A94" s="22" t="s">
        <v>204</v>
      </c>
      <c r="B94" s="22" t="s">
        <v>2432</v>
      </c>
      <c r="C94" s="22" t="s">
        <v>2346</v>
      </c>
      <c r="D94" s="22" t="s">
        <v>32</v>
      </c>
      <c r="E94" s="23">
        <v>9</v>
      </c>
      <c r="F94" s="23">
        <v>68.680000000000007</v>
      </c>
      <c r="G94" s="23">
        <v>618.12</v>
      </c>
      <c r="H94" s="22" t="s">
        <v>49</v>
      </c>
      <c r="I94" s="22" t="s">
        <v>2344</v>
      </c>
    </row>
    <row r="95" spans="1:9" x14ac:dyDescent="0.35">
      <c r="A95" s="22" t="s">
        <v>205</v>
      </c>
      <c r="B95" s="22" t="s">
        <v>2433</v>
      </c>
      <c r="C95" s="22" t="s">
        <v>2282</v>
      </c>
      <c r="D95" s="22" t="s">
        <v>32</v>
      </c>
      <c r="E95" s="23">
        <v>4</v>
      </c>
      <c r="F95" s="23">
        <v>270.64999999999998</v>
      </c>
      <c r="G95" s="23"/>
      <c r="H95" s="22" t="s">
        <v>206</v>
      </c>
      <c r="I95" s="22" t="s">
        <v>50</v>
      </c>
    </row>
    <row r="96" spans="1:9" x14ac:dyDescent="0.35">
      <c r="A96" s="22" t="s">
        <v>207</v>
      </c>
      <c r="B96" s="22" t="s">
        <v>2434</v>
      </c>
      <c r="C96" s="22" t="s">
        <v>2346</v>
      </c>
      <c r="D96" s="22" t="s">
        <v>2364</v>
      </c>
      <c r="E96" s="23">
        <v>-5</v>
      </c>
      <c r="F96" s="23">
        <v>149.41</v>
      </c>
      <c r="G96" s="23">
        <v>149.41</v>
      </c>
      <c r="H96" s="22" t="s">
        <v>208</v>
      </c>
      <c r="I96" s="22"/>
    </row>
    <row r="97" spans="1:9" x14ac:dyDescent="0.35">
      <c r="A97" s="22" t="s">
        <v>209</v>
      </c>
      <c r="B97" s="22" t="s">
        <v>2435</v>
      </c>
      <c r="C97" s="22" t="s">
        <v>2358</v>
      </c>
      <c r="D97" s="22" t="s">
        <v>2343</v>
      </c>
      <c r="E97" s="23">
        <v>6</v>
      </c>
      <c r="F97" s="23">
        <v>33.06</v>
      </c>
      <c r="G97" s="23"/>
      <c r="H97" s="22" t="s">
        <v>210</v>
      </c>
      <c r="I97" s="22" t="s">
        <v>2356</v>
      </c>
    </row>
    <row r="98" spans="1:9" x14ac:dyDescent="0.35">
      <c r="A98" s="22" t="s">
        <v>211</v>
      </c>
      <c r="B98" s="22" t="s">
        <v>2436</v>
      </c>
      <c r="C98" s="22"/>
      <c r="D98" s="22" t="s">
        <v>2364</v>
      </c>
      <c r="E98" s="23"/>
      <c r="F98" s="23">
        <v>337.59</v>
      </c>
      <c r="G98" s="23">
        <v>2700.72</v>
      </c>
      <c r="H98" s="22" t="s">
        <v>212</v>
      </c>
      <c r="I98" s="22" t="s">
        <v>2378</v>
      </c>
    </row>
    <row r="99" spans="1:9" x14ac:dyDescent="0.35">
      <c r="A99" s="22" t="s">
        <v>213</v>
      </c>
      <c r="B99" s="22" t="s">
        <v>2425</v>
      </c>
      <c r="C99" s="22"/>
      <c r="D99" s="22" t="s">
        <v>46</v>
      </c>
      <c r="E99" s="23">
        <v>6</v>
      </c>
      <c r="F99" s="23">
        <v>432.76</v>
      </c>
      <c r="G99" s="23">
        <v>2596.56</v>
      </c>
      <c r="H99" s="22" t="s">
        <v>214</v>
      </c>
      <c r="I99" s="22" t="s">
        <v>26</v>
      </c>
    </row>
    <row r="100" spans="1:9" x14ac:dyDescent="0.35">
      <c r="A100" s="22" t="s">
        <v>215</v>
      </c>
      <c r="B100" s="22" t="s">
        <v>2437</v>
      </c>
      <c r="C100" s="22" t="s">
        <v>2358</v>
      </c>
      <c r="D100" s="22" t="s">
        <v>12</v>
      </c>
      <c r="E100" s="23">
        <v>2</v>
      </c>
      <c r="F100" s="23">
        <v>89.82</v>
      </c>
      <c r="G100" s="23"/>
      <c r="H100" s="22" t="s">
        <v>216</v>
      </c>
      <c r="I100" s="22" t="s">
        <v>2298</v>
      </c>
    </row>
    <row r="101" spans="1:9" x14ac:dyDescent="0.35">
      <c r="A101" s="22" t="s">
        <v>217</v>
      </c>
      <c r="B101" s="22" t="s">
        <v>2371</v>
      </c>
      <c r="C101" s="22" t="s">
        <v>16</v>
      </c>
      <c r="D101" s="22" t="s">
        <v>2364</v>
      </c>
      <c r="E101" s="23">
        <v>3</v>
      </c>
      <c r="F101" s="23">
        <v>408.08</v>
      </c>
      <c r="G101" s="23">
        <v>1487.16</v>
      </c>
      <c r="H101" s="22" t="s">
        <v>218</v>
      </c>
      <c r="I101" s="22" t="s">
        <v>26</v>
      </c>
    </row>
    <row r="102" spans="1:9" x14ac:dyDescent="0.35">
      <c r="A102" s="22" t="s">
        <v>219</v>
      </c>
      <c r="B102" s="22" t="s">
        <v>2438</v>
      </c>
      <c r="C102" s="22" t="s">
        <v>2349</v>
      </c>
      <c r="D102" s="22" t="s">
        <v>2364</v>
      </c>
      <c r="E102" s="23">
        <v>5</v>
      </c>
      <c r="F102" s="23">
        <v>428.16</v>
      </c>
      <c r="G102" s="23">
        <v>2140.8000000000002</v>
      </c>
      <c r="H102" s="22" t="s">
        <v>220</v>
      </c>
      <c r="I102" s="22" t="s">
        <v>2356</v>
      </c>
    </row>
    <row r="103" spans="1:9" x14ac:dyDescent="0.35">
      <c r="A103" s="22" t="s">
        <v>221</v>
      </c>
      <c r="B103" s="22"/>
      <c r="C103" s="22" t="s">
        <v>2282</v>
      </c>
      <c r="D103" s="22" t="s">
        <v>24</v>
      </c>
      <c r="E103" s="23">
        <v>3</v>
      </c>
      <c r="F103" s="23">
        <v>458.03</v>
      </c>
      <c r="G103" s="23">
        <v>1869.75</v>
      </c>
      <c r="H103" s="22" t="s">
        <v>222</v>
      </c>
      <c r="I103" s="22" t="s">
        <v>26</v>
      </c>
    </row>
    <row r="104" spans="1:9" x14ac:dyDescent="0.35">
      <c r="A104" s="22" t="s">
        <v>223</v>
      </c>
      <c r="B104" s="22" t="s">
        <v>2439</v>
      </c>
      <c r="C104" s="22" t="s">
        <v>2346</v>
      </c>
      <c r="D104" s="22" t="s">
        <v>2364</v>
      </c>
      <c r="E104" s="23">
        <v>3</v>
      </c>
      <c r="F104" s="23">
        <v>139.99</v>
      </c>
      <c r="G104" s="23">
        <v>419.97</v>
      </c>
      <c r="H104" s="22" t="s">
        <v>224</v>
      </c>
      <c r="I104" s="22" t="s">
        <v>50</v>
      </c>
    </row>
    <row r="105" spans="1:9" x14ac:dyDescent="0.35">
      <c r="A105" s="22" t="s">
        <v>225</v>
      </c>
      <c r="B105" s="22" t="s">
        <v>2440</v>
      </c>
      <c r="C105" s="22" t="s">
        <v>2349</v>
      </c>
      <c r="D105" s="22" t="s">
        <v>2347</v>
      </c>
      <c r="E105" s="23">
        <v>5</v>
      </c>
      <c r="F105" s="23">
        <v>452.94</v>
      </c>
      <c r="G105" s="23">
        <v>2264.6999999999998</v>
      </c>
      <c r="H105" s="22" t="s">
        <v>226</v>
      </c>
      <c r="I105" s="22" t="s">
        <v>2344</v>
      </c>
    </row>
    <row r="106" spans="1:9" x14ac:dyDescent="0.35">
      <c r="A106" s="22" t="s">
        <v>227</v>
      </c>
      <c r="B106" s="22" t="s">
        <v>2441</v>
      </c>
      <c r="C106" s="22"/>
      <c r="D106" s="22" t="s">
        <v>32</v>
      </c>
      <c r="E106" s="23">
        <v>6</v>
      </c>
      <c r="F106" s="23">
        <v>167.12</v>
      </c>
      <c r="G106" s="23"/>
      <c r="H106" s="22"/>
      <c r="I106" s="22" t="s">
        <v>26</v>
      </c>
    </row>
    <row r="107" spans="1:9" x14ac:dyDescent="0.35">
      <c r="A107" s="22" t="s">
        <v>228</v>
      </c>
      <c r="B107" s="22" t="s">
        <v>2442</v>
      </c>
      <c r="C107" s="22"/>
      <c r="D107" s="22" t="s">
        <v>2347</v>
      </c>
      <c r="E107" s="23">
        <v>5</v>
      </c>
      <c r="F107" s="23">
        <v>280.64999999999998</v>
      </c>
      <c r="G107" s="23">
        <v>1680.77</v>
      </c>
      <c r="H107" s="22" t="s">
        <v>229</v>
      </c>
      <c r="I107" s="22" t="s">
        <v>50</v>
      </c>
    </row>
    <row r="108" spans="1:9" x14ac:dyDescent="0.35">
      <c r="A108" s="22" t="s">
        <v>230</v>
      </c>
      <c r="B108" s="22" t="s">
        <v>2443</v>
      </c>
      <c r="C108" s="22" t="s">
        <v>2346</v>
      </c>
      <c r="D108" s="22" t="s">
        <v>2343</v>
      </c>
      <c r="E108" s="23">
        <v>3</v>
      </c>
      <c r="F108" s="23">
        <v>34.75</v>
      </c>
      <c r="G108" s="23">
        <v>104.25</v>
      </c>
      <c r="H108" s="22" t="s">
        <v>231</v>
      </c>
      <c r="I108" s="22" t="s">
        <v>50</v>
      </c>
    </row>
    <row r="109" spans="1:9" x14ac:dyDescent="0.35">
      <c r="A109" s="22" t="s">
        <v>232</v>
      </c>
      <c r="B109" s="22" t="s">
        <v>2444</v>
      </c>
      <c r="C109" s="22" t="s">
        <v>16</v>
      </c>
      <c r="D109" s="22" t="s">
        <v>46</v>
      </c>
      <c r="E109" s="23">
        <v>5</v>
      </c>
      <c r="F109" s="23">
        <v>31.5</v>
      </c>
      <c r="G109" s="23">
        <v>157.5</v>
      </c>
      <c r="H109" s="22" t="s">
        <v>233</v>
      </c>
      <c r="I109" s="22" t="s">
        <v>50</v>
      </c>
    </row>
    <row r="110" spans="1:9" x14ac:dyDescent="0.35">
      <c r="A110" s="22" t="s">
        <v>234</v>
      </c>
      <c r="B110" s="22" t="s">
        <v>2445</v>
      </c>
      <c r="C110" s="22" t="s">
        <v>2346</v>
      </c>
      <c r="D110" s="22" t="s">
        <v>46</v>
      </c>
      <c r="E110" s="23">
        <v>3</v>
      </c>
      <c r="F110" s="23">
        <v>362.98</v>
      </c>
      <c r="G110" s="23">
        <v>1088.94</v>
      </c>
      <c r="H110" s="22" t="s">
        <v>235</v>
      </c>
      <c r="I110" s="22" t="s">
        <v>2356</v>
      </c>
    </row>
    <row r="111" spans="1:9" x14ac:dyDescent="0.35">
      <c r="A111" s="22" t="s">
        <v>236</v>
      </c>
      <c r="B111" s="22" t="s">
        <v>2446</v>
      </c>
      <c r="C111" s="22" t="s">
        <v>23</v>
      </c>
      <c r="D111" s="22" t="s">
        <v>12</v>
      </c>
      <c r="E111" s="23">
        <v>3</v>
      </c>
      <c r="F111" s="23">
        <v>227.8</v>
      </c>
      <c r="G111" s="23">
        <v>683.4</v>
      </c>
      <c r="H111" s="22" t="s">
        <v>237</v>
      </c>
      <c r="I111" s="22" t="s">
        <v>26</v>
      </c>
    </row>
    <row r="112" spans="1:9" x14ac:dyDescent="0.35">
      <c r="A112" s="22" t="s">
        <v>238</v>
      </c>
      <c r="B112" s="22" t="s">
        <v>2447</v>
      </c>
      <c r="C112" s="22" t="s">
        <v>11</v>
      </c>
      <c r="D112" s="22" t="s">
        <v>2343</v>
      </c>
      <c r="E112" s="23">
        <v>6</v>
      </c>
      <c r="F112" s="23">
        <v>135.58000000000001</v>
      </c>
      <c r="G112" s="23">
        <v>813.48</v>
      </c>
      <c r="H112" s="22" t="s">
        <v>49</v>
      </c>
      <c r="I112" s="22" t="s">
        <v>2378</v>
      </c>
    </row>
    <row r="113" spans="1:9" x14ac:dyDescent="0.35">
      <c r="A113" s="22" t="s">
        <v>239</v>
      </c>
      <c r="B113" s="22" t="s">
        <v>2448</v>
      </c>
      <c r="C113" s="22" t="s">
        <v>16</v>
      </c>
      <c r="D113" s="22" t="s">
        <v>12</v>
      </c>
      <c r="E113" s="23">
        <v>5</v>
      </c>
      <c r="F113" s="23">
        <v>103.3</v>
      </c>
      <c r="G113" s="23">
        <v>616.70000000000005</v>
      </c>
      <c r="H113" s="22" t="s">
        <v>240</v>
      </c>
      <c r="I113" s="22" t="s">
        <v>2378</v>
      </c>
    </row>
    <row r="114" spans="1:9" x14ac:dyDescent="0.35">
      <c r="A114" s="22" t="s">
        <v>241</v>
      </c>
      <c r="B114" s="22" t="s">
        <v>2449</v>
      </c>
      <c r="C114" s="22" t="s">
        <v>2358</v>
      </c>
      <c r="D114" s="22" t="s">
        <v>24</v>
      </c>
      <c r="E114" s="23">
        <v>6</v>
      </c>
      <c r="F114" s="23">
        <v>338.28</v>
      </c>
      <c r="G114" s="23">
        <v>2029.68</v>
      </c>
      <c r="H114" s="22" t="s">
        <v>242</v>
      </c>
      <c r="I114" s="22" t="s">
        <v>2378</v>
      </c>
    </row>
    <row r="115" spans="1:9" x14ac:dyDescent="0.35">
      <c r="A115" s="22" t="s">
        <v>243</v>
      </c>
      <c r="B115" s="22"/>
      <c r="C115" s="22" t="s">
        <v>2282</v>
      </c>
      <c r="D115" s="22" t="s">
        <v>32</v>
      </c>
      <c r="E115" s="23">
        <v>2</v>
      </c>
      <c r="F115" s="23">
        <v>10.199999999999999</v>
      </c>
      <c r="G115" s="23">
        <v>20.399999999999999</v>
      </c>
      <c r="H115" s="22" t="s">
        <v>244</v>
      </c>
      <c r="I115" s="22" t="s">
        <v>14</v>
      </c>
    </row>
    <row r="116" spans="1:9" x14ac:dyDescent="0.35">
      <c r="A116" s="22" t="s">
        <v>245</v>
      </c>
      <c r="B116" s="22" t="s">
        <v>2450</v>
      </c>
      <c r="C116" s="22" t="s">
        <v>23</v>
      </c>
      <c r="D116" s="22" t="s">
        <v>46</v>
      </c>
      <c r="E116" s="23">
        <v>4</v>
      </c>
      <c r="F116" s="23">
        <v>404.89</v>
      </c>
      <c r="G116" s="23">
        <v>1619.56</v>
      </c>
      <c r="H116" s="22" t="s">
        <v>246</v>
      </c>
      <c r="I116" s="22" t="s">
        <v>2378</v>
      </c>
    </row>
    <row r="117" spans="1:9" x14ac:dyDescent="0.35">
      <c r="A117" s="22" t="s">
        <v>247</v>
      </c>
      <c r="B117" s="22" t="s">
        <v>2451</v>
      </c>
      <c r="C117" s="22" t="s">
        <v>16</v>
      </c>
      <c r="D117" s="22" t="s">
        <v>32</v>
      </c>
      <c r="E117" s="23">
        <v>7</v>
      </c>
      <c r="F117" s="23">
        <v>48.83</v>
      </c>
      <c r="G117" s="23">
        <v>341.81</v>
      </c>
      <c r="H117" s="22" t="s">
        <v>248</v>
      </c>
      <c r="I117" s="22" t="s">
        <v>14</v>
      </c>
    </row>
    <row r="118" spans="1:9" x14ac:dyDescent="0.35">
      <c r="A118" s="22" t="s">
        <v>249</v>
      </c>
      <c r="B118" s="22" t="s">
        <v>2355</v>
      </c>
      <c r="C118" s="22" t="s">
        <v>23</v>
      </c>
      <c r="D118" s="22" t="s">
        <v>2347</v>
      </c>
      <c r="E118" s="23">
        <v>6</v>
      </c>
      <c r="F118" s="23">
        <v>103.83</v>
      </c>
      <c r="G118" s="23">
        <v>622.98</v>
      </c>
      <c r="H118" s="22" t="s">
        <v>250</v>
      </c>
      <c r="I118" s="22" t="s">
        <v>2378</v>
      </c>
    </row>
    <row r="119" spans="1:9" x14ac:dyDescent="0.35">
      <c r="A119" s="22" t="s">
        <v>251</v>
      </c>
      <c r="B119" s="22" t="s">
        <v>2452</v>
      </c>
      <c r="C119" s="22" t="s">
        <v>2282</v>
      </c>
      <c r="D119" s="22" t="s">
        <v>2343</v>
      </c>
      <c r="E119" s="23">
        <v>5</v>
      </c>
      <c r="F119" s="23">
        <v>-37.659999999999997</v>
      </c>
      <c r="G119" s="23"/>
      <c r="H119" s="22" t="s">
        <v>252</v>
      </c>
      <c r="I119" s="22" t="s">
        <v>50</v>
      </c>
    </row>
    <row r="120" spans="1:9" x14ac:dyDescent="0.35">
      <c r="A120" s="22" t="s">
        <v>253</v>
      </c>
      <c r="B120" s="22" t="s">
        <v>2453</v>
      </c>
      <c r="C120" s="22" t="s">
        <v>2282</v>
      </c>
      <c r="D120" s="22" t="s">
        <v>12</v>
      </c>
      <c r="E120" s="23">
        <v>4</v>
      </c>
      <c r="F120" s="23">
        <v>247.58</v>
      </c>
      <c r="G120" s="23">
        <v>990.32</v>
      </c>
      <c r="H120" s="22" t="s">
        <v>254</v>
      </c>
      <c r="I120" s="22" t="s">
        <v>2344</v>
      </c>
    </row>
    <row r="121" spans="1:9" x14ac:dyDescent="0.35">
      <c r="A121" s="22" t="s">
        <v>255</v>
      </c>
      <c r="B121" s="22" t="s">
        <v>2454</v>
      </c>
      <c r="C121" s="22" t="s">
        <v>2282</v>
      </c>
      <c r="D121" s="22" t="s">
        <v>2347</v>
      </c>
      <c r="E121" s="23">
        <v>3</v>
      </c>
      <c r="F121" s="23">
        <v>183.95</v>
      </c>
      <c r="G121" s="23">
        <v>551.85</v>
      </c>
      <c r="H121" s="22" t="s">
        <v>256</v>
      </c>
      <c r="I121" s="22" t="s">
        <v>2356</v>
      </c>
    </row>
    <row r="122" spans="1:9" x14ac:dyDescent="0.35">
      <c r="A122" s="22" t="s">
        <v>257</v>
      </c>
      <c r="B122" s="22"/>
      <c r="C122" s="22" t="s">
        <v>2358</v>
      </c>
      <c r="D122" s="22" t="s">
        <v>2350</v>
      </c>
      <c r="E122" s="23"/>
      <c r="F122" s="23">
        <v>167.15</v>
      </c>
      <c r="G122" s="23">
        <v>501.45</v>
      </c>
      <c r="H122" s="22" t="s">
        <v>258</v>
      </c>
      <c r="I122" s="22" t="s">
        <v>26</v>
      </c>
    </row>
    <row r="123" spans="1:9" x14ac:dyDescent="0.35">
      <c r="A123" s="22" t="s">
        <v>259</v>
      </c>
      <c r="B123" s="22" t="s">
        <v>2455</v>
      </c>
      <c r="C123" s="22" t="s">
        <v>2342</v>
      </c>
      <c r="D123" s="22" t="s">
        <v>2364</v>
      </c>
      <c r="E123" s="23">
        <v>7</v>
      </c>
      <c r="F123" s="23">
        <v>482.32</v>
      </c>
      <c r="G123" s="23"/>
      <c r="H123" s="22" t="s">
        <v>260</v>
      </c>
      <c r="I123" s="22" t="s">
        <v>14</v>
      </c>
    </row>
    <row r="124" spans="1:9" x14ac:dyDescent="0.35">
      <c r="A124" s="22" t="s">
        <v>261</v>
      </c>
      <c r="B124" s="22" t="s">
        <v>2456</v>
      </c>
      <c r="C124" s="22" t="s">
        <v>11</v>
      </c>
      <c r="D124" s="22" t="s">
        <v>12</v>
      </c>
      <c r="E124" s="23">
        <v>7</v>
      </c>
      <c r="F124" s="23">
        <v>324.37</v>
      </c>
      <c r="G124" s="23">
        <v>2270.59</v>
      </c>
      <c r="H124" s="22" t="s">
        <v>262</v>
      </c>
      <c r="I124" s="22" t="s">
        <v>2298</v>
      </c>
    </row>
    <row r="125" spans="1:9" x14ac:dyDescent="0.35">
      <c r="A125" s="22" t="s">
        <v>263</v>
      </c>
      <c r="B125" s="22" t="s">
        <v>2391</v>
      </c>
      <c r="C125" s="22" t="s">
        <v>2349</v>
      </c>
      <c r="D125" s="22" t="s">
        <v>12</v>
      </c>
      <c r="E125" s="23">
        <v>6</v>
      </c>
      <c r="F125" s="23">
        <v>21.48</v>
      </c>
      <c r="G125" s="23">
        <v>244.16</v>
      </c>
      <c r="H125" s="22" t="s">
        <v>264</v>
      </c>
      <c r="I125" s="22" t="s">
        <v>2298</v>
      </c>
    </row>
    <row r="126" spans="1:9" x14ac:dyDescent="0.35">
      <c r="A126" s="22" t="s">
        <v>265</v>
      </c>
      <c r="B126" s="22" t="s">
        <v>2457</v>
      </c>
      <c r="C126" s="22" t="s">
        <v>2282</v>
      </c>
      <c r="D126" s="22" t="s">
        <v>46</v>
      </c>
      <c r="E126" s="23">
        <v>6</v>
      </c>
      <c r="F126" s="23">
        <v>220.79</v>
      </c>
      <c r="G126" s="23">
        <v>1324.74</v>
      </c>
      <c r="H126" s="22"/>
      <c r="I126" s="22" t="s">
        <v>26</v>
      </c>
    </row>
    <row r="127" spans="1:9" x14ac:dyDescent="0.35">
      <c r="A127" s="22" t="s">
        <v>266</v>
      </c>
      <c r="B127" s="22" t="s">
        <v>2458</v>
      </c>
      <c r="C127" s="22" t="s">
        <v>2358</v>
      </c>
      <c r="D127" s="22" t="s">
        <v>32</v>
      </c>
      <c r="E127" s="23">
        <v>7</v>
      </c>
      <c r="F127" s="23">
        <v>438.75</v>
      </c>
      <c r="G127" s="23"/>
      <c r="H127" s="22" t="s">
        <v>267</v>
      </c>
      <c r="I127" s="22" t="s">
        <v>26</v>
      </c>
    </row>
    <row r="128" spans="1:9" x14ac:dyDescent="0.35">
      <c r="A128" s="22" t="s">
        <v>268</v>
      </c>
      <c r="B128" s="22" t="s">
        <v>2459</v>
      </c>
      <c r="C128" s="22" t="s">
        <v>23</v>
      </c>
      <c r="D128" s="22" t="s">
        <v>2350</v>
      </c>
      <c r="E128" s="23">
        <v>8</v>
      </c>
      <c r="F128" s="23">
        <v>157.71</v>
      </c>
      <c r="G128" s="23">
        <v>1261.68</v>
      </c>
      <c r="H128" s="22" t="s">
        <v>269</v>
      </c>
      <c r="I128" s="22" t="s">
        <v>50</v>
      </c>
    </row>
    <row r="129" spans="1:9" x14ac:dyDescent="0.35">
      <c r="A129" s="22" t="s">
        <v>270</v>
      </c>
      <c r="B129" s="22" t="s">
        <v>2460</v>
      </c>
      <c r="C129" s="22" t="s">
        <v>2282</v>
      </c>
      <c r="D129" s="22" t="s">
        <v>46</v>
      </c>
      <c r="E129" s="23">
        <v>6</v>
      </c>
      <c r="F129" s="23">
        <v>56.33</v>
      </c>
      <c r="G129" s="23">
        <v>337.98</v>
      </c>
      <c r="H129" s="22" t="s">
        <v>271</v>
      </c>
      <c r="I129" s="22" t="s">
        <v>14</v>
      </c>
    </row>
    <row r="130" spans="1:9" x14ac:dyDescent="0.35">
      <c r="A130" s="22" t="s">
        <v>272</v>
      </c>
      <c r="B130" s="22" t="s">
        <v>2461</v>
      </c>
      <c r="C130" s="22" t="s">
        <v>2346</v>
      </c>
      <c r="D130" s="22" t="s">
        <v>2364</v>
      </c>
      <c r="E130" s="23">
        <v>3</v>
      </c>
      <c r="F130" s="23">
        <v>381.61</v>
      </c>
      <c r="G130" s="23">
        <v>1144.83</v>
      </c>
      <c r="H130" s="22" t="s">
        <v>273</v>
      </c>
      <c r="I130" s="22" t="s">
        <v>50</v>
      </c>
    </row>
    <row r="131" spans="1:9" x14ac:dyDescent="0.35">
      <c r="A131" s="22" t="s">
        <v>274</v>
      </c>
      <c r="B131" s="22" t="s">
        <v>2462</v>
      </c>
      <c r="C131" s="22"/>
      <c r="D131" s="22" t="s">
        <v>46</v>
      </c>
      <c r="E131" s="23">
        <v>7</v>
      </c>
      <c r="F131" s="23">
        <v>306.95</v>
      </c>
      <c r="G131" s="23">
        <v>2148.65</v>
      </c>
      <c r="H131" s="22" t="s">
        <v>275</v>
      </c>
      <c r="I131" s="22" t="s">
        <v>2378</v>
      </c>
    </row>
    <row r="132" spans="1:9" x14ac:dyDescent="0.35">
      <c r="A132" s="22" t="s">
        <v>276</v>
      </c>
      <c r="B132" s="22" t="s">
        <v>2463</v>
      </c>
      <c r="C132" s="22" t="s">
        <v>2342</v>
      </c>
      <c r="D132" s="22" t="s">
        <v>46</v>
      </c>
      <c r="E132" s="23">
        <v>5</v>
      </c>
      <c r="F132" s="23">
        <v>289.45</v>
      </c>
      <c r="G132" s="23">
        <v>1447.25</v>
      </c>
      <c r="H132" s="22" t="s">
        <v>277</v>
      </c>
      <c r="I132" s="22" t="s">
        <v>2378</v>
      </c>
    </row>
    <row r="133" spans="1:9" x14ac:dyDescent="0.35">
      <c r="A133" s="22" t="s">
        <v>278</v>
      </c>
      <c r="B133" s="22"/>
      <c r="C133" s="22" t="s">
        <v>11</v>
      </c>
      <c r="D133" s="22" t="s">
        <v>46</v>
      </c>
      <c r="E133" s="23">
        <v>9999</v>
      </c>
      <c r="F133" s="23">
        <v>36.25</v>
      </c>
      <c r="G133" s="23">
        <v>181.25</v>
      </c>
      <c r="H133" s="22" t="s">
        <v>279</v>
      </c>
      <c r="I133" s="22" t="s">
        <v>50</v>
      </c>
    </row>
    <row r="134" spans="1:9" x14ac:dyDescent="0.35">
      <c r="A134" s="22" t="s">
        <v>280</v>
      </c>
      <c r="B134" s="22" t="s">
        <v>2464</v>
      </c>
      <c r="C134" s="22" t="s">
        <v>2358</v>
      </c>
      <c r="D134" s="22" t="s">
        <v>32</v>
      </c>
      <c r="E134" s="23">
        <v>7</v>
      </c>
      <c r="F134" s="23">
        <v>78.84</v>
      </c>
      <c r="G134" s="23">
        <v>551.88</v>
      </c>
      <c r="H134" s="22" t="s">
        <v>281</v>
      </c>
      <c r="I134" s="22"/>
    </row>
    <row r="135" spans="1:9" x14ac:dyDescent="0.35">
      <c r="A135" s="22" t="s">
        <v>282</v>
      </c>
      <c r="B135" s="22" t="s">
        <v>2465</v>
      </c>
      <c r="C135" s="22" t="s">
        <v>11</v>
      </c>
      <c r="D135" s="22" t="s">
        <v>46</v>
      </c>
      <c r="E135" s="23">
        <v>4</v>
      </c>
      <c r="F135" s="23">
        <v>315.05</v>
      </c>
      <c r="G135" s="23">
        <v>1260.2</v>
      </c>
      <c r="H135" s="22" t="s">
        <v>283</v>
      </c>
      <c r="I135" s="22"/>
    </row>
    <row r="136" spans="1:9" x14ac:dyDescent="0.35">
      <c r="A136" s="22" t="s">
        <v>284</v>
      </c>
      <c r="B136" s="22" t="s">
        <v>2466</v>
      </c>
      <c r="C136" s="22" t="s">
        <v>2346</v>
      </c>
      <c r="D136" s="22" t="s">
        <v>46</v>
      </c>
      <c r="E136" s="23">
        <v>9</v>
      </c>
      <c r="F136" s="23">
        <v>111.83</v>
      </c>
      <c r="G136" s="23">
        <v>1006.47</v>
      </c>
      <c r="H136" s="22"/>
      <c r="I136" s="22" t="s">
        <v>2298</v>
      </c>
    </row>
    <row r="137" spans="1:9" x14ac:dyDescent="0.35">
      <c r="A137" s="22" t="s">
        <v>285</v>
      </c>
      <c r="B137" s="22" t="s">
        <v>2467</v>
      </c>
      <c r="C137" s="22" t="s">
        <v>2358</v>
      </c>
      <c r="D137" s="22" t="s">
        <v>46</v>
      </c>
      <c r="E137" s="23">
        <v>9999</v>
      </c>
      <c r="F137" s="23">
        <v>256.99</v>
      </c>
      <c r="G137" s="23">
        <v>1027.96</v>
      </c>
      <c r="H137" s="22" t="s">
        <v>286</v>
      </c>
      <c r="I137" s="22" t="s">
        <v>2298</v>
      </c>
    </row>
    <row r="138" spans="1:9" x14ac:dyDescent="0.35">
      <c r="A138" s="22" t="s">
        <v>287</v>
      </c>
      <c r="B138" s="22" t="s">
        <v>2468</v>
      </c>
      <c r="C138" s="22" t="s">
        <v>19</v>
      </c>
      <c r="D138" s="22" t="s">
        <v>46</v>
      </c>
      <c r="E138" s="23">
        <v>5</v>
      </c>
      <c r="F138" s="23">
        <v>276.99</v>
      </c>
      <c r="G138" s="23">
        <v>1384.95</v>
      </c>
      <c r="H138" s="22" t="s">
        <v>288</v>
      </c>
      <c r="I138" s="22"/>
    </row>
    <row r="139" spans="1:9" x14ac:dyDescent="0.35">
      <c r="A139" s="22" t="s">
        <v>289</v>
      </c>
      <c r="B139" s="22" t="s">
        <v>2469</v>
      </c>
      <c r="C139" s="22" t="s">
        <v>23</v>
      </c>
      <c r="D139" s="22" t="s">
        <v>12</v>
      </c>
      <c r="E139" s="23">
        <v>2</v>
      </c>
      <c r="F139" s="23">
        <v>148.91999999999999</v>
      </c>
      <c r="G139" s="23"/>
      <c r="H139" s="22" t="s">
        <v>290</v>
      </c>
      <c r="I139" s="22" t="s">
        <v>2356</v>
      </c>
    </row>
    <row r="140" spans="1:9" x14ac:dyDescent="0.35">
      <c r="A140" s="22" t="s">
        <v>291</v>
      </c>
      <c r="B140" s="22" t="s">
        <v>2470</v>
      </c>
      <c r="C140" s="22" t="s">
        <v>16</v>
      </c>
      <c r="D140" s="22" t="s">
        <v>2350</v>
      </c>
      <c r="E140" s="23">
        <v>6</v>
      </c>
      <c r="F140" s="23">
        <v>474.73</v>
      </c>
      <c r="G140" s="23">
        <v>2848.38</v>
      </c>
      <c r="H140" s="22" t="s">
        <v>292</v>
      </c>
      <c r="I140" s="22" t="s">
        <v>26</v>
      </c>
    </row>
    <row r="141" spans="1:9" x14ac:dyDescent="0.35">
      <c r="A141" s="22" t="s">
        <v>293</v>
      </c>
      <c r="B141" s="22" t="s">
        <v>2471</v>
      </c>
      <c r="C141" s="22" t="s">
        <v>19</v>
      </c>
      <c r="D141" s="22" t="s">
        <v>2347</v>
      </c>
      <c r="E141" s="23" t="s">
        <v>2351</v>
      </c>
      <c r="F141" s="23">
        <v>422.81</v>
      </c>
      <c r="G141" s="23">
        <v>1268.43</v>
      </c>
      <c r="H141" s="22" t="s">
        <v>294</v>
      </c>
      <c r="I141" s="22" t="s">
        <v>2340</v>
      </c>
    </row>
    <row r="142" spans="1:9" x14ac:dyDescent="0.35">
      <c r="A142" s="22" t="s">
        <v>295</v>
      </c>
      <c r="B142" s="22" t="s">
        <v>2472</v>
      </c>
      <c r="C142" s="22" t="s">
        <v>2349</v>
      </c>
      <c r="D142" s="22" t="s">
        <v>2347</v>
      </c>
      <c r="E142" s="23">
        <v>6</v>
      </c>
      <c r="F142" s="23">
        <v>363.96</v>
      </c>
      <c r="G142" s="23">
        <v>2183.7600000000002</v>
      </c>
      <c r="H142" s="22" t="s">
        <v>296</v>
      </c>
      <c r="I142" s="22" t="s">
        <v>2340</v>
      </c>
    </row>
    <row r="143" spans="1:9" x14ac:dyDescent="0.35">
      <c r="A143" s="22" t="s">
        <v>297</v>
      </c>
      <c r="B143" s="22" t="s">
        <v>2473</v>
      </c>
      <c r="C143" s="22" t="s">
        <v>2342</v>
      </c>
      <c r="D143" s="22" t="s">
        <v>2347</v>
      </c>
      <c r="E143" s="23">
        <v>2</v>
      </c>
      <c r="F143" s="23">
        <v>48.22</v>
      </c>
      <c r="G143" s="23">
        <v>96.44</v>
      </c>
      <c r="H143" s="22" t="s">
        <v>298</v>
      </c>
      <c r="I143" s="22" t="s">
        <v>2298</v>
      </c>
    </row>
    <row r="144" spans="1:9" x14ac:dyDescent="0.35">
      <c r="A144" s="22" t="s">
        <v>299</v>
      </c>
      <c r="B144" s="22" t="s">
        <v>2474</v>
      </c>
      <c r="C144" s="22" t="s">
        <v>2282</v>
      </c>
      <c r="D144" s="22" t="s">
        <v>2364</v>
      </c>
      <c r="E144" s="23">
        <v>3</v>
      </c>
      <c r="F144" s="23">
        <v>62</v>
      </c>
      <c r="G144" s="23">
        <v>186</v>
      </c>
      <c r="H144" s="22" t="s">
        <v>300</v>
      </c>
      <c r="I144" s="22" t="s">
        <v>2344</v>
      </c>
    </row>
    <row r="145" spans="1:9" x14ac:dyDescent="0.35">
      <c r="A145" s="22" t="s">
        <v>301</v>
      </c>
      <c r="B145" s="22" t="s">
        <v>2475</v>
      </c>
      <c r="C145" s="22" t="s">
        <v>19</v>
      </c>
      <c r="D145" s="22" t="s">
        <v>24</v>
      </c>
      <c r="E145" s="23">
        <v>5</v>
      </c>
      <c r="F145" s="23">
        <v>251.46</v>
      </c>
      <c r="G145" s="23">
        <v>1257.3</v>
      </c>
      <c r="H145" s="22" t="s">
        <v>302</v>
      </c>
      <c r="I145" s="22" t="s">
        <v>50</v>
      </c>
    </row>
    <row r="146" spans="1:9" x14ac:dyDescent="0.35">
      <c r="A146" s="22" t="s">
        <v>303</v>
      </c>
      <c r="B146" s="22" t="s">
        <v>2476</v>
      </c>
      <c r="C146" s="22" t="s">
        <v>2346</v>
      </c>
      <c r="D146" s="22" t="s">
        <v>24</v>
      </c>
      <c r="E146" s="23">
        <v>3</v>
      </c>
      <c r="F146" s="23">
        <v>88.75</v>
      </c>
      <c r="G146" s="23">
        <v>266.25</v>
      </c>
      <c r="H146" s="22" t="s">
        <v>304</v>
      </c>
      <c r="I146" s="22" t="s">
        <v>2356</v>
      </c>
    </row>
    <row r="147" spans="1:9" x14ac:dyDescent="0.35">
      <c r="A147" s="22" t="s">
        <v>305</v>
      </c>
      <c r="B147" s="22" t="s">
        <v>2371</v>
      </c>
      <c r="C147" s="22" t="s">
        <v>2349</v>
      </c>
      <c r="D147" s="22" t="s">
        <v>2364</v>
      </c>
      <c r="E147" s="23">
        <v>4</v>
      </c>
      <c r="F147" s="23">
        <v>489.35</v>
      </c>
      <c r="G147" s="23">
        <v>1957.4</v>
      </c>
      <c r="H147" s="22" t="s">
        <v>306</v>
      </c>
      <c r="I147" s="22" t="s">
        <v>2356</v>
      </c>
    </row>
    <row r="148" spans="1:9" x14ac:dyDescent="0.35">
      <c r="A148" s="22" t="s">
        <v>307</v>
      </c>
      <c r="B148" s="22" t="s">
        <v>2477</v>
      </c>
      <c r="C148" s="22" t="s">
        <v>19</v>
      </c>
      <c r="D148" s="22" t="s">
        <v>12</v>
      </c>
      <c r="E148" s="23">
        <v>5</v>
      </c>
      <c r="F148" s="23">
        <v>87.67</v>
      </c>
      <c r="G148" s="23">
        <v>438.35</v>
      </c>
      <c r="H148" s="22" t="s">
        <v>308</v>
      </c>
      <c r="I148" s="22" t="s">
        <v>14</v>
      </c>
    </row>
    <row r="149" spans="1:9" x14ac:dyDescent="0.35">
      <c r="A149" s="22" t="s">
        <v>309</v>
      </c>
      <c r="B149" s="22" t="s">
        <v>2478</v>
      </c>
      <c r="C149" s="22"/>
      <c r="D149" s="22" t="s">
        <v>12</v>
      </c>
      <c r="E149" s="23">
        <v>6</v>
      </c>
      <c r="F149" s="23">
        <v>248.86</v>
      </c>
      <c r="G149" s="23">
        <v>1493.16</v>
      </c>
      <c r="H149" s="22" t="s">
        <v>310</v>
      </c>
      <c r="I149" s="22" t="s">
        <v>2378</v>
      </c>
    </row>
    <row r="150" spans="1:9" x14ac:dyDescent="0.35">
      <c r="A150" s="22" t="s">
        <v>311</v>
      </c>
      <c r="B150" s="22"/>
      <c r="C150" s="22" t="s">
        <v>16</v>
      </c>
      <c r="D150" s="22" t="s">
        <v>2364</v>
      </c>
      <c r="E150" s="23">
        <v>3</v>
      </c>
      <c r="F150" s="23">
        <v>188.42</v>
      </c>
      <c r="G150" s="23">
        <v>565.26</v>
      </c>
      <c r="H150" s="22" t="s">
        <v>312</v>
      </c>
      <c r="I150" s="22" t="s">
        <v>2356</v>
      </c>
    </row>
    <row r="151" spans="1:9" x14ac:dyDescent="0.35">
      <c r="A151" s="22" t="s">
        <v>313</v>
      </c>
      <c r="B151" s="22" t="s">
        <v>2479</v>
      </c>
      <c r="C151" s="22" t="s">
        <v>2349</v>
      </c>
      <c r="D151" s="22" t="s">
        <v>32</v>
      </c>
      <c r="E151" s="23"/>
      <c r="F151" s="23">
        <v>323.3</v>
      </c>
      <c r="G151" s="23">
        <v>1437.15</v>
      </c>
      <c r="H151" s="22" t="s">
        <v>314</v>
      </c>
      <c r="I151" s="22" t="s">
        <v>2298</v>
      </c>
    </row>
    <row r="152" spans="1:9" x14ac:dyDescent="0.35">
      <c r="A152" s="22" t="s">
        <v>315</v>
      </c>
      <c r="B152" s="22" t="s">
        <v>2480</v>
      </c>
      <c r="C152" s="22" t="s">
        <v>11</v>
      </c>
      <c r="D152" s="22" t="s">
        <v>2364</v>
      </c>
      <c r="E152" s="23">
        <v>4</v>
      </c>
      <c r="F152" s="23">
        <v>73.23</v>
      </c>
      <c r="G152" s="23">
        <v>292.92</v>
      </c>
      <c r="H152" s="22" t="s">
        <v>316</v>
      </c>
      <c r="I152" s="22" t="s">
        <v>26</v>
      </c>
    </row>
    <row r="153" spans="1:9" x14ac:dyDescent="0.35">
      <c r="A153" s="22" t="s">
        <v>317</v>
      </c>
      <c r="B153" s="22" t="s">
        <v>2481</v>
      </c>
      <c r="C153" s="22" t="s">
        <v>11</v>
      </c>
      <c r="D153" s="22" t="s">
        <v>2350</v>
      </c>
      <c r="E153" s="23">
        <v>5</v>
      </c>
      <c r="F153" s="23">
        <v>220.86</v>
      </c>
      <c r="G153" s="23">
        <v>1104.3</v>
      </c>
      <c r="H153" s="22" t="s">
        <v>318</v>
      </c>
      <c r="I153" s="22" t="s">
        <v>2378</v>
      </c>
    </row>
    <row r="154" spans="1:9" x14ac:dyDescent="0.35">
      <c r="A154" s="22" t="s">
        <v>319</v>
      </c>
      <c r="B154" s="22" t="s">
        <v>2482</v>
      </c>
      <c r="C154" s="22" t="s">
        <v>16</v>
      </c>
      <c r="D154" s="22" t="s">
        <v>32</v>
      </c>
      <c r="E154" s="23">
        <v>4</v>
      </c>
      <c r="F154" s="23">
        <v>144.61000000000001</v>
      </c>
      <c r="G154" s="23">
        <v>578.44000000000005</v>
      </c>
      <c r="H154" s="22" t="s">
        <v>320</v>
      </c>
      <c r="I154" s="22" t="s">
        <v>14</v>
      </c>
    </row>
    <row r="155" spans="1:9" x14ac:dyDescent="0.35">
      <c r="A155" s="22" t="s">
        <v>321</v>
      </c>
      <c r="B155" s="22" t="s">
        <v>2483</v>
      </c>
      <c r="C155" s="22" t="s">
        <v>11</v>
      </c>
      <c r="D155" s="22" t="s">
        <v>2343</v>
      </c>
      <c r="E155" s="23">
        <v>2</v>
      </c>
      <c r="F155" s="23">
        <v>445</v>
      </c>
      <c r="G155" s="23">
        <v>890</v>
      </c>
      <c r="H155" s="22"/>
      <c r="I155" s="22" t="s">
        <v>2340</v>
      </c>
    </row>
    <row r="156" spans="1:9" x14ac:dyDescent="0.35">
      <c r="A156" s="22" t="s">
        <v>176</v>
      </c>
      <c r="B156" s="22" t="s">
        <v>2484</v>
      </c>
      <c r="C156" s="22" t="s">
        <v>16</v>
      </c>
      <c r="D156" s="22" t="s">
        <v>46</v>
      </c>
      <c r="E156" s="23">
        <v>6</v>
      </c>
      <c r="F156" s="23">
        <v>29.89</v>
      </c>
      <c r="G156" s="23">
        <v>642.30999999999995</v>
      </c>
      <c r="H156" s="22" t="s">
        <v>2485</v>
      </c>
      <c r="I156" s="22" t="s">
        <v>14</v>
      </c>
    </row>
    <row r="157" spans="1:9" x14ac:dyDescent="0.35">
      <c r="A157" s="22" t="s">
        <v>322</v>
      </c>
      <c r="B157" s="22"/>
      <c r="C157" s="22" t="s">
        <v>2358</v>
      </c>
      <c r="D157" s="22" t="s">
        <v>2350</v>
      </c>
      <c r="E157" s="23">
        <v>6</v>
      </c>
      <c r="F157" s="23">
        <v>457.73</v>
      </c>
      <c r="G157" s="23">
        <v>2746.38</v>
      </c>
      <c r="H157" s="22"/>
      <c r="I157" s="22" t="s">
        <v>50</v>
      </c>
    </row>
    <row r="158" spans="1:9" x14ac:dyDescent="0.35">
      <c r="A158" s="22" t="s">
        <v>323</v>
      </c>
      <c r="B158" s="22" t="s">
        <v>2486</v>
      </c>
      <c r="C158" s="22" t="s">
        <v>16</v>
      </c>
      <c r="D158" s="22" t="s">
        <v>24</v>
      </c>
      <c r="E158" s="23">
        <v>8</v>
      </c>
      <c r="F158" s="23">
        <v>418.17</v>
      </c>
      <c r="G158" s="23">
        <v>3345.36</v>
      </c>
      <c r="H158" s="22" t="s">
        <v>324</v>
      </c>
      <c r="I158" s="22" t="s">
        <v>26</v>
      </c>
    </row>
    <row r="159" spans="1:9" x14ac:dyDescent="0.35">
      <c r="A159" s="22" t="s">
        <v>325</v>
      </c>
      <c r="B159" s="22" t="s">
        <v>2487</v>
      </c>
      <c r="C159" s="22" t="s">
        <v>23</v>
      </c>
      <c r="D159" s="22" t="s">
        <v>2343</v>
      </c>
      <c r="E159" s="23">
        <v>1</v>
      </c>
      <c r="F159" s="23">
        <v>155.81</v>
      </c>
      <c r="G159" s="23">
        <v>155.81</v>
      </c>
      <c r="H159" s="22" t="s">
        <v>326</v>
      </c>
      <c r="I159" s="22"/>
    </row>
    <row r="160" spans="1:9" x14ac:dyDescent="0.35">
      <c r="A160" s="22" t="s">
        <v>327</v>
      </c>
      <c r="B160" s="22" t="s">
        <v>2440</v>
      </c>
      <c r="C160" s="22" t="s">
        <v>11</v>
      </c>
      <c r="D160" s="22" t="s">
        <v>2364</v>
      </c>
      <c r="E160" s="23">
        <v>6</v>
      </c>
      <c r="F160" s="23">
        <v>396.75</v>
      </c>
      <c r="G160" s="23">
        <v>2380.5</v>
      </c>
      <c r="H160" s="22" t="s">
        <v>328</v>
      </c>
      <c r="I160" s="22" t="s">
        <v>50</v>
      </c>
    </row>
    <row r="161" spans="1:9" x14ac:dyDescent="0.35">
      <c r="A161" s="22" t="s">
        <v>329</v>
      </c>
      <c r="B161" s="22" t="s">
        <v>2488</v>
      </c>
      <c r="C161" s="22" t="s">
        <v>2282</v>
      </c>
      <c r="D161" s="22" t="s">
        <v>24</v>
      </c>
      <c r="E161" s="23">
        <v>2</v>
      </c>
      <c r="F161" s="23">
        <v>25.29</v>
      </c>
      <c r="G161" s="23">
        <v>50.58</v>
      </c>
      <c r="H161" s="22" t="s">
        <v>330</v>
      </c>
      <c r="I161" s="22" t="s">
        <v>2356</v>
      </c>
    </row>
    <row r="162" spans="1:9" x14ac:dyDescent="0.35">
      <c r="A162" s="22" t="s">
        <v>331</v>
      </c>
      <c r="B162" s="22" t="s">
        <v>2489</v>
      </c>
      <c r="C162" s="22" t="s">
        <v>23</v>
      </c>
      <c r="D162" s="22" t="s">
        <v>12</v>
      </c>
      <c r="E162" s="23">
        <v>5</v>
      </c>
      <c r="F162" s="23" t="s">
        <v>332</v>
      </c>
      <c r="G162" s="23">
        <v>2418.8000000000002</v>
      </c>
      <c r="H162" s="22" t="s">
        <v>333</v>
      </c>
      <c r="I162" s="22" t="s">
        <v>26</v>
      </c>
    </row>
    <row r="163" spans="1:9" x14ac:dyDescent="0.35">
      <c r="A163" s="22" t="s">
        <v>27</v>
      </c>
      <c r="B163" s="22" t="s">
        <v>2490</v>
      </c>
      <c r="C163" s="22" t="s">
        <v>2358</v>
      </c>
      <c r="D163" s="22" t="s">
        <v>2343</v>
      </c>
      <c r="E163" s="23">
        <v>2</v>
      </c>
      <c r="F163" s="23">
        <v>268.02999999999997</v>
      </c>
      <c r="G163" s="23">
        <v>536.05999999999995</v>
      </c>
      <c r="H163" s="22" t="s">
        <v>2491</v>
      </c>
      <c r="I163" s="22" t="s">
        <v>2340</v>
      </c>
    </row>
    <row r="164" spans="1:9" x14ac:dyDescent="0.35">
      <c r="A164" s="22" t="s">
        <v>334</v>
      </c>
      <c r="B164" s="22" t="s">
        <v>2492</v>
      </c>
      <c r="C164" s="22" t="s">
        <v>19</v>
      </c>
      <c r="D164" s="22" t="s">
        <v>2350</v>
      </c>
      <c r="E164" s="23">
        <v>6</v>
      </c>
      <c r="F164" s="23">
        <v>158.61000000000001</v>
      </c>
      <c r="G164" s="23">
        <v>1296.1099999999999</v>
      </c>
      <c r="H164" s="22" t="s">
        <v>335</v>
      </c>
      <c r="I164" s="22" t="s">
        <v>2356</v>
      </c>
    </row>
    <row r="165" spans="1:9" x14ac:dyDescent="0.35">
      <c r="A165" s="22" t="s">
        <v>336</v>
      </c>
      <c r="B165" s="22" t="s">
        <v>2493</v>
      </c>
      <c r="C165" s="22" t="s">
        <v>2346</v>
      </c>
      <c r="D165" s="22" t="s">
        <v>2364</v>
      </c>
      <c r="E165" s="23">
        <v>4</v>
      </c>
      <c r="F165" s="23" t="s">
        <v>332</v>
      </c>
      <c r="G165" s="23">
        <v>750.68</v>
      </c>
      <c r="H165" s="22" t="s">
        <v>337</v>
      </c>
      <c r="I165" s="22" t="s">
        <v>2344</v>
      </c>
    </row>
    <row r="166" spans="1:9" x14ac:dyDescent="0.35">
      <c r="A166" s="22" t="s">
        <v>338</v>
      </c>
      <c r="B166" s="22" t="s">
        <v>2397</v>
      </c>
      <c r="C166" s="22" t="s">
        <v>2342</v>
      </c>
      <c r="D166" s="22" t="s">
        <v>2347</v>
      </c>
      <c r="E166" s="23">
        <v>3</v>
      </c>
      <c r="F166" s="23">
        <v>42.54</v>
      </c>
      <c r="G166" s="23">
        <v>127.62</v>
      </c>
      <c r="H166" s="22" t="s">
        <v>339</v>
      </c>
      <c r="I166" s="22" t="s">
        <v>2340</v>
      </c>
    </row>
    <row r="167" spans="1:9" x14ac:dyDescent="0.35">
      <c r="A167" s="22" t="s">
        <v>340</v>
      </c>
      <c r="B167" s="22" t="s">
        <v>2494</v>
      </c>
      <c r="C167" s="22" t="s">
        <v>16</v>
      </c>
      <c r="D167" s="22" t="s">
        <v>2364</v>
      </c>
      <c r="E167" s="23">
        <v>5</v>
      </c>
      <c r="F167" s="23">
        <v>494.78</v>
      </c>
      <c r="G167" s="23">
        <v>2473.9</v>
      </c>
      <c r="H167" s="22" t="s">
        <v>341</v>
      </c>
      <c r="I167" s="22" t="s">
        <v>50</v>
      </c>
    </row>
    <row r="168" spans="1:9" x14ac:dyDescent="0.35">
      <c r="A168" s="22" t="s">
        <v>342</v>
      </c>
      <c r="B168" s="22" t="s">
        <v>2495</v>
      </c>
      <c r="C168" s="22" t="s">
        <v>11</v>
      </c>
      <c r="D168" s="22" t="s">
        <v>12</v>
      </c>
      <c r="E168" s="23">
        <v>6</v>
      </c>
      <c r="F168" s="23">
        <v>29.25</v>
      </c>
      <c r="G168" s="23">
        <v>175.5</v>
      </c>
      <c r="H168" s="22" t="s">
        <v>343</v>
      </c>
      <c r="I168" s="22" t="s">
        <v>2378</v>
      </c>
    </row>
    <row r="169" spans="1:9" x14ac:dyDescent="0.35">
      <c r="A169" s="22" t="s">
        <v>344</v>
      </c>
      <c r="B169" s="22" t="s">
        <v>2496</v>
      </c>
      <c r="C169" s="22" t="s">
        <v>23</v>
      </c>
      <c r="D169" s="22" t="s">
        <v>24</v>
      </c>
      <c r="E169" s="23">
        <v>3</v>
      </c>
      <c r="F169" s="23">
        <v>330.9</v>
      </c>
      <c r="G169" s="23">
        <v>992.7</v>
      </c>
      <c r="H169" s="22" t="s">
        <v>345</v>
      </c>
      <c r="I169" s="22" t="s">
        <v>2344</v>
      </c>
    </row>
    <row r="170" spans="1:9" x14ac:dyDescent="0.35">
      <c r="A170" s="22" t="s">
        <v>346</v>
      </c>
      <c r="B170" s="22" t="s">
        <v>2497</v>
      </c>
      <c r="C170" s="22" t="s">
        <v>2358</v>
      </c>
      <c r="D170" s="22" t="s">
        <v>24</v>
      </c>
      <c r="E170" s="23">
        <v>4</v>
      </c>
      <c r="F170" s="23">
        <v>226.94</v>
      </c>
      <c r="G170" s="23">
        <v>907.76</v>
      </c>
      <c r="H170" s="22" t="s">
        <v>347</v>
      </c>
      <c r="I170" s="22" t="s">
        <v>2344</v>
      </c>
    </row>
    <row r="171" spans="1:9" x14ac:dyDescent="0.35">
      <c r="A171" s="22" t="s">
        <v>348</v>
      </c>
      <c r="B171" s="22" t="s">
        <v>2397</v>
      </c>
      <c r="C171" s="22"/>
      <c r="D171" s="22" t="s">
        <v>46</v>
      </c>
      <c r="E171" s="23">
        <v>8</v>
      </c>
      <c r="F171" s="23">
        <v>474.97</v>
      </c>
      <c r="G171" s="23">
        <v>3799.76</v>
      </c>
      <c r="H171" s="22" t="s">
        <v>49</v>
      </c>
      <c r="I171" s="22" t="s">
        <v>26</v>
      </c>
    </row>
    <row r="172" spans="1:9" x14ac:dyDescent="0.35">
      <c r="A172" s="22" t="s">
        <v>349</v>
      </c>
      <c r="B172" s="22" t="s">
        <v>2498</v>
      </c>
      <c r="C172" s="22" t="s">
        <v>2358</v>
      </c>
      <c r="D172" s="22" t="s">
        <v>2343</v>
      </c>
      <c r="E172" s="23">
        <v>4</v>
      </c>
      <c r="F172" s="23">
        <v>130.54</v>
      </c>
      <c r="G172" s="23">
        <v>522.16</v>
      </c>
      <c r="H172" s="22" t="s">
        <v>350</v>
      </c>
      <c r="I172" s="22" t="s">
        <v>2298</v>
      </c>
    </row>
    <row r="173" spans="1:9" x14ac:dyDescent="0.35">
      <c r="A173" s="22" t="s">
        <v>351</v>
      </c>
      <c r="B173" s="22" t="s">
        <v>2499</v>
      </c>
      <c r="C173" s="22" t="s">
        <v>2349</v>
      </c>
      <c r="D173" s="22" t="s">
        <v>2347</v>
      </c>
      <c r="E173" s="23">
        <v>10</v>
      </c>
      <c r="F173" s="23">
        <v>270.72000000000003</v>
      </c>
      <c r="G173" s="23">
        <v>2707.2</v>
      </c>
      <c r="H173" s="22" t="s">
        <v>352</v>
      </c>
      <c r="I173" s="22"/>
    </row>
    <row r="174" spans="1:9" x14ac:dyDescent="0.35">
      <c r="A174" s="22" t="s">
        <v>353</v>
      </c>
      <c r="B174" s="22" t="s">
        <v>2500</v>
      </c>
      <c r="C174" s="22" t="s">
        <v>2358</v>
      </c>
      <c r="D174" s="22" t="s">
        <v>12</v>
      </c>
      <c r="E174" s="23">
        <v>4</v>
      </c>
      <c r="F174" s="23">
        <v>246.35</v>
      </c>
      <c r="G174" s="23">
        <v>985.4</v>
      </c>
      <c r="H174" s="22" t="s">
        <v>354</v>
      </c>
      <c r="I174" s="22" t="s">
        <v>2340</v>
      </c>
    </row>
    <row r="175" spans="1:9" x14ac:dyDescent="0.35">
      <c r="A175" s="22" t="s">
        <v>355</v>
      </c>
      <c r="B175" s="22" t="s">
        <v>2501</v>
      </c>
      <c r="C175" s="22"/>
      <c r="D175" s="22" t="s">
        <v>12</v>
      </c>
      <c r="E175" s="23">
        <v>5</v>
      </c>
      <c r="F175" s="23">
        <v>354.4</v>
      </c>
      <c r="G175" s="23">
        <v>1772</v>
      </c>
      <c r="H175" s="22" t="s">
        <v>356</v>
      </c>
      <c r="I175" s="22" t="s">
        <v>2356</v>
      </c>
    </row>
    <row r="176" spans="1:9" x14ac:dyDescent="0.35">
      <c r="A176" s="22" t="s">
        <v>357</v>
      </c>
      <c r="B176" s="22" t="s">
        <v>2502</v>
      </c>
      <c r="C176" s="22" t="s">
        <v>19</v>
      </c>
      <c r="D176" s="22" t="s">
        <v>32</v>
      </c>
      <c r="E176" s="23">
        <v>10</v>
      </c>
      <c r="F176" s="23">
        <v>43.33</v>
      </c>
      <c r="G176" s="23">
        <v>433.3</v>
      </c>
      <c r="H176" s="22" t="s">
        <v>49</v>
      </c>
      <c r="I176" s="22" t="s">
        <v>2298</v>
      </c>
    </row>
    <row r="177" spans="1:9" x14ac:dyDescent="0.35">
      <c r="A177" s="22" t="s">
        <v>358</v>
      </c>
      <c r="B177" s="22" t="s">
        <v>2503</v>
      </c>
      <c r="C177" s="22" t="s">
        <v>23</v>
      </c>
      <c r="D177" s="22" t="s">
        <v>2350</v>
      </c>
      <c r="E177" s="23">
        <v>3</v>
      </c>
      <c r="F177" s="23">
        <v>104.96</v>
      </c>
      <c r="G177" s="23">
        <v>408.84</v>
      </c>
      <c r="H177" s="22" t="s">
        <v>359</v>
      </c>
      <c r="I177" s="22" t="s">
        <v>50</v>
      </c>
    </row>
    <row r="178" spans="1:9" x14ac:dyDescent="0.35">
      <c r="A178" s="22" t="s">
        <v>360</v>
      </c>
      <c r="B178" s="22" t="s">
        <v>2504</v>
      </c>
      <c r="C178" s="22" t="s">
        <v>23</v>
      </c>
      <c r="D178" s="22" t="s">
        <v>32</v>
      </c>
      <c r="E178" s="23">
        <v>4</v>
      </c>
      <c r="F178" s="23">
        <v>115.14</v>
      </c>
      <c r="G178" s="23">
        <v>460.56</v>
      </c>
      <c r="H178" s="22" t="s">
        <v>49</v>
      </c>
      <c r="I178" s="22"/>
    </row>
    <row r="179" spans="1:9" x14ac:dyDescent="0.35">
      <c r="A179" s="22" t="s">
        <v>361</v>
      </c>
      <c r="B179" s="22" t="s">
        <v>2413</v>
      </c>
      <c r="C179" s="22" t="s">
        <v>2349</v>
      </c>
      <c r="D179" s="22" t="s">
        <v>46</v>
      </c>
      <c r="E179" s="23">
        <v>7</v>
      </c>
      <c r="F179" s="23">
        <v>371.69</v>
      </c>
      <c r="G179" s="23">
        <v>2601.83</v>
      </c>
      <c r="H179" s="22" t="s">
        <v>362</v>
      </c>
      <c r="I179" s="22" t="s">
        <v>26</v>
      </c>
    </row>
    <row r="180" spans="1:9" x14ac:dyDescent="0.35">
      <c r="A180" s="22" t="s">
        <v>363</v>
      </c>
      <c r="B180" s="22" t="s">
        <v>2505</v>
      </c>
      <c r="C180" s="22" t="s">
        <v>2282</v>
      </c>
      <c r="D180" s="22" t="s">
        <v>32</v>
      </c>
      <c r="E180" s="23">
        <v>5</v>
      </c>
      <c r="F180" s="23"/>
      <c r="G180" s="23">
        <v>513.4</v>
      </c>
      <c r="H180" s="22" t="s">
        <v>364</v>
      </c>
      <c r="I180" s="22"/>
    </row>
    <row r="181" spans="1:9" x14ac:dyDescent="0.35">
      <c r="A181" s="22" t="s">
        <v>365</v>
      </c>
      <c r="B181" s="22" t="s">
        <v>2506</v>
      </c>
      <c r="C181" s="22" t="s">
        <v>2342</v>
      </c>
      <c r="D181" s="22" t="s">
        <v>2364</v>
      </c>
      <c r="E181" s="23">
        <v>10</v>
      </c>
      <c r="F181" s="23">
        <v>291.01</v>
      </c>
      <c r="G181" s="23">
        <v>2910.1</v>
      </c>
      <c r="H181" s="22" t="s">
        <v>366</v>
      </c>
      <c r="I181" s="22"/>
    </row>
    <row r="182" spans="1:9" x14ac:dyDescent="0.35">
      <c r="A182" s="22" t="s">
        <v>367</v>
      </c>
      <c r="B182" s="22" t="s">
        <v>2507</v>
      </c>
      <c r="C182" s="22" t="s">
        <v>2282</v>
      </c>
      <c r="D182" s="22" t="s">
        <v>12</v>
      </c>
      <c r="E182" s="23">
        <v>4</v>
      </c>
      <c r="F182" s="23">
        <v>115.47</v>
      </c>
      <c r="G182" s="23">
        <v>461.88</v>
      </c>
      <c r="H182" s="22" t="s">
        <v>368</v>
      </c>
      <c r="I182" s="22" t="s">
        <v>26</v>
      </c>
    </row>
    <row r="183" spans="1:9" x14ac:dyDescent="0.35">
      <c r="A183" s="22" t="s">
        <v>369</v>
      </c>
      <c r="B183" s="22" t="s">
        <v>2371</v>
      </c>
      <c r="C183" s="22" t="s">
        <v>16</v>
      </c>
      <c r="D183" s="22" t="s">
        <v>12</v>
      </c>
      <c r="E183" s="23">
        <v>-4</v>
      </c>
      <c r="F183" s="23">
        <v>432.2</v>
      </c>
      <c r="G183" s="23">
        <v>955.77</v>
      </c>
      <c r="H183" s="22" t="s">
        <v>370</v>
      </c>
      <c r="I183" s="22" t="s">
        <v>14</v>
      </c>
    </row>
    <row r="184" spans="1:9" x14ac:dyDescent="0.35">
      <c r="A184" s="22" t="s">
        <v>371</v>
      </c>
      <c r="B184" s="22" t="s">
        <v>2508</v>
      </c>
      <c r="C184" s="22" t="s">
        <v>2346</v>
      </c>
      <c r="D184" s="22" t="s">
        <v>2350</v>
      </c>
      <c r="E184" s="23">
        <v>3</v>
      </c>
      <c r="F184" s="23">
        <v>471.67</v>
      </c>
      <c r="G184" s="23">
        <v>1415.01</v>
      </c>
      <c r="H184" s="22" t="s">
        <v>372</v>
      </c>
      <c r="I184" s="22" t="s">
        <v>2344</v>
      </c>
    </row>
    <row r="185" spans="1:9" x14ac:dyDescent="0.35">
      <c r="A185" s="22" t="s">
        <v>373</v>
      </c>
      <c r="B185" s="22"/>
      <c r="C185" s="22" t="s">
        <v>16</v>
      </c>
      <c r="D185" s="22" t="s">
        <v>2364</v>
      </c>
      <c r="E185" s="23">
        <v>5</v>
      </c>
      <c r="F185" s="23">
        <v>264.06</v>
      </c>
      <c r="G185" s="23"/>
      <c r="H185" s="22" t="s">
        <v>374</v>
      </c>
      <c r="I185" s="22" t="s">
        <v>2340</v>
      </c>
    </row>
    <row r="186" spans="1:9" x14ac:dyDescent="0.35">
      <c r="A186" s="22" t="s">
        <v>375</v>
      </c>
      <c r="B186" s="22" t="s">
        <v>2509</v>
      </c>
      <c r="C186" s="22" t="s">
        <v>2349</v>
      </c>
      <c r="D186" s="22" t="s">
        <v>2343</v>
      </c>
      <c r="E186" s="23">
        <v>8</v>
      </c>
      <c r="F186" s="23">
        <v>-93.03</v>
      </c>
      <c r="G186" s="23">
        <v>1461.04</v>
      </c>
      <c r="H186" s="22"/>
      <c r="I186" s="22" t="s">
        <v>50</v>
      </c>
    </row>
    <row r="187" spans="1:9" x14ac:dyDescent="0.35">
      <c r="A187" s="22" t="s">
        <v>376</v>
      </c>
      <c r="B187" s="22" t="s">
        <v>2359</v>
      </c>
      <c r="C187" s="22"/>
      <c r="D187" s="22" t="s">
        <v>46</v>
      </c>
      <c r="E187" s="23">
        <v>4</v>
      </c>
      <c r="F187" s="23">
        <v>124.69</v>
      </c>
      <c r="G187" s="23">
        <v>498.76</v>
      </c>
      <c r="H187" s="22" t="s">
        <v>377</v>
      </c>
      <c r="I187" s="22" t="s">
        <v>50</v>
      </c>
    </row>
    <row r="188" spans="1:9" x14ac:dyDescent="0.35">
      <c r="A188" s="22" t="s">
        <v>378</v>
      </c>
      <c r="B188" s="22" t="s">
        <v>2510</v>
      </c>
      <c r="C188" s="22" t="s">
        <v>11</v>
      </c>
      <c r="D188" s="22" t="s">
        <v>2343</v>
      </c>
      <c r="E188" s="23">
        <v>3</v>
      </c>
      <c r="F188" s="23">
        <v>34.39</v>
      </c>
      <c r="G188" s="23">
        <v>103.17</v>
      </c>
      <c r="H188" s="22" t="s">
        <v>379</v>
      </c>
      <c r="I188" s="22" t="s">
        <v>2356</v>
      </c>
    </row>
    <row r="189" spans="1:9" x14ac:dyDescent="0.35">
      <c r="A189" s="22" t="s">
        <v>380</v>
      </c>
      <c r="B189" s="22" t="s">
        <v>2511</v>
      </c>
      <c r="C189" s="22" t="s">
        <v>11</v>
      </c>
      <c r="D189" s="22" t="s">
        <v>12</v>
      </c>
      <c r="E189" s="23">
        <v>8</v>
      </c>
      <c r="F189" s="23">
        <v>141.57</v>
      </c>
      <c r="G189" s="23">
        <v>1132.56</v>
      </c>
      <c r="H189" s="22" t="s">
        <v>381</v>
      </c>
      <c r="I189" s="22" t="s">
        <v>2298</v>
      </c>
    </row>
    <row r="190" spans="1:9" x14ac:dyDescent="0.35">
      <c r="A190" s="22" t="s">
        <v>382</v>
      </c>
      <c r="B190" s="22" t="s">
        <v>2512</v>
      </c>
      <c r="C190" s="22" t="s">
        <v>11</v>
      </c>
      <c r="D190" s="22" t="s">
        <v>12</v>
      </c>
      <c r="E190" s="23">
        <v>6</v>
      </c>
      <c r="F190" s="23">
        <v>330.58</v>
      </c>
      <c r="G190" s="23">
        <v>1983.48</v>
      </c>
      <c r="H190" s="22" t="s">
        <v>383</v>
      </c>
      <c r="I190" s="22" t="s">
        <v>2344</v>
      </c>
    </row>
    <row r="191" spans="1:9" x14ac:dyDescent="0.35">
      <c r="A191" s="22" t="s">
        <v>384</v>
      </c>
      <c r="B191" s="22" t="s">
        <v>2513</v>
      </c>
      <c r="C191" s="22" t="s">
        <v>11</v>
      </c>
      <c r="D191" s="22" t="s">
        <v>2343</v>
      </c>
      <c r="E191" s="23">
        <v>8</v>
      </c>
      <c r="F191" s="23">
        <v>271.47000000000003</v>
      </c>
      <c r="G191" s="23"/>
      <c r="H191" s="22" t="s">
        <v>385</v>
      </c>
      <c r="I191" s="22" t="s">
        <v>50</v>
      </c>
    </row>
    <row r="192" spans="1:9" x14ac:dyDescent="0.35">
      <c r="A192" s="22" t="s">
        <v>386</v>
      </c>
      <c r="B192" s="22" t="s">
        <v>2514</v>
      </c>
      <c r="C192" s="22" t="s">
        <v>2282</v>
      </c>
      <c r="D192" s="22" t="s">
        <v>32</v>
      </c>
      <c r="E192" s="23" t="s">
        <v>2351</v>
      </c>
      <c r="F192" s="23">
        <v>472.58</v>
      </c>
      <c r="G192" s="23">
        <v>1417.74</v>
      </c>
      <c r="H192" s="22" t="s">
        <v>387</v>
      </c>
      <c r="I192" s="22" t="s">
        <v>2356</v>
      </c>
    </row>
    <row r="193" spans="1:9" x14ac:dyDescent="0.35">
      <c r="A193" s="22" t="s">
        <v>388</v>
      </c>
      <c r="B193" s="22" t="s">
        <v>2515</v>
      </c>
      <c r="C193" s="22" t="s">
        <v>2346</v>
      </c>
      <c r="D193" s="22" t="s">
        <v>2364</v>
      </c>
      <c r="E193" s="23">
        <v>3</v>
      </c>
      <c r="F193" s="23">
        <v>204.18</v>
      </c>
      <c r="G193" s="23">
        <v>612.54</v>
      </c>
      <c r="H193" s="22" t="s">
        <v>389</v>
      </c>
      <c r="I193" s="22" t="s">
        <v>2298</v>
      </c>
    </row>
    <row r="194" spans="1:9" x14ac:dyDescent="0.35">
      <c r="A194" s="22" t="s">
        <v>390</v>
      </c>
      <c r="B194" s="22" t="s">
        <v>2516</v>
      </c>
      <c r="C194" s="22" t="s">
        <v>19</v>
      </c>
      <c r="D194" s="22" t="s">
        <v>2350</v>
      </c>
      <c r="E194" s="23">
        <v>5</v>
      </c>
      <c r="F194" s="23">
        <v>349.99</v>
      </c>
      <c r="G194" s="23">
        <v>1749.95</v>
      </c>
      <c r="H194" s="22" t="s">
        <v>391</v>
      </c>
      <c r="I194" s="22" t="s">
        <v>2356</v>
      </c>
    </row>
    <row r="195" spans="1:9" x14ac:dyDescent="0.35">
      <c r="A195" s="22" t="s">
        <v>392</v>
      </c>
      <c r="B195" s="22" t="s">
        <v>2517</v>
      </c>
      <c r="C195" s="22" t="s">
        <v>16</v>
      </c>
      <c r="D195" s="22" t="s">
        <v>2350</v>
      </c>
      <c r="E195" s="23">
        <v>11</v>
      </c>
      <c r="F195" s="23">
        <v>249.77</v>
      </c>
      <c r="G195" s="23">
        <v>2747.47</v>
      </c>
      <c r="H195" s="22"/>
      <c r="I195" s="22" t="s">
        <v>50</v>
      </c>
    </row>
    <row r="196" spans="1:9" x14ac:dyDescent="0.35">
      <c r="A196" s="22" t="s">
        <v>393</v>
      </c>
      <c r="B196" s="22" t="s">
        <v>2518</v>
      </c>
      <c r="C196" s="22" t="s">
        <v>16</v>
      </c>
      <c r="D196" s="22" t="s">
        <v>46</v>
      </c>
      <c r="E196" s="23">
        <v>7</v>
      </c>
      <c r="F196" s="23">
        <v>261.16000000000003</v>
      </c>
      <c r="G196" s="23">
        <v>1828.12</v>
      </c>
      <c r="H196" s="22" t="s">
        <v>394</v>
      </c>
      <c r="I196" s="22" t="s">
        <v>50</v>
      </c>
    </row>
    <row r="197" spans="1:9" x14ac:dyDescent="0.35">
      <c r="A197" s="22" t="s">
        <v>395</v>
      </c>
      <c r="B197" s="22" t="s">
        <v>2519</v>
      </c>
      <c r="C197" s="22" t="s">
        <v>2358</v>
      </c>
      <c r="D197" s="22" t="s">
        <v>2347</v>
      </c>
      <c r="E197" s="23"/>
      <c r="F197" s="23">
        <v>141.21</v>
      </c>
      <c r="G197" s="23">
        <v>564.84</v>
      </c>
      <c r="H197" s="22" t="s">
        <v>84</v>
      </c>
      <c r="I197" s="22" t="s">
        <v>2298</v>
      </c>
    </row>
    <row r="198" spans="1:9" x14ac:dyDescent="0.35">
      <c r="A198" s="22" t="s">
        <v>396</v>
      </c>
      <c r="B198" s="22" t="s">
        <v>2520</v>
      </c>
      <c r="C198" s="22" t="s">
        <v>2349</v>
      </c>
      <c r="D198" s="22" t="s">
        <v>32</v>
      </c>
      <c r="E198" s="23">
        <v>3</v>
      </c>
      <c r="F198" s="23">
        <v>232.93</v>
      </c>
      <c r="G198" s="23">
        <v>698.79</v>
      </c>
      <c r="H198" s="22" t="s">
        <v>397</v>
      </c>
      <c r="I198" s="22" t="s">
        <v>26</v>
      </c>
    </row>
    <row r="199" spans="1:9" x14ac:dyDescent="0.35">
      <c r="A199" s="22" t="s">
        <v>398</v>
      </c>
      <c r="B199" s="22" t="s">
        <v>2501</v>
      </c>
      <c r="C199" s="22" t="s">
        <v>2349</v>
      </c>
      <c r="D199" s="22" t="s">
        <v>46</v>
      </c>
      <c r="E199" s="23">
        <v>8</v>
      </c>
      <c r="F199" s="23">
        <v>240.68</v>
      </c>
      <c r="G199" s="23">
        <v>1925.44</v>
      </c>
      <c r="H199" s="22" t="s">
        <v>399</v>
      </c>
      <c r="I199" s="22" t="s">
        <v>26</v>
      </c>
    </row>
    <row r="200" spans="1:9" x14ac:dyDescent="0.35">
      <c r="A200" s="22" t="s">
        <v>400</v>
      </c>
      <c r="B200" s="22" t="s">
        <v>2521</v>
      </c>
      <c r="C200" s="22"/>
      <c r="D200" s="22" t="s">
        <v>2343</v>
      </c>
      <c r="E200" s="23">
        <v>8</v>
      </c>
      <c r="F200" s="23">
        <v>356.25</v>
      </c>
      <c r="G200" s="23">
        <v>2850</v>
      </c>
      <c r="H200" s="22" t="s">
        <v>401</v>
      </c>
      <c r="I200" s="22" t="s">
        <v>14</v>
      </c>
    </row>
    <row r="201" spans="1:9" x14ac:dyDescent="0.35">
      <c r="A201" s="22" t="s">
        <v>402</v>
      </c>
      <c r="B201" s="22" t="s">
        <v>2372</v>
      </c>
      <c r="C201" s="22" t="s">
        <v>16</v>
      </c>
      <c r="D201" s="22" t="s">
        <v>2343</v>
      </c>
      <c r="E201" s="23">
        <v>3</v>
      </c>
      <c r="F201" s="23">
        <v>470.91</v>
      </c>
      <c r="G201" s="23">
        <v>1412.73</v>
      </c>
      <c r="H201" s="22" t="s">
        <v>403</v>
      </c>
      <c r="I201" s="22" t="s">
        <v>2344</v>
      </c>
    </row>
    <row r="202" spans="1:9" x14ac:dyDescent="0.35">
      <c r="A202" s="22" t="s">
        <v>404</v>
      </c>
      <c r="B202" s="22" t="s">
        <v>2522</v>
      </c>
      <c r="C202" s="22" t="s">
        <v>11</v>
      </c>
      <c r="D202" s="22" t="s">
        <v>46</v>
      </c>
      <c r="E202" s="23">
        <v>3</v>
      </c>
      <c r="F202" s="23">
        <v>171.37</v>
      </c>
      <c r="G202" s="23">
        <v>514.11</v>
      </c>
      <c r="H202" s="22" t="s">
        <v>405</v>
      </c>
      <c r="I202" s="22" t="s">
        <v>2340</v>
      </c>
    </row>
    <row r="203" spans="1:9" x14ac:dyDescent="0.35">
      <c r="A203" s="22" t="s">
        <v>406</v>
      </c>
      <c r="B203" s="22" t="s">
        <v>2523</v>
      </c>
      <c r="C203" s="22" t="s">
        <v>2282</v>
      </c>
      <c r="D203" s="22" t="s">
        <v>2350</v>
      </c>
      <c r="E203" s="23">
        <v>6</v>
      </c>
      <c r="F203" s="23">
        <v>30.68</v>
      </c>
      <c r="G203" s="23">
        <v>184.08</v>
      </c>
      <c r="H203" s="22" t="s">
        <v>407</v>
      </c>
      <c r="I203" s="22" t="s">
        <v>2378</v>
      </c>
    </row>
    <row r="204" spans="1:9" x14ac:dyDescent="0.35">
      <c r="A204" s="22" t="s">
        <v>408</v>
      </c>
      <c r="B204" s="22" t="s">
        <v>2524</v>
      </c>
      <c r="C204" s="22"/>
      <c r="D204" s="22" t="s">
        <v>2350</v>
      </c>
      <c r="E204" s="23">
        <v>2</v>
      </c>
      <c r="F204" s="23">
        <v>253.18</v>
      </c>
      <c r="G204" s="23">
        <v>506.36</v>
      </c>
      <c r="H204" s="22" t="s">
        <v>409</v>
      </c>
      <c r="I204" s="22" t="s">
        <v>2378</v>
      </c>
    </row>
    <row r="205" spans="1:9" x14ac:dyDescent="0.35">
      <c r="A205" s="22" t="s">
        <v>410</v>
      </c>
      <c r="B205" s="22" t="s">
        <v>2397</v>
      </c>
      <c r="C205" s="22" t="s">
        <v>2282</v>
      </c>
      <c r="D205" s="22" t="s">
        <v>2364</v>
      </c>
      <c r="E205" s="23">
        <v>7</v>
      </c>
      <c r="F205" s="23">
        <v>276.79000000000002</v>
      </c>
      <c r="G205" s="23"/>
      <c r="H205" s="22" t="s">
        <v>411</v>
      </c>
      <c r="I205" s="22" t="s">
        <v>2378</v>
      </c>
    </row>
    <row r="206" spans="1:9" x14ac:dyDescent="0.35">
      <c r="A206" s="22" t="s">
        <v>412</v>
      </c>
      <c r="B206" s="22" t="s">
        <v>2525</v>
      </c>
      <c r="C206" s="22" t="s">
        <v>2282</v>
      </c>
      <c r="D206" s="22" t="s">
        <v>24</v>
      </c>
      <c r="E206" s="23">
        <v>5</v>
      </c>
      <c r="F206" s="23">
        <v>92.54</v>
      </c>
      <c r="G206" s="23">
        <v>462.7</v>
      </c>
      <c r="H206" s="22" t="s">
        <v>413</v>
      </c>
      <c r="I206" s="22" t="s">
        <v>2356</v>
      </c>
    </row>
    <row r="207" spans="1:9" x14ac:dyDescent="0.35">
      <c r="A207" s="22" t="s">
        <v>414</v>
      </c>
      <c r="B207" s="22" t="s">
        <v>2483</v>
      </c>
      <c r="C207" s="22" t="s">
        <v>2346</v>
      </c>
      <c r="D207" s="22" t="s">
        <v>2350</v>
      </c>
      <c r="E207" s="23">
        <v>5</v>
      </c>
      <c r="F207" s="23">
        <v>-187.37</v>
      </c>
      <c r="G207" s="23">
        <v>1913.15</v>
      </c>
      <c r="H207" s="22" t="s">
        <v>415</v>
      </c>
      <c r="I207" s="22" t="s">
        <v>14</v>
      </c>
    </row>
    <row r="208" spans="1:9" x14ac:dyDescent="0.35">
      <c r="A208" s="22" t="s">
        <v>416</v>
      </c>
      <c r="B208" s="22" t="s">
        <v>2526</v>
      </c>
      <c r="C208" s="22" t="s">
        <v>2346</v>
      </c>
      <c r="D208" s="22" t="s">
        <v>2343</v>
      </c>
      <c r="E208" s="23">
        <v>6</v>
      </c>
      <c r="F208" s="23">
        <v>492.62</v>
      </c>
      <c r="G208" s="23">
        <v>2955.72</v>
      </c>
      <c r="H208" s="22" t="s">
        <v>417</v>
      </c>
      <c r="I208" s="22"/>
    </row>
    <row r="209" spans="1:9" x14ac:dyDescent="0.35">
      <c r="A209" s="22" t="s">
        <v>418</v>
      </c>
      <c r="B209" s="22" t="s">
        <v>2527</v>
      </c>
      <c r="C209" s="22" t="s">
        <v>23</v>
      </c>
      <c r="D209" s="22" t="s">
        <v>2364</v>
      </c>
      <c r="E209" s="23">
        <v>1</v>
      </c>
      <c r="F209" s="23">
        <v>473.43</v>
      </c>
      <c r="G209" s="23">
        <v>473.43</v>
      </c>
      <c r="H209" s="22" t="s">
        <v>419</v>
      </c>
      <c r="I209" s="22" t="s">
        <v>14</v>
      </c>
    </row>
    <row r="210" spans="1:9" x14ac:dyDescent="0.35">
      <c r="A210" s="22" t="s">
        <v>420</v>
      </c>
      <c r="B210" s="22" t="s">
        <v>2528</v>
      </c>
      <c r="C210" s="22" t="s">
        <v>2358</v>
      </c>
      <c r="D210" s="22" t="s">
        <v>2350</v>
      </c>
      <c r="E210" s="23">
        <v>10</v>
      </c>
      <c r="F210" s="23" t="s">
        <v>332</v>
      </c>
      <c r="G210" s="23">
        <v>1465.5</v>
      </c>
      <c r="H210" s="22" t="s">
        <v>421</v>
      </c>
      <c r="I210" s="22"/>
    </row>
    <row r="211" spans="1:9" x14ac:dyDescent="0.35">
      <c r="A211" s="22" t="s">
        <v>422</v>
      </c>
      <c r="B211" s="22" t="s">
        <v>2529</v>
      </c>
      <c r="C211" s="22" t="s">
        <v>2282</v>
      </c>
      <c r="D211" s="22" t="s">
        <v>12</v>
      </c>
      <c r="E211" s="23">
        <v>2</v>
      </c>
      <c r="F211" s="23">
        <v>438.93</v>
      </c>
      <c r="G211" s="23">
        <v>877.86</v>
      </c>
      <c r="H211" s="22" t="s">
        <v>423</v>
      </c>
      <c r="I211" s="22" t="s">
        <v>50</v>
      </c>
    </row>
    <row r="212" spans="1:9" x14ac:dyDescent="0.35">
      <c r="A212" s="22" t="s">
        <v>424</v>
      </c>
      <c r="B212" s="22" t="s">
        <v>2530</v>
      </c>
      <c r="C212" s="22" t="s">
        <v>11</v>
      </c>
      <c r="D212" s="22" t="s">
        <v>2364</v>
      </c>
      <c r="E212" s="23">
        <v>5</v>
      </c>
      <c r="F212" s="23">
        <v>355.2</v>
      </c>
      <c r="G212" s="23">
        <v>1776</v>
      </c>
      <c r="H212" s="22" t="s">
        <v>425</v>
      </c>
      <c r="I212" s="22" t="s">
        <v>14</v>
      </c>
    </row>
    <row r="213" spans="1:9" x14ac:dyDescent="0.35">
      <c r="A213" s="22" t="s">
        <v>426</v>
      </c>
      <c r="B213" s="22" t="s">
        <v>2531</v>
      </c>
      <c r="C213" s="22" t="s">
        <v>2358</v>
      </c>
      <c r="D213" s="22" t="s">
        <v>32</v>
      </c>
      <c r="E213" s="23">
        <v>4</v>
      </c>
      <c r="F213" s="23">
        <v>232.38</v>
      </c>
      <c r="G213" s="23">
        <v>1409.54</v>
      </c>
      <c r="H213" s="22" t="s">
        <v>427</v>
      </c>
      <c r="I213" s="22" t="s">
        <v>2378</v>
      </c>
    </row>
    <row r="214" spans="1:9" x14ac:dyDescent="0.35">
      <c r="A214" s="22" t="s">
        <v>428</v>
      </c>
      <c r="B214" s="22" t="s">
        <v>2532</v>
      </c>
      <c r="C214" s="22" t="s">
        <v>2282</v>
      </c>
      <c r="D214" s="22" t="s">
        <v>32</v>
      </c>
      <c r="E214" s="23">
        <v>5</v>
      </c>
      <c r="F214" s="23">
        <v>274.89999999999998</v>
      </c>
      <c r="G214" s="23">
        <v>1374.5</v>
      </c>
      <c r="H214" s="22" t="s">
        <v>429</v>
      </c>
      <c r="I214" s="22" t="s">
        <v>14</v>
      </c>
    </row>
    <row r="215" spans="1:9" x14ac:dyDescent="0.35">
      <c r="A215" s="22" t="s">
        <v>430</v>
      </c>
      <c r="B215" s="22" t="s">
        <v>2533</v>
      </c>
      <c r="C215" s="22" t="s">
        <v>19</v>
      </c>
      <c r="D215" s="22" t="s">
        <v>24</v>
      </c>
      <c r="E215" s="23">
        <v>4</v>
      </c>
      <c r="F215" s="23">
        <v>426.3</v>
      </c>
      <c r="G215" s="23">
        <v>1705.2</v>
      </c>
      <c r="H215" s="22" t="s">
        <v>431</v>
      </c>
      <c r="I215" s="22"/>
    </row>
    <row r="216" spans="1:9" x14ac:dyDescent="0.35">
      <c r="A216" s="22" t="s">
        <v>432</v>
      </c>
      <c r="B216" s="22" t="s">
        <v>2534</v>
      </c>
      <c r="C216" s="22"/>
      <c r="D216" s="22" t="s">
        <v>2343</v>
      </c>
      <c r="E216" s="23">
        <v>5</v>
      </c>
      <c r="F216" s="23">
        <v>245.27</v>
      </c>
      <c r="G216" s="23">
        <v>1226.3499999999999</v>
      </c>
      <c r="H216" s="22" t="s">
        <v>49</v>
      </c>
      <c r="I216" s="22" t="s">
        <v>50</v>
      </c>
    </row>
    <row r="217" spans="1:9" x14ac:dyDescent="0.35">
      <c r="A217" s="22" t="s">
        <v>433</v>
      </c>
      <c r="B217" s="22" t="s">
        <v>2363</v>
      </c>
      <c r="C217" s="22" t="s">
        <v>2346</v>
      </c>
      <c r="D217" s="22" t="s">
        <v>2347</v>
      </c>
      <c r="E217" s="23">
        <v>6</v>
      </c>
      <c r="F217" s="23">
        <v>192.87</v>
      </c>
      <c r="G217" s="23">
        <v>1157.22</v>
      </c>
      <c r="H217" s="22" t="s">
        <v>434</v>
      </c>
      <c r="I217" s="22"/>
    </row>
    <row r="218" spans="1:9" x14ac:dyDescent="0.35">
      <c r="A218" s="22" t="s">
        <v>435</v>
      </c>
      <c r="B218" s="22" t="s">
        <v>2535</v>
      </c>
      <c r="C218" s="22"/>
      <c r="D218" s="22" t="s">
        <v>2350</v>
      </c>
      <c r="E218" s="23">
        <v>-3</v>
      </c>
      <c r="F218" s="23">
        <v>251.69</v>
      </c>
      <c r="G218" s="23"/>
      <c r="H218" s="22" t="s">
        <v>49</v>
      </c>
      <c r="I218" s="22" t="s">
        <v>2356</v>
      </c>
    </row>
    <row r="219" spans="1:9" x14ac:dyDescent="0.35">
      <c r="A219" s="22" t="s">
        <v>436</v>
      </c>
      <c r="B219" s="22" t="s">
        <v>2536</v>
      </c>
      <c r="C219" s="22" t="s">
        <v>2342</v>
      </c>
      <c r="D219" s="22" t="s">
        <v>24</v>
      </c>
      <c r="E219" s="23">
        <v>3</v>
      </c>
      <c r="F219" s="23">
        <v>293.77</v>
      </c>
      <c r="G219" s="23">
        <v>881.31</v>
      </c>
      <c r="H219" s="22" t="s">
        <v>437</v>
      </c>
      <c r="I219" s="22" t="s">
        <v>26</v>
      </c>
    </row>
    <row r="220" spans="1:9" x14ac:dyDescent="0.35">
      <c r="A220" s="22" t="s">
        <v>438</v>
      </c>
      <c r="B220" s="22" t="s">
        <v>2537</v>
      </c>
      <c r="C220" s="22" t="s">
        <v>16</v>
      </c>
      <c r="D220" s="22" t="s">
        <v>46</v>
      </c>
      <c r="E220" s="23">
        <v>2</v>
      </c>
      <c r="F220" s="23">
        <v>102.65</v>
      </c>
      <c r="G220" s="23">
        <v>205.3</v>
      </c>
      <c r="H220" s="22" t="s">
        <v>439</v>
      </c>
      <c r="I220" s="22" t="s">
        <v>50</v>
      </c>
    </row>
    <row r="221" spans="1:9" x14ac:dyDescent="0.35">
      <c r="A221" s="22" t="s">
        <v>440</v>
      </c>
      <c r="B221" s="22" t="s">
        <v>2371</v>
      </c>
      <c r="C221" s="22" t="s">
        <v>19</v>
      </c>
      <c r="D221" s="22" t="s">
        <v>32</v>
      </c>
      <c r="E221" s="23">
        <v>5</v>
      </c>
      <c r="F221" s="23">
        <v>451.44</v>
      </c>
      <c r="G221" s="23">
        <v>2257.1999999999998</v>
      </c>
      <c r="H221" s="22" t="s">
        <v>441</v>
      </c>
      <c r="I221" s="22" t="s">
        <v>2340</v>
      </c>
    </row>
    <row r="222" spans="1:9" x14ac:dyDescent="0.35">
      <c r="A222" s="22" t="s">
        <v>442</v>
      </c>
      <c r="B222" s="22" t="s">
        <v>2538</v>
      </c>
      <c r="C222" s="22" t="s">
        <v>23</v>
      </c>
      <c r="D222" s="22" t="s">
        <v>2364</v>
      </c>
      <c r="E222" s="23">
        <v>4</v>
      </c>
      <c r="F222" s="23">
        <v>340.35</v>
      </c>
      <c r="G222" s="23"/>
      <c r="H222" s="22" t="s">
        <v>443</v>
      </c>
      <c r="I222" s="22" t="s">
        <v>2340</v>
      </c>
    </row>
    <row r="223" spans="1:9" x14ac:dyDescent="0.35">
      <c r="A223" s="22" t="s">
        <v>444</v>
      </c>
      <c r="B223" s="22" t="s">
        <v>2539</v>
      </c>
      <c r="C223" s="22" t="s">
        <v>19</v>
      </c>
      <c r="D223" s="22" t="s">
        <v>2347</v>
      </c>
      <c r="E223" s="23">
        <v>7</v>
      </c>
      <c r="F223" s="23">
        <v>320.3</v>
      </c>
      <c r="G223" s="23">
        <v>2242.1</v>
      </c>
      <c r="H223" s="22" t="s">
        <v>445</v>
      </c>
      <c r="I223" s="22" t="s">
        <v>2340</v>
      </c>
    </row>
    <row r="224" spans="1:9" x14ac:dyDescent="0.35">
      <c r="A224" s="22" t="s">
        <v>446</v>
      </c>
      <c r="B224" s="22" t="s">
        <v>2540</v>
      </c>
      <c r="C224" s="22"/>
      <c r="D224" s="22" t="s">
        <v>2364</v>
      </c>
      <c r="E224" s="23">
        <v>7</v>
      </c>
      <c r="F224" s="23">
        <v>58.75</v>
      </c>
      <c r="G224" s="23">
        <v>411.25</v>
      </c>
      <c r="H224" s="22" t="s">
        <v>447</v>
      </c>
      <c r="I224" s="22"/>
    </row>
    <row r="225" spans="1:9" x14ac:dyDescent="0.35">
      <c r="A225" s="22" t="s">
        <v>448</v>
      </c>
      <c r="B225" s="22" t="s">
        <v>2505</v>
      </c>
      <c r="C225" s="22"/>
      <c r="D225" s="22" t="s">
        <v>12</v>
      </c>
      <c r="E225" s="23">
        <v>2</v>
      </c>
      <c r="F225" s="23">
        <v>306.05</v>
      </c>
      <c r="G225" s="23">
        <v>612.1</v>
      </c>
      <c r="H225" s="22" t="s">
        <v>449</v>
      </c>
      <c r="I225" s="22" t="s">
        <v>2340</v>
      </c>
    </row>
    <row r="226" spans="1:9" x14ac:dyDescent="0.35">
      <c r="A226" s="22" t="s">
        <v>450</v>
      </c>
      <c r="B226" s="22" t="s">
        <v>2541</v>
      </c>
      <c r="C226" s="22" t="s">
        <v>2282</v>
      </c>
      <c r="D226" s="22" t="s">
        <v>32</v>
      </c>
      <c r="E226" s="23">
        <v>6</v>
      </c>
      <c r="F226" s="23">
        <v>-97.91</v>
      </c>
      <c r="G226" s="23">
        <v>415.62</v>
      </c>
      <c r="H226" s="22" t="s">
        <v>451</v>
      </c>
      <c r="I226" s="22"/>
    </row>
    <row r="227" spans="1:9" x14ac:dyDescent="0.35">
      <c r="A227" s="22" t="s">
        <v>452</v>
      </c>
      <c r="B227" s="22" t="s">
        <v>2542</v>
      </c>
      <c r="C227" s="22" t="s">
        <v>2282</v>
      </c>
      <c r="D227" s="22" t="s">
        <v>12</v>
      </c>
      <c r="E227" s="23">
        <v>7</v>
      </c>
      <c r="F227" s="23">
        <v>48.56</v>
      </c>
      <c r="G227" s="23"/>
      <c r="H227" s="22" t="s">
        <v>453</v>
      </c>
      <c r="I227" s="22" t="s">
        <v>2344</v>
      </c>
    </row>
    <row r="228" spans="1:9" x14ac:dyDescent="0.35">
      <c r="A228" s="22" t="s">
        <v>454</v>
      </c>
      <c r="B228" s="22" t="s">
        <v>2543</v>
      </c>
      <c r="C228" s="22" t="s">
        <v>2342</v>
      </c>
      <c r="D228" s="22" t="s">
        <v>12</v>
      </c>
      <c r="E228" s="23">
        <v>2</v>
      </c>
      <c r="F228" s="23">
        <v>268.38</v>
      </c>
      <c r="G228" s="23">
        <v>843.87</v>
      </c>
      <c r="H228" s="22" t="s">
        <v>455</v>
      </c>
      <c r="I228" s="22"/>
    </row>
    <row r="229" spans="1:9" x14ac:dyDescent="0.35">
      <c r="A229" s="22" t="s">
        <v>456</v>
      </c>
      <c r="B229" s="22" t="s">
        <v>2414</v>
      </c>
      <c r="C229" s="22" t="s">
        <v>2358</v>
      </c>
      <c r="D229" s="22" t="s">
        <v>32</v>
      </c>
      <c r="E229" s="23">
        <v>7</v>
      </c>
      <c r="F229" s="23">
        <v>207.36</v>
      </c>
      <c r="G229" s="23">
        <v>1451.52</v>
      </c>
      <c r="H229" s="22" t="s">
        <v>457</v>
      </c>
      <c r="I229" s="22" t="s">
        <v>2340</v>
      </c>
    </row>
    <row r="230" spans="1:9" x14ac:dyDescent="0.35">
      <c r="A230" s="22" t="s">
        <v>458</v>
      </c>
      <c r="B230" s="22" t="s">
        <v>2544</v>
      </c>
      <c r="C230" s="22" t="s">
        <v>2342</v>
      </c>
      <c r="D230" s="22" t="s">
        <v>12</v>
      </c>
      <c r="E230" s="23">
        <v>5</v>
      </c>
      <c r="F230" s="23">
        <v>298.52</v>
      </c>
      <c r="G230" s="23">
        <v>1492.6</v>
      </c>
      <c r="H230" s="22" t="s">
        <v>459</v>
      </c>
      <c r="I230" s="22" t="s">
        <v>2356</v>
      </c>
    </row>
    <row r="231" spans="1:9" x14ac:dyDescent="0.35">
      <c r="A231" s="22" t="s">
        <v>460</v>
      </c>
      <c r="B231" s="22" t="s">
        <v>2545</v>
      </c>
      <c r="C231" s="22" t="s">
        <v>23</v>
      </c>
      <c r="D231" s="22" t="s">
        <v>24</v>
      </c>
      <c r="E231" s="23">
        <v>7</v>
      </c>
      <c r="F231" s="23">
        <v>53.72</v>
      </c>
      <c r="G231" s="23">
        <v>376.04</v>
      </c>
      <c r="H231" s="22" t="s">
        <v>461</v>
      </c>
      <c r="I231" s="22" t="s">
        <v>2298</v>
      </c>
    </row>
    <row r="232" spans="1:9" x14ac:dyDescent="0.35">
      <c r="A232" s="22" t="s">
        <v>462</v>
      </c>
      <c r="B232" s="22" t="s">
        <v>2442</v>
      </c>
      <c r="C232" s="22" t="s">
        <v>2282</v>
      </c>
      <c r="D232" s="22" t="s">
        <v>2343</v>
      </c>
      <c r="E232" s="23">
        <v>6</v>
      </c>
      <c r="F232" s="23">
        <v>221.18</v>
      </c>
      <c r="G232" s="23">
        <v>1327.08</v>
      </c>
      <c r="H232" s="22" t="s">
        <v>463</v>
      </c>
      <c r="I232" s="22" t="s">
        <v>2340</v>
      </c>
    </row>
    <row r="233" spans="1:9" x14ac:dyDescent="0.35">
      <c r="A233" s="22" t="s">
        <v>464</v>
      </c>
      <c r="B233" s="22" t="s">
        <v>2546</v>
      </c>
      <c r="C233" s="22" t="s">
        <v>23</v>
      </c>
      <c r="D233" s="22" t="s">
        <v>2347</v>
      </c>
      <c r="E233" s="23">
        <v>5</v>
      </c>
      <c r="F233" s="23">
        <v>95.65</v>
      </c>
      <c r="G233" s="23">
        <v>478.25</v>
      </c>
      <c r="H233" s="22" t="s">
        <v>49</v>
      </c>
      <c r="I233" s="22" t="s">
        <v>2378</v>
      </c>
    </row>
    <row r="234" spans="1:9" x14ac:dyDescent="0.35">
      <c r="A234" s="22" t="s">
        <v>465</v>
      </c>
      <c r="B234" s="22" t="s">
        <v>2547</v>
      </c>
      <c r="C234" s="22" t="s">
        <v>2282</v>
      </c>
      <c r="D234" s="22" t="s">
        <v>12</v>
      </c>
      <c r="E234" s="23">
        <v>6</v>
      </c>
      <c r="F234" s="23">
        <v>493.68</v>
      </c>
      <c r="G234" s="23">
        <v>2962.08</v>
      </c>
      <c r="H234" s="22" t="s">
        <v>84</v>
      </c>
      <c r="I234" s="22" t="s">
        <v>26</v>
      </c>
    </row>
    <row r="235" spans="1:9" x14ac:dyDescent="0.35">
      <c r="A235" s="22" t="s">
        <v>466</v>
      </c>
      <c r="B235" s="22" t="s">
        <v>2548</v>
      </c>
      <c r="C235" s="22" t="s">
        <v>2282</v>
      </c>
      <c r="D235" s="22" t="s">
        <v>46</v>
      </c>
      <c r="E235" s="23">
        <v>5</v>
      </c>
      <c r="F235" s="23">
        <v>284.95999999999998</v>
      </c>
      <c r="G235" s="23">
        <v>1424.8</v>
      </c>
      <c r="H235" s="22" t="s">
        <v>467</v>
      </c>
      <c r="I235" s="22" t="s">
        <v>2356</v>
      </c>
    </row>
    <row r="236" spans="1:9" x14ac:dyDescent="0.35">
      <c r="A236" s="22" t="s">
        <v>468</v>
      </c>
      <c r="B236" s="22" t="s">
        <v>2549</v>
      </c>
      <c r="C236" s="22" t="s">
        <v>2282</v>
      </c>
      <c r="D236" s="22" t="s">
        <v>2350</v>
      </c>
      <c r="E236" s="23">
        <v>4</v>
      </c>
      <c r="F236" s="23"/>
      <c r="G236" s="23">
        <v>1387.36</v>
      </c>
      <c r="H236" s="22" t="s">
        <v>469</v>
      </c>
      <c r="I236" s="22" t="s">
        <v>2356</v>
      </c>
    </row>
    <row r="237" spans="1:9" x14ac:dyDescent="0.35">
      <c r="A237" s="22" t="s">
        <v>470</v>
      </c>
      <c r="B237" s="22"/>
      <c r="C237" s="22" t="s">
        <v>11</v>
      </c>
      <c r="D237" s="22" t="s">
        <v>32</v>
      </c>
      <c r="E237" s="23"/>
      <c r="F237" s="23">
        <v>169.45</v>
      </c>
      <c r="G237" s="23">
        <v>1186.1500000000001</v>
      </c>
      <c r="H237" s="22" t="s">
        <v>471</v>
      </c>
      <c r="I237" s="22" t="s">
        <v>2344</v>
      </c>
    </row>
    <row r="238" spans="1:9" x14ac:dyDescent="0.35">
      <c r="A238" s="22" t="s">
        <v>472</v>
      </c>
      <c r="B238" s="22" t="s">
        <v>2550</v>
      </c>
      <c r="C238" s="22" t="s">
        <v>2349</v>
      </c>
      <c r="D238" s="22" t="s">
        <v>12</v>
      </c>
      <c r="E238" s="23">
        <v>1</v>
      </c>
      <c r="F238" s="23">
        <v>56.42</v>
      </c>
      <c r="G238" s="23">
        <v>56.42</v>
      </c>
      <c r="H238" s="22" t="s">
        <v>473</v>
      </c>
      <c r="I238" s="22" t="s">
        <v>50</v>
      </c>
    </row>
    <row r="239" spans="1:9" x14ac:dyDescent="0.35">
      <c r="A239" s="22" t="s">
        <v>474</v>
      </c>
      <c r="B239" s="22" t="s">
        <v>2433</v>
      </c>
      <c r="C239" s="22" t="s">
        <v>19</v>
      </c>
      <c r="D239" s="22" t="s">
        <v>12</v>
      </c>
      <c r="E239" s="23">
        <v>8</v>
      </c>
      <c r="F239" s="23">
        <v>488.18</v>
      </c>
      <c r="G239" s="23">
        <v>3905.44</v>
      </c>
      <c r="H239" s="22" t="s">
        <v>475</v>
      </c>
      <c r="I239" s="22" t="s">
        <v>2340</v>
      </c>
    </row>
    <row r="240" spans="1:9" x14ac:dyDescent="0.35">
      <c r="A240" s="22" t="s">
        <v>476</v>
      </c>
      <c r="B240" s="22" t="s">
        <v>2551</v>
      </c>
      <c r="C240" s="22" t="s">
        <v>11</v>
      </c>
      <c r="D240" s="22" t="s">
        <v>2364</v>
      </c>
      <c r="E240" s="23">
        <v>4</v>
      </c>
      <c r="F240" s="23">
        <v>150.27000000000001</v>
      </c>
      <c r="G240" s="23">
        <v>601.08000000000004</v>
      </c>
      <c r="H240" s="22" t="s">
        <v>477</v>
      </c>
      <c r="I240" s="22" t="s">
        <v>2344</v>
      </c>
    </row>
    <row r="241" spans="1:9" x14ac:dyDescent="0.35">
      <c r="A241" s="22" t="s">
        <v>478</v>
      </c>
      <c r="B241" s="22" t="s">
        <v>2552</v>
      </c>
      <c r="C241" s="22" t="s">
        <v>16</v>
      </c>
      <c r="D241" s="22" t="s">
        <v>2364</v>
      </c>
      <c r="E241" s="23">
        <v>5</v>
      </c>
      <c r="F241" s="23">
        <v>217.67</v>
      </c>
      <c r="G241" s="23">
        <v>1088.3499999999999</v>
      </c>
      <c r="H241" s="22" t="s">
        <v>479</v>
      </c>
      <c r="I241" s="22" t="s">
        <v>50</v>
      </c>
    </row>
    <row r="242" spans="1:9" x14ac:dyDescent="0.35">
      <c r="A242" s="22" t="s">
        <v>480</v>
      </c>
      <c r="B242" s="22" t="s">
        <v>2553</v>
      </c>
      <c r="C242" s="22"/>
      <c r="D242" s="22" t="s">
        <v>2347</v>
      </c>
      <c r="E242" s="23">
        <v>3</v>
      </c>
      <c r="F242" s="23">
        <v>328.43</v>
      </c>
      <c r="G242" s="23"/>
      <c r="H242" s="22" t="s">
        <v>481</v>
      </c>
      <c r="I242" s="22" t="s">
        <v>2356</v>
      </c>
    </row>
    <row r="243" spans="1:9" x14ac:dyDescent="0.35">
      <c r="A243" s="22" t="s">
        <v>482</v>
      </c>
      <c r="B243" s="22" t="s">
        <v>2512</v>
      </c>
      <c r="C243" s="22" t="s">
        <v>2346</v>
      </c>
      <c r="D243" s="22" t="s">
        <v>2343</v>
      </c>
      <c r="E243" s="23">
        <v>7</v>
      </c>
      <c r="F243" s="23">
        <v>22.1</v>
      </c>
      <c r="G243" s="23">
        <v>154.69999999999999</v>
      </c>
      <c r="H243" s="22" t="s">
        <v>483</v>
      </c>
      <c r="I243" s="22"/>
    </row>
    <row r="244" spans="1:9" x14ac:dyDescent="0.35">
      <c r="A244" s="22" t="s">
        <v>484</v>
      </c>
      <c r="B244" s="22" t="s">
        <v>2554</v>
      </c>
      <c r="C244" s="22" t="s">
        <v>23</v>
      </c>
      <c r="D244" s="22" t="s">
        <v>32</v>
      </c>
      <c r="E244" s="23">
        <v>2</v>
      </c>
      <c r="F244" s="23">
        <v>407.03</v>
      </c>
      <c r="G244" s="23">
        <v>814.06</v>
      </c>
      <c r="H244" s="22" t="s">
        <v>485</v>
      </c>
      <c r="I244" s="22" t="s">
        <v>2378</v>
      </c>
    </row>
    <row r="245" spans="1:9" x14ac:dyDescent="0.35">
      <c r="A245" s="22" t="s">
        <v>486</v>
      </c>
      <c r="B245" s="22" t="s">
        <v>2555</v>
      </c>
      <c r="C245" s="22" t="s">
        <v>2349</v>
      </c>
      <c r="D245" s="22" t="s">
        <v>2364</v>
      </c>
      <c r="E245" s="23">
        <v>5</v>
      </c>
      <c r="F245" s="23">
        <v>272.92</v>
      </c>
      <c r="G245" s="23">
        <v>1364.6</v>
      </c>
      <c r="H245" s="22" t="s">
        <v>487</v>
      </c>
      <c r="I245" s="22" t="s">
        <v>14</v>
      </c>
    </row>
    <row r="246" spans="1:9" x14ac:dyDescent="0.35">
      <c r="A246" s="22" t="s">
        <v>488</v>
      </c>
      <c r="B246" s="22" t="s">
        <v>2397</v>
      </c>
      <c r="C246" s="22" t="s">
        <v>16</v>
      </c>
      <c r="D246" s="22" t="s">
        <v>2350</v>
      </c>
      <c r="E246" s="23">
        <v>10</v>
      </c>
      <c r="F246" s="23">
        <v>146.33000000000001</v>
      </c>
      <c r="G246" s="23">
        <v>1463.3</v>
      </c>
      <c r="H246" s="22" t="s">
        <v>489</v>
      </c>
      <c r="I246" s="22" t="s">
        <v>2378</v>
      </c>
    </row>
    <row r="247" spans="1:9" x14ac:dyDescent="0.35">
      <c r="A247" s="22" t="s">
        <v>490</v>
      </c>
      <c r="B247" s="22" t="s">
        <v>2556</v>
      </c>
      <c r="C247" s="22" t="s">
        <v>2358</v>
      </c>
      <c r="D247" s="22" t="s">
        <v>2350</v>
      </c>
      <c r="E247" s="23">
        <v>7</v>
      </c>
      <c r="F247" s="23">
        <v>-46.98</v>
      </c>
      <c r="G247" s="23">
        <v>281.33</v>
      </c>
      <c r="H247" s="22" t="s">
        <v>491</v>
      </c>
      <c r="I247" s="22" t="s">
        <v>26</v>
      </c>
    </row>
    <row r="248" spans="1:9" x14ac:dyDescent="0.35">
      <c r="A248" s="22" t="s">
        <v>492</v>
      </c>
      <c r="B248" s="22" t="s">
        <v>2557</v>
      </c>
      <c r="C248" s="22" t="s">
        <v>2282</v>
      </c>
      <c r="D248" s="22" t="s">
        <v>12</v>
      </c>
      <c r="E248" s="23">
        <v>7</v>
      </c>
      <c r="F248" s="23">
        <v>-150.11000000000001</v>
      </c>
      <c r="G248" s="23">
        <v>1106.71</v>
      </c>
      <c r="H248" s="22" t="s">
        <v>493</v>
      </c>
      <c r="I248" s="22" t="s">
        <v>14</v>
      </c>
    </row>
    <row r="249" spans="1:9" x14ac:dyDescent="0.35">
      <c r="A249" s="22" t="s">
        <v>494</v>
      </c>
      <c r="B249" s="22" t="s">
        <v>2371</v>
      </c>
      <c r="C249" s="22" t="s">
        <v>2282</v>
      </c>
      <c r="D249" s="22" t="s">
        <v>2343</v>
      </c>
      <c r="E249" s="23">
        <v>10</v>
      </c>
      <c r="F249" s="23">
        <v>448.57</v>
      </c>
      <c r="G249" s="23">
        <v>4485.7</v>
      </c>
      <c r="H249" s="22" t="s">
        <v>495</v>
      </c>
      <c r="I249" s="22" t="s">
        <v>2378</v>
      </c>
    </row>
    <row r="250" spans="1:9" x14ac:dyDescent="0.35">
      <c r="A250" s="22" t="s">
        <v>496</v>
      </c>
      <c r="B250" s="22" t="s">
        <v>2558</v>
      </c>
      <c r="C250" s="22" t="s">
        <v>2346</v>
      </c>
      <c r="D250" s="22" t="s">
        <v>2343</v>
      </c>
      <c r="E250" s="23">
        <v>1</v>
      </c>
      <c r="F250" s="23">
        <v>346.15</v>
      </c>
      <c r="G250" s="23">
        <v>346.15</v>
      </c>
      <c r="H250" s="22" t="s">
        <v>497</v>
      </c>
      <c r="I250" s="22" t="s">
        <v>14</v>
      </c>
    </row>
    <row r="251" spans="1:9" x14ac:dyDescent="0.35">
      <c r="A251" s="22" t="s">
        <v>498</v>
      </c>
      <c r="B251" s="22" t="s">
        <v>2559</v>
      </c>
      <c r="C251" s="22" t="s">
        <v>2346</v>
      </c>
      <c r="D251" s="22" t="s">
        <v>2347</v>
      </c>
      <c r="E251" s="23">
        <v>5</v>
      </c>
      <c r="F251" s="23">
        <v>132.44999999999999</v>
      </c>
      <c r="G251" s="23">
        <v>662.25</v>
      </c>
      <c r="H251" s="22" t="s">
        <v>499</v>
      </c>
      <c r="I251" s="22" t="s">
        <v>14</v>
      </c>
    </row>
    <row r="252" spans="1:9" x14ac:dyDescent="0.35">
      <c r="A252" s="22" t="s">
        <v>500</v>
      </c>
      <c r="B252" s="22" t="s">
        <v>2560</v>
      </c>
      <c r="C252" s="22" t="s">
        <v>2346</v>
      </c>
      <c r="D252" s="22" t="s">
        <v>2347</v>
      </c>
      <c r="E252" s="23">
        <v>3</v>
      </c>
      <c r="F252" s="23">
        <v>42.14</v>
      </c>
      <c r="G252" s="23">
        <v>126.42</v>
      </c>
      <c r="H252" s="22" t="s">
        <v>501</v>
      </c>
      <c r="I252" s="22" t="s">
        <v>2298</v>
      </c>
    </row>
    <row r="253" spans="1:9" x14ac:dyDescent="0.35">
      <c r="A253" s="22" t="s">
        <v>502</v>
      </c>
      <c r="B253" s="22" t="s">
        <v>2561</v>
      </c>
      <c r="C253" s="22" t="s">
        <v>16</v>
      </c>
      <c r="D253" s="22" t="s">
        <v>2350</v>
      </c>
      <c r="E253" s="23">
        <v>8</v>
      </c>
      <c r="F253" s="23">
        <v>348.4</v>
      </c>
      <c r="G253" s="23">
        <v>2787.2</v>
      </c>
      <c r="H253" s="22" t="s">
        <v>503</v>
      </c>
      <c r="I253" s="22" t="s">
        <v>50</v>
      </c>
    </row>
    <row r="254" spans="1:9" x14ac:dyDescent="0.35">
      <c r="A254" s="22" t="s">
        <v>504</v>
      </c>
      <c r="B254" s="22" t="s">
        <v>2562</v>
      </c>
      <c r="C254" s="22"/>
      <c r="D254" s="22" t="s">
        <v>12</v>
      </c>
      <c r="E254" s="23">
        <v>7</v>
      </c>
      <c r="F254" s="23"/>
      <c r="G254" s="23">
        <v>2033.36</v>
      </c>
      <c r="H254" s="22"/>
      <c r="I254" s="22" t="s">
        <v>2378</v>
      </c>
    </row>
    <row r="255" spans="1:9" x14ac:dyDescent="0.35">
      <c r="A255" s="22" t="s">
        <v>505</v>
      </c>
      <c r="B255" s="22" t="s">
        <v>2563</v>
      </c>
      <c r="C255" s="22"/>
      <c r="D255" s="22" t="s">
        <v>46</v>
      </c>
      <c r="E255" s="23">
        <v>3</v>
      </c>
      <c r="F255" s="23">
        <v>208.21</v>
      </c>
      <c r="G255" s="23">
        <v>624.63</v>
      </c>
      <c r="H255" s="22"/>
      <c r="I255" s="22" t="s">
        <v>2344</v>
      </c>
    </row>
    <row r="256" spans="1:9" x14ac:dyDescent="0.35">
      <c r="A256" s="22" t="s">
        <v>506</v>
      </c>
      <c r="B256" s="22" t="s">
        <v>2458</v>
      </c>
      <c r="C256" s="22" t="s">
        <v>11</v>
      </c>
      <c r="D256" s="22" t="s">
        <v>12</v>
      </c>
      <c r="E256" s="23">
        <v>1</v>
      </c>
      <c r="F256" s="23">
        <v>188.17</v>
      </c>
      <c r="G256" s="23">
        <v>188.17</v>
      </c>
      <c r="H256" s="22" t="s">
        <v>507</v>
      </c>
      <c r="I256" s="22" t="s">
        <v>26</v>
      </c>
    </row>
    <row r="257" spans="1:9" x14ac:dyDescent="0.35">
      <c r="A257" s="22" t="s">
        <v>508</v>
      </c>
      <c r="B257" s="22" t="s">
        <v>2564</v>
      </c>
      <c r="C257" s="22" t="s">
        <v>23</v>
      </c>
      <c r="D257" s="22" t="s">
        <v>12</v>
      </c>
      <c r="E257" s="23">
        <v>5</v>
      </c>
      <c r="F257" s="23">
        <v>116.24</v>
      </c>
      <c r="G257" s="23">
        <v>581.20000000000005</v>
      </c>
      <c r="H257" s="22" t="s">
        <v>509</v>
      </c>
      <c r="I257" s="22" t="s">
        <v>2298</v>
      </c>
    </row>
    <row r="258" spans="1:9" x14ac:dyDescent="0.35">
      <c r="A258" s="22" t="s">
        <v>510</v>
      </c>
      <c r="B258" s="22" t="s">
        <v>2565</v>
      </c>
      <c r="C258" s="22" t="s">
        <v>11</v>
      </c>
      <c r="D258" s="22" t="s">
        <v>32</v>
      </c>
      <c r="E258" s="23">
        <v>9999</v>
      </c>
      <c r="F258" s="23">
        <v>338.11</v>
      </c>
      <c r="G258" s="23">
        <v>1304.9100000000001</v>
      </c>
      <c r="H258" s="22" t="s">
        <v>511</v>
      </c>
      <c r="I258" s="22" t="s">
        <v>50</v>
      </c>
    </row>
    <row r="259" spans="1:9" x14ac:dyDescent="0.35">
      <c r="A259" s="22" t="s">
        <v>512</v>
      </c>
      <c r="B259" s="22" t="s">
        <v>2566</v>
      </c>
      <c r="C259" s="22" t="s">
        <v>19</v>
      </c>
      <c r="D259" s="22" t="s">
        <v>32</v>
      </c>
      <c r="E259" s="23"/>
      <c r="F259" s="23">
        <v>485.63</v>
      </c>
      <c r="G259" s="23">
        <v>2913.78</v>
      </c>
      <c r="H259" s="22" t="s">
        <v>513</v>
      </c>
      <c r="I259" s="22"/>
    </row>
    <row r="260" spans="1:9" x14ac:dyDescent="0.35">
      <c r="A260" s="22" t="s">
        <v>514</v>
      </c>
      <c r="B260" s="22"/>
      <c r="C260" s="22" t="s">
        <v>2358</v>
      </c>
      <c r="D260" s="22" t="s">
        <v>2343</v>
      </c>
      <c r="E260" s="23">
        <v>3</v>
      </c>
      <c r="F260" s="23">
        <v>96.1</v>
      </c>
      <c r="G260" s="23">
        <v>545.14</v>
      </c>
      <c r="H260" s="22" t="s">
        <v>515</v>
      </c>
      <c r="I260" s="22" t="s">
        <v>2356</v>
      </c>
    </row>
    <row r="261" spans="1:9" x14ac:dyDescent="0.35">
      <c r="A261" s="22" t="s">
        <v>516</v>
      </c>
      <c r="B261" s="22" t="s">
        <v>2567</v>
      </c>
      <c r="C261" s="22" t="s">
        <v>23</v>
      </c>
      <c r="D261" s="22" t="s">
        <v>32</v>
      </c>
      <c r="E261" s="23"/>
      <c r="F261" s="23">
        <v>302.58999999999997</v>
      </c>
      <c r="G261" s="23">
        <v>1210.3599999999999</v>
      </c>
      <c r="H261" s="22" t="s">
        <v>517</v>
      </c>
      <c r="I261" s="22" t="s">
        <v>2298</v>
      </c>
    </row>
    <row r="262" spans="1:9" x14ac:dyDescent="0.35">
      <c r="A262" s="22" t="s">
        <v>518</v>
      </c>
      <c r="B262" s="22" t="s">
        <v>2397</v>
      </c>
      <c r="C262" s="22" t="s">
        <v>19</v>
      </c>
      <c r="D262" s="22" t="s">
        <v>2364</v>
      </c>
      <c r="E262" s="23">
        <v>5</v>
      </c>
      <c r="F262" s="23">
        <v>217.85</v>
      </c>
      <c r="G262" s="23">
        <v>1089.25</v>
      </c>
      <c r="H262" s="22"/>
      <c r="I262" s="22" t="s">
        <v>50</v>
      </c>
    </row>
    <row r="263" spans="1:9" x14ac:dyDescent="0.35">
      <c r="A263" s="22" t="s">
        <v>519</v>
      </c>
      <c r="B263" s="22" t="s">
        <v>2430</v>
      </c>
      <c r="C263" s="22" t="s">
        <v>2282</v>
      </c>
      <c r="D263" s="22" t="s">
        <v>12</v>
      </c>
      <c r="E263" s="23">
        <v>8</v>
      </c>
      <c r="F263" s="23">
        <v>228.88</v>
      </c>
      <c r="G263" s="23">
        <v>1831.04</v>
      </c>
      <c r="H263" s="22" t="s">
        <v>520</v>
      </c>
      <c r="I263" s="22" t="s">
        <v>2344</v>
      </c>
    </row>
    <row r="264" spans="1:9" x14ac:dyDescent="0.35">
      <c r="A264" s="22" t="s">
        <v>521</v>
      </c>
      <c r="B264" s="22" t="s">
        <v>2568</v>
      </c>
      <c r="C264" s="22" t="s">
        <v>2349</v>
      </c>
      <c r="D264" s="22" t="s">
        <v>2364</v>
      </c>
      <c r="E264" s="23">
        <v>7</v>
      </c>
      <c r="F264" s="23">
        <v>-82.94</v>
      </c>
      <c r="G264" s="23">
        <v>1164.58</v>
      </c>
      <c r="H264" s="22" t="s">
        <v>522</v>
      </c>
      <c r="I264" s="22" t="s">
        <v>2298</v>
      </c>
    </row>
    <row r="265" spans="1:9" x14ac:dyDescent="0.35">
      <c r="A265" s="22" t="s">
        <v>523</v>
      </c>
      <c r="B265" s="22" t="s">
        <v>2569</v>
      </c>
      <c r="C265" s="22" t="s">
        <v>19</v>
      </c>
      <c r="D265" s="22" t="s">
        <v>2343</v>
      </c>
      <c r="E265" s="23">
        <v>5</v>
      </c>
      <c r="F265" s="23">
        <v>414.32</v>
      </c>
      <c r="G265" s="23">
        <v>2071.6</v>
      </c>
      <c r="H265" s="22"/>
      <c r="I265" s="22" t="s">
        <v>2344</v>
      </c>
    </row>
    <row r="266" spans="1:9" x14ac:dyDescent="0.35">
      <c r="A266" s="22" t="s">
        <v>524</v>
      </c>
      <c r="B266" s="22" t="s">
        <v>2397</v>
      </c>
      <c r="C266" s="22" t="s">
        <v>2349</v>
      </c>
      <c r="D266" s="22" t="s">
        <v>2350</v>
      </c>
      <c r="E266" s="23">
        <v>4</v>
      </c>
      <c r="F266" s="23">
        <v>247.78</v>
      </c>
      <c r="G266" s="23">
        <v>991.12</v>
      </c>
      <c r="H266" s="22" t="s">
        <v>525</v>
      </c>
      <c r="I266" s="22" t="s">
        <v>2298</v>
      </c>
    </row>
    <row r="267" spans="1:9" x14ac:dyDescent="0.35">
      <c r="A267" s="22" t="s">
        <v>526</v>
      </c>
      <c r="B267" s="22" t="s">
        <v>2570</v>
      </c>
      <c r="C267" s="22" t="s">
        <v>2282</v>
      </c>
      <c r="D267" s="22" t="s">
        <v>2350</v>
      </c>
      <c r="E267" s="23">
        <v>6</v>
      </c>
      <c r="F267" s="23">
        <v>276.27</v>
      </c>
      <c r="G267" s="23">
        <v>1657.62</v>
      </c>
      <c r="H267" s="22" t="s">
        <v>527</v>
      </c>
      <c r="I267" s="22" t="s">
        <v>26</v>
      </c>
    </row>
    <row r="268" spans="1:9" x14ac:dyDescent="0.35">
      <c r="A268" s="22" t="s">
        <v>528</v>
      </c>
      <c r="B268" s="22" t="s">
        <v>2571</v>
      </c>
      <c r="C268" s="22" t="s">
        <v>2342</v>
      </c>
      <c r="D268" s="22" t="s">
        <v>24</v>
      </c>
      <c r="E268" s="23">
        <v>8</v>
      </c>
      <c r="F268" s="23"/>
      <c r="G268" s="23">
        <v>1274.6400000000001</v>
      </c>
      <c r="H268" s="22" t="s">
        <v>529</v>
      </c>
      <c r="I268" s="22" t="s">
        <v>2344</v>
      </c>
    </row>
    <row r="269" spans="1:9" x14ac:dyDescent="0.35">
      <c r="A269" s="22" t="s">
        <v>530</v>
      </c>
      <c r="B269" s="22" t="s">
        <v>2504</v>
      </c>
      <c r="C269" s="22" t="s">
        <v>2358</v>
      </c>
      <c r="D269" s="22" t="s">
        <v>2350</v>
      </c>
      <c r="E269" s="23">
        <v>4</v>
      </c>
      <c r="F269" s="23">
        <v>99.09</v>
      </c>
      <c r="G269" s="23">
        <v>396.36</v>
      </c>
      <c r="H269" s="22" t="s">
        <v>531</v>
      </c>
      <c r="I269" s="22" t="s">
        <v>2340</v>
      </c>
    </row>
    <row r="270" spans="1:9" x14ac:dyDescent="0.35">
      <c r="A270" s="22" t="s">
        <v>532</v>
      </c>
      <c r="B270" s="22" t="s">
        <v>2572</v>
      </c>
      <c r="C270" s="22" t="s">
        <v>2349</v>
      </c>
      <c r="D270" s="22" t="s">
        <v>46</v>
      </c>
      <c r="E270" s="23">
        <v>3</v>
      </c>
      <c r="F270" s="23">
        <v>52.1</v>
      </c>
      <c r="G270" s="23">
        <v>491.06</v>
      </c>
      <c r="H270" s="22" t="s">
        <v>533</v>
      </c>
      <c r="I270" s="22" t="s">
        <v>14</v>
      </c>
    </row>
    <row r="271" spans="1:9" x14ac:dyDescent="0.35">
      <c r="A271" s="22" t="s">
        <v>534</v>
      </c>
      <c r="B271" s="22" t="s">
        <v>2573</v>
      </c>
      <c r="C271" s="22" t="s">
        <v>2282</v>
      </c>
      <c r="D271" s="22" t="s">
        <v>32</v>
      </c>
      <c r="E271" s="23">
        <v>2</v>
      </c>
      <c r="F271" s="23">
        <v>359.92</v>
      </c>
      <c r="G271" s="23">
        <v>719.84</v>
      </c>
      <c r="H271" s="22" t="s">
        <v>535</v>
      </c>
      <c r="I271" s="22"/>
    </row>
    <row r="272" spans="1:9" x14ac:dyDescent="0.35">
      <c r="A272" s="22" t="s">
        <v>536</v>
      </c>
      <c r="B272" s="22"/>
      <c r="C272" s="22" t="s">
        <v>19</v>
      </c>
      <c r="D272" s="22" t="s">
        <v>2347</v>
      </c>
      <c r="E272" s="23"/>
      <c r="F272" s="23">
        <v>106.15</v>
      </c>
      <c r="G272" s="23">
        <v>318.45</v>
      </c>
      <c r="H272" s="22" t="s">
        <v>537</v>
      </c>
      <c r="I272" s="22" t="s">
        <v>14</v>
      </c>
    </row>
    <row r="273" spans="1:9" x14ac:dyDescent="0.35">
      <c r="A273" s="22" t="s">
        <v>538</v>
      </c>
      <c r="B273" s="22" t="s">
        <v>2574</v>
      </c>
      <c r="C273" s="22" t="s">
        <v>2349</v>
      </c>
      <c r="D273" s="22" t="s">
        <v>46</v>
      </c>
      <c r="E273" s="23">
        <v>9</v>
      </c>
      <c r="F273" s="23">
        <v>348.14</v>
      </c>
      <c r="G273" s="23">
        <v>3133.26</v>
      </c>
      <c r="H273" s="22" t="s">
        <v>539</v>
      </c>
      <c r="I273" s="22" t="s">
        <v>2344</v>
      </c>
    </row>
    <row r="274" spans="1:9" x14ac:dyDescent="0.35">
      <c r="A274" s="22" t="s">
        <v>540</v>
      </c>
      <c r="B274" s="22" t="s">
        <v>2575</v>
      </c>
      <c r="C274" s="22" t="s">
        <v>23</v>
      </c>
      <c r="D274" s="22" t="s">
        <v>2350</v>
      </c>
      <c r="E274" s="23">
        <v>5</v>
      </c>
      <c r="F274" s="23">
        <v>201.28</v>
      </c>
      <c r="G274" s="23">
        <v>1006.4</v>
      </c>
      <c r="H274" s="22" t="s">
        <v>541</v>
      </c>
      <c r="I274" s="22"/>
    </row>
    <row r="275" spans="1:9" x14ac:dyDescent="0.35">
      <c r="A275" s="22" t="s">
        <v>542</v>
      </c>
      <c r="B275" s="22" t="s">
        <v>2576</v>
      </c>
      <c r="C275" s="22" t="s">
        <v>2342</v>
      </c>
      <c r="D275" s="22" t="s">
        <v>2343</v>
      </c>
      <c r="E275" s="23">
        <v>4</v>
      </c>
      <c r="F275" s="23">
        <v>213.73</v>
      </c>
      <c r="G275" s="23">
        <v>854.92</v>
      </c>
      <c r="H275" s="22" t="s">
        <v>543</v>
      </c>
      <c r="I275" s="22" t="s">
        <v>50</v>
      </c>
    </row>
    <row r="276" spans="1:9" x14ac:dyDescent="0.35">
      <c r="A276" s="22" t="s">
        <v>544</v>
      </c>
      <c r="B276" s="22" t="s">
        <v>2577</v>
      </c>
      <c r="C276" s="22" t="s">
        <v>11</v>
      </c>
      <c r="D276" s="22" t="s">
        <v>2347</v>
      </c>
      <c r="E276" s="23">
        <v>-10</v>
      </c>
      <c r="F276" s="23">
        <v>239.9</v>
      </c>
      <c r="G276" s="23">
        <v>1679.3</v>
      </c>
      <c r="H276" s="22" t="s">
        <v>545</v>
      </c>
      <c r="I276" s="22" t="s">
        <v>2340</v>
      </c>
    </row>
    <row r="277" spans="1:9" x14ac:dyDescent="0.35">
      <c r="A277" s="22" t="s">
        <v>546</v>
      </c>
      <c r="B277" s="22" t="s">
        <v>2578</v>
      </c>
      <c r="C277" s="22" t="s">
        <v>23</v>
      </c>
      <c r="D277" s="22" t="s">
        <v>2347</v>
      </c>
      <c r="E277" s="23">
        <v>8</v>
      </c>
      <c r="F277" s="23">
        <v>190.18</v>
      </c>
      <c r="G277" s="23">
        <v>1814.69</v>
      </c>
      <c r="H277" s="22" t="s">
        <v>547</v>
      </c>
      <c r="I277" s="22" t="s">
        <v>50</v>
      </c>
    </row>
    <row r="278" spans="1:9" x14ac:dyDescent="0.35">
      <c r="A278" s="22" t="s">
        <v>548</v>
      </c>
      <c r="B278" s="22" t="s">
        <v>2579</v>
      </c>
      <c r="C278" s="22" t="s">
        <v>11</v>
      </c>
      <c r="D278" s="22" t="s">
        <v>2347</v>
      </c>
      <c r="E278" s="23" t="s">
        <v>2351</v>
      </c>
      <c r="F278" s="23">
        <v>59.3</v>
      </c>
      <c r="G278" s="23">
        <v>237.2</v>
      </c>
      <c r="H278" s="22" t="s">
        <v>84</v>
      </c>
      <c r="I278" s="22" t="s">
        <v>50</v>
      </c>
    </row>
    <row r="279" spans="1:9" x14ac:dyDescent="0.35">
      <c r="A279" s="22" t="s">
        <v>549</v>
      </c>
      <c r="B279" s="22" t="s">
        <v>2580</v>
      </c>
      <c r="C279" s="22" t="s">
        <v>2282</v>
      </c>
      <c r="D279" s="22" t="s">
        <v>2364</v>
      </c>
      <c r="E279" s="23">
        <v>4</v>
      </c>
      <c r="F279" s="23">
        <v>161.72</v>
      </c>
      <c r="G279" s="23">
        <v>646.88</v>
      </c>
      <c r="H279" s="22" t="s">
        <v>550</v>
      </c>
      <c r="I279" s="22" t="s">
        <v>2298</v>
      </c>
    </row>
    <row r="280" spans="1:9" x14ac:dyDescent="0.35">
      <c r="A280" s="22" t="s">
        <v>192</v>
      </c>
      <c r="B280" s="22" t="s">
        <v>2434</v>
      </c>
      <c r="C280" s="22" t="s">
        <v>2346</v>
      </c>
      <c r="D280" s="22" t="s">
        <v>24</v>
      </c>
      <c r="E280" s="23">
        <v>8</v>
      </c>
      <c r="F280" s="23">
        <v>335.23</v>
      </c>
      <c r="G280" s="23">
        <v>2681.84</v>
      </c>
      <c r="H280" s="22" t="s">
        <v>2581</v>
      </c>
      <c r="I280" s="22" t="s">
        <v>2298</v>
      </c>
    </row>
    <row r="281" spans="1:9" x14ac:dyDescent="0.35">
      <c r="A281" s="22" t="s">
        <v>551</v>
      </c>
      <c r="B281" s="22" t="s">
        <v>2582</v>
      </c>
      <c r="C281" s="22" t="s">
        <v>23</v>
      </c>
      <c r="D281" s="22" t="s">
        <v>24</v>
      </c>
      <c r="E281" s="23">
        <v>5</v>
      </c>
      <c r="F281" s="23">
        <v>336.23</v>
      </c>
      <c r="G281" s="23">
        <v>1681.15</v>
      </c>
      <c r="H281" s="22" t="s">
        <v>552</v>
      </c>
      <c r="I281" s="22" t="s">
        <v>2298</v>
      </c>
    </row>
    <row r="282" spans="1:9" x14ac:dyDescent="0.35">
      <c r="A282" s="22" t="s">
        <v>553</v>
      </c>
      <c r="B282" s="22" t="s">
        <v>2583</v>
      </c>
      <c r="C282" s="22" t="s">
        <v>23</v>
      </c>
      <c r="D282" s="22" t="s">
        <v>2343</v>
      </c>
      <c r="E282" s="23">
        <v>5</v>
      </c>
      <c r="F282" s="23">
        <v>150.25</v>
      </c>
      <c r="G282" s="23">
        <v>751.25</v>
      </c>
      <c r="H282" s="22" t="s">
        <v>554</v>
      </c>
      <c r="I282" s="22" t="s">
        <v>26</v>
      </c>
    </row>
    <row r="283" spans="1:9" x14ac:dyDescent="0.35">
      <c r="A283" s="22" t="s">
        <v>555</v>
      </c>
      <c r="B283" s="22" t="s">
        <v>2584</v>
      </c>
      <c r="C283" s="22" t="s">
        <v>2282</v>
      </c>
      <c r="D283" s="22" t="s">
        <v>2347</v>
      </c>
      <c r="E283" s="23">
        <v>6</v>
      </c>
      <c r="F283" s="23">
        <v>235.45</v>
      </c>
      <c r="G283" s="23">
        <v>1487.92</v>
      </c>
      <c r="H283" s="22" t="s">
        <v>556</v>
      </c>
      <c r="I283" s="22" t="s">
        <v>2344</v>
      </c>
    </row>
    <row r="284" spans="1:9" x14ac:dyDescent="0.35">
      <c r="A284" s="22" t="s">
        <v>557</v>
      </c>
      <c r="B284" s="22" t="s">
        <v>2585</v>
      </c>
      <c r="C284" s="22"/>
      <c r="D284" s="22" t="s">
        <v>2347</v>
      </c>
      <c r="E284" s="23">
        <v>7</v>
      </c>
      <c r="F284" s="23">
        <v>104.79</v>
      </c>
      <c r="G284" s="23">
        <v>733.53</v>
      </c>
      <c r="H284" s="22" t="s">
        <v>558</v>
      </c>
      <c r="I284" s="22" t="s">
        <v>2378</v>
      </c>
    </row>
    <row r="285" spans="1:9" x14ac:dyDescent="0.35">
      <c r="A285" s="22" t="s">
        <v>559</v>
      </c>
      <c r="B285" s="22" t="s">
        <v>2498</v>
      </c>
      <c r="C285" s="22" t="s">
        <v>2282</v>
      </c>
      <c r="D285" s="22" t="s">
        <v>32</v>
      </c>
      <c r="E285" s="23">
        <v>2</v>
      </c>
      <c r="F285" s="23">
        <v>113.08</v>
      </c>
      <c r="G285" s="23">
        <v>329.34</v>
      </c>
      <c r="H285" s="22" t="s">
        <v>560</v>
      </c>
      <c r="I285" s="22" t="s">
        <v>26</v>
      </c>
    </row>
    <row r="286" spans="1:9" x14ac:dyDescent="0.35">
      <c r="A286" s="22" t="s">
        <v>561</v>
      </c>
      <c r="B286" s="22" t="s">
        <v>2586</v>
      </c>
      <c r="C286" s="22" t="s">
        <v>2358</v>
      </c>
      <c r="D286" s="22" t="s">
        <v>2350</v>
      </c>
      <c r="E286" s="23">
        <v>1</v>
      </c>
      <c r="F286" s="23">
        <v>21.29</v>
      </c>
      <c r="G286" s="23">
        <v>21.29</v>
      </c>
      <c r="H286" s="22" t="s">
        <v>562</v>
      </c>
      <c r="I286" s="22" t="s">
        <v>2298</v>
      </c>
    </row>
    <row r="287" spans="1:9" x14ac:dyDescent="0.35">
      <c r="A287" s="22" t="s">
        <v>563</v>
      </c>
      <c r="B287" s="22" t="s">
        <v>2365</v>
      </c>
      <c r="C287" s="22" t="s">
        <v>2342</v>
      </c>
      <c r="D287" s="22" t="s">
        <v>2347</v>
      </c>
      <c r="E287" s="23">
        <v>7</v>
      </c>
      <c r="F287" s="23">
        <v>449.41</v>
      </c>
      <c r="G287" s="23">
        <v>3145.87</v>
      </c>
      <c r="H287" s="22" t="s">
        <v>564</v>
      </c>
      <c r="I287" s="22" t="s">
        <v>2298</v>
      </c>
    </row>
    <row r="288" spans="1:9" x14ac:dyDescent="0.35">
      <c r="A288" s="22" t="s">
        <v>565</v>
      </c>
      <c r="B288" s="22" t="s">
        <v>2425</v>
      </c>
      <c r="C288" s="22" t="s">
        <v>2358</v>
      </c>
      <c r="D288" s="22" t="s">
        <v>2343</v>
      </c>
      <c r="E288" s="23">
        <v>5</v>
      </c>
      <c r="F288" s="23">
        <v>113.25</v>
      </c>
      <c r="G288" s="23"/>
      <c r="H288" s="22" t="s">
        <v>566</v>
      </c>
      <c r="I288" s="22" t="s">
        <v>50</v>
      </c>
    </row>
    <row r="289" spans="1:9" x14ac:dyDescent="0.35">
      <c r="A289" s="22" t="s">
        <v>567</v>
      </c>
      <c r="B289" s="22" t="s">
        <v>2587</v>
      </c>
      <c r="C289" s="22" t="s">
        <v>16</v>
      </c>
      <c r="D289" s="22" t="s">
        <v>32</v>
      </c>
      <c r="E289" s="23">
        <v>-6</v>
      </c>
      <c r="F289" s="23" t="s">
        <v>332</v>
      </c>
      <c r="G289" s="23">
        <v>485.96</v>
      </c>
      <c r="H289" s="22" t="s">
        <v>568</v>
      </c>
      <c r="I289" s="22" t="s">
        <v>14</v>
      </c>
    </row>
    <row r="290" spans="1:9" x14ac:dyDescent="0.35">
      <c r="A290" s="22" t="s">
        <v>569</v>
      </c>
      <c r="B290" s="22" t="s">
        <v>2588</v>
      </c>
      <c r="C290" s="22"/>
      <c r="D290" s="22" t="s">
        <v>46</v>
      </c>
      <c r="E290" s="23">
        <v>4</v>
      </c>
      <c r="F290" s="23">
        <v>147</v>
      </c>
      <c r="G290" s="23">
        <v>588</v>
      </c>
      <c r="H290" s="22" t="s">
        <v>570</v>
      </c>
      <c r="I290" s="22" t="s">
        <v>2344</v>
      </c>
    </row>
    <row r="291" spans="1:9" x14ac:dyDescent="0.35">
      <c r="A291" s="22" t="s">
        <v>48</v>
      </c>
      <c r="B291" s="22"/>
      <c r="C291" s="22"/>
      <c r="D291" s="22" t="s">
        <v>46</v>
      </c>
      <c r="E291" s="23">
        <v>3</v>
      </c>
      <c r="F291" s="23" t="s">
        <v>332</v>
      </c>
      <c r="G291" s="23"/>
      <c r="H291" s="22" t="s">
        <v>2589</v>
      </c>
      <c r="I291" s="22" t="s">
        <v>2356</v>
      </c>
    </row>
    <row r="292" spans="1:9" x14ac:dyDescent="0.35">
      <c r="A292" s="22" t="s">
        <v>571</v>
      </c>
      <c r="B292" s="22" t="s">
        <v>2590</v>
      </c>
      <c r="C292" s="22"/>
      <c r="D292" s="22" t="s">
        <v>32</v>
      </c>
      <c r="E292" s="23">
        <v>8</v>
      </c>
      <c r="F292" s="23">
        <v>323.24</v>
      </c>
      <c r="G292" s="23">
        <v>2585.92</v>
      </c>
      <c r="H292" s="22" t="s">
        <v>572</v>
      </c>
      <c r="I292" s="22" t="s">
        <v>2340</v>
      </c>
    </row>
    <row r="293" spans="1:9" x14ac:dyDescent="0.35">
      <c r="A293" s="22" t="s">
        <v>573</v>
      </c>
      <c r="B293" s="22" t="s">
        <v>2591</v>
      </c>
      <c r="C293" s="22" t="s">
        <v>2342</v>
      </c>
      <c r="D293" s="22" t="s">
        <v>2364</v>
      </c>
      <c r="E293" s="23">
        <v>7</v>
      </c>
      <c r="F293" s="23">
        <v>46.82</v>
      </c>
      <c r="G293" s="23">
        <v>327.74</v>
      </c>
      <c r="H293" s="22" t="s">
        <v>574</v>
      </c>
      <c r="I293" s="22" t="s">
        <v>2378</v>
      </c>
    </row>
    <row r="294" spans="1:9" x14ac:dyDescent="0.35">
      <c r="A294" s="22" t="s">
        <v>575</v>
      </c>
      <c r="B294" s="22" t="s">
        <v>2371</v>
      </c>
      <c r="C294" s="22" t="s">
        <v>2358</v>
      </c>
      <c r="D294" s="22" t="s">
        <v>2350</v>
      </c>
      <c r="E294" s="23">
        <v>1</v>
      </c>
      <c r="F294" s="23">
        <v>-170.15</v>
      </c>
      <c r="G294" s="23">
        <v>189.48</v>
      </c>
      <c r="H294" s="22" t="s">
        <v>576</v>
      </c>
      <c r="I294" s="22" t="s">
        <v>14</v>
      </c>
    </row>
    <row r="295" spans="1:9" x14ac:dyDescent="0.35">
      <c r="A295" s="22" t="s">
        <v>577</v>
      </c>
      <c r="B295" s="22" t="s">
        <v>2592</v>
      </c>
      <c r="C295" s="22" t="s">
        <v>11</v>
      </c>
      <c r="D295" s="22" t="s">
        <v>2350</v>
      </c>
      <c r="E295" s="23">
        <v>9999</v>
      </c>
      <c r="F295" s="23">
        <v>325.93</v>
      </c>
      <c r="G295" s="23">
        <v>651.86</v>
      </c>
      <c r="H295" s="22" t="s">
        <v>578</v>
      </c>
      <c r="I295" s="22" t="s">
        <v>2356</v>
      </c>
    </row>
    <row r="296" spans="1:9" x14ac:dyDescent="0.35">
      <c r="A296" s="22" t="s">
        <v>579</v>
      </c>
      <c r="B296" s="22" t="s">
        <v>2593</v>
      </c>
      <c r="C296" s="22" t="s">
        <v>19</v>
      </c>
      <c r="D296" s="22" t="s">
        <v>2350</v>
      </c>
      <c r="E296" s="23">
        <v>4</v>
      </c>
      <c r="F296" s="23">
        <v>176.43</v>
      </c>
      <c r="G296" s="23">
        <v>705.72</v>
      </c>
      <c r="H296" s="22" t="s">
        <v>580</v>
      </c>
      <c r="I296" s="22" t="s">
        <v>2298</v>
      </c>
    </row>
    <row r="297" spans="1:9" x14ac:dyDescent="0.35">
      <c r="A297" s="22" t="s">
        <v>581</v>
      </c>
      <c r="B297" s="22" t="s">
        <v>2594</v>
      </c>
      <c r="C297" s="22" t="s">
        <v>2342</v>
      </c>
      <c r="D297" s="22" t="s">
        <v>24</v>
      </c>
      <c r="E297" s="23">
        <v>6</v>
      </c>
      <c r="F297" s="23">
        <v>356.89</v>
      </c>
      <c r="G297" s="23">
        <v>2141.34</v>
      </c>
      <c r="H297" s="22" t="s">
        <v>582</v>
      </c>
      <c r="I297" s="22" t="s">
        <v>2378</v>
      </c>
    </row>
    <row r="298" spans="1:9" x14ac:dyDescent="0.35">
      <c r="A298" s="22" t="s">
        <v>583</v>
      </c>
      <c r="B298" s="22" t="s">
        <v>2595</v>
      </c>
      <c r="C298" s="22" t="s">
        <v>2346</v>
      </c>
      <c r="D298" s="22" t="s">
        <v>24</v>
      </c>
      <c r="E298" s="23">
        <v>4</v>
      </c>
      <c r="F298" s="23">
        <v>283.14</v>
      </c>
      <c r="G298" s="23">
        <v>1498.14</v>
      </c>
      <c r="H298" s="22" t="s">
        <v>584</v>
      </c>
      <c r="I298" s="22" t="s">
        <v>14</v>
      </c>
    </row>
    <row r="299" spans="1:9" x14ac:dyDescent="0.35">
      <c r="A299" s="22" t="s">
        <v>585</v>
      </c>
      <c r="B299" s="22" t="s">
        <v>2596</v>
      </c>
      <c r="C299" s="22" t="s">
        <v>19</v>
      </c>
      <c r="D299" s="22" t="s">
        <v>12</v>
      </c>
      <c r="E299" s="23">
        <v>6</v>
      </c>
      <c r="F299" s="23">
        <v>135.44999999999999</v>
      </c>
      <c r="G299" s="23">
        <v>812.7</v>
      </c>
      <c r="H299" s="22" t="s">
        <v>586</v>
      </c>
      <c r="I299" s="22" t="s">
        <v>2356</v>
      </c>
    </row>
    <row r="300" spans="1:9" x14ac:dyDescent="0.35">
      <c r="A300" s="22" t="s">
        <v>118</v>
      </c>
      <c r="B300" s="22" t="s">
        <v>2597</v>
      </c>
      <c r="C300" s="22" t="s">
        <v>2282</v>
      </c>
      <c r="D300" s="22" t="s">
        <v>12</v>
      </c>
      <c r="E300" s="23"/>
      <c r="F300" s="23">
        <v>328.91</v>
      </c>
      <c r="G300" s="23">
        <v>2631.28</v>
      </c>
      <c r="H300" s="22" t="s">
        <v>49</v>
      </c>
      <c r="I300" s="22" t="s">
        <v>2356</v>
      </c>
    </row>
    <row r="301" spans="1:9" x14ac:dyDescent="0.35">
      <c r="A301" s="22" t="s">
        <v>587</v>
      </c>
      <c r="B301" s="22" t="s">
        <v>2598</v>
      </c>
      <c r="C301" s="22" t="s">
        <v>2346</v>
      </c>
      <c r="D301" s="22" t="s">
        <v>2364</v>
      </c>
      <c r="E301" s="23">
        <v>7</v>
      </c>
      <c r="F301" s="23">
        <v>66.97</v>
      </c>
      <c r="G301" s="23">
        <v>657.09</v>
      </c>
      <c r="H301" s="22" t="s">
        <v>588</v>
      </c>
      <c r="I301" s="22" t="s">
        <v>2378</v>
      </c>
    </row>
    <row r="302" spans="1:9" x14ac:dyDescent="0.35">
      <c r="A302" s="22" t="s">
        <v>589</v>
      </c>
      <c r="B302" s="22" t="s">
        <v>2599</v>
      </c>
      <c r="C302" s="22" t="s">
        <v>16</v>
      </c>
      <c r="D302" s="22" t="s">
        <v>2364</v>
      </c>
      <c r="E302" s="23">
        <v>5</v>
      </c>
      <c r="F302" s="23">
        <v>272.83999999999997</v>
      </c>
      <c r="G302" s="23">
        <v>1364.2</v>
      </c>
      <c r="H302" s="22" t="s">
        <v>590</v>
      </c>
      <c r="I302" s="22" t="s">
        <v>2298</v>
      </c>
    </row>
    <row r="303" spans="1:9" x14ac:dyDescent="0.35">
      <c r="A303" s="22" t="s">
        <v>591</v>
      </c>
      <c r="B303" s="22" t="s">
        <v>2600</v>
      </c>
      <c r="C303" s="22" t="s">
        <v>2349</v>
      </c>
      <c r="D303" s="22" t="s">
        <v>32</v>
      </c>
      <c r="E303" s="23">
        <v>2</v>
      </c>
      <c r="F303" s="23" t="s">
        <v>332</v>
      </c>
      <c r="G303" s="23">
        <v>448.4</v>
      </c>
      <c r="H303" s="22"/>
      <c r="I303" s="22" t="s">
        <v>2298</v>
      </c>
    </row>
    <row r="304" spans="1:9" x14ac:dyDescent="0.35">
      <c r="A304" s="22" t="s">
        <v>592</v>
      </c>
      <c r="B304" s="22" t="s">
        <v>2601</v>
      </c>
      <c r="C304" s="22" t="s">
        <v>2349</v>
      </c>
      <c r="D304" s="22" t="s">
        <v>2364</v>
      </c>
      <c r="E304" s="23">
        <v>1</v>
      </c>
      <c r="F304" s="23">
        <v>141.26</v>
      </c>
      <c r="G304" s="23">
        <v>141.26</v>
      </c>
      <c r="H304" s="22" t="s">
        <v>593</v>
      </c>
      <c r="I304" s="22" t="s">
        <v>2378</v>
      </c>
    </row>
    <row r="305" spans="1:9" x14ac:dyDescent="0.35">
      <c r="A305" s="22" t="s">
        <v>594</v>
      </c>
      <c r="B305" s="22" t="s">
        <v>2602</v>
      </c>
      <c r="C305" s="22" t="s">
        <v>11</v>
      </c>
      <c r="D305" s="22" t="s">
        <v>2350</v>
      </c>
      <c r="E305" s="23">
        <v>7</v>
      </c>
      <c r="F305" s="23"/>
      <c r="G305" s="23">
        <v>2141.7199999999998</v>
      </c>
      <c r="H305" s="22" t="s">
        <v>595</v>
      </c>
      <c r="I305" s="22" t="s">
        <v>2340</v>
      </c>
    </row>
    <row r="306" spans="1:9" x14ac:dyDescent="0.35">
      <c r="A306" s="22" t="s">
        <v>596</v>
      </c>
      <c r="B306" s="22" t="s">
        <v>2603</v>
      </c>
      <c r="C306" s="22" t="s">
        <v>23</v>
      </c>
      <c r="D306" s="22" t="s">
        <v>2350</v>
      </c>
      <c r="E306" s="23">
        <v>4</v>
      </c>
      <c r="F306" s="23">
        <v>436.95</v>
      </c>
      <c r="G306" s="23">
        <v>1747.8</v>
      </c>
      <c r="H306" s="22" t="s">
        <v>597</v>
      </c>
      <c r="I306" s="22" t="s">
        <v>2340</v>
      </c>
    </row>
    <row r="307" spans="1:9" x14ac:dyDescent="0.35">
      <c r="A307" s="22" t="s">
        <v>598</v>
      </c>
      <c r="B307" s="22" t="s">
        <v>2604</v>
      </c>
      <c r="C307" s="22" t="s">
        <v>2346</v>
      </c>
      <c r="D307" s="22" t="s">
        <v>2364</v>
      </c>
      <c r="E307" s="23">
        <v>1</v>
      </c>
      <c r="F307" s="23">
        <v>499.46</v>
      </c>
      <c r="G307" s="23">
        <v>499.46</v>
      </c>
      <c r="H307" s="22" t="s">
        <v>599</v>
      </c>
      <c r="I307" s="22" t="s">
        <v>2344</v>
      </c>
    </row>
    <row r="308" spans="1:9" x14ac:dyDescent="0.35">
      <c r="A308" s="22" t="s">
        <v>600</v>
      </c>
      <c r="B308" s="22" t="s">
        <v>2605</v>
      </c>
      <c r="C308" s="22"/>
      <c r="D308" s="22" t="s">
        <v>2343</v>
      </c>
      <c r="E308" s="23">
        <v>6</v>
      </c>
      <c r="F308" s="23">
        <v>307.8</v>
      </c>
      <c r="G308" s="23">
        <v>1846.8</v>
      </c>
      <c r="H308" s="22" t="s">
        <v>601</v>
      </c>
      <c r="I308" s="22"/>
    </row>
    <row r="309" spans="1:9" x14ac:dyDescent="0.35">
      <c r="A309" s="22" t="s">
        <v>602</v>
      </c>
      <c r="B309" s="22" t="s">
        <v>2606</v>
      </c>
      <c r="C309" s="22" t="s">
        <v>2358</v>
      </c>
      <c r="D309" s="22" t="s">
        <v>32</v>
      </c>
      <c r="E309" s="23">
        <v>5</v>
      </c>
      <c r="F309" s="23">
        <v>208.31</v>
      </c>
      <c r="G309" s="23">
        <v>1041.55</v>
      </c>
      <c r="H309" s="22" t="s">
        <v>603</v>
      </c>
      <c r="I309" s="22"/>
    </row>
    <row r="310" spans="1:9" x14ac:dyDescent="0.35">
      <c r="A310" s="22" t="s">
        <v>604</v>
      </c>
      <c r="B310" s="22" t="s">
        <v>2401</v>
      </c>
      <c r="C310" s="22" t="s">
        <v>2349</v>
      </c>
      <c r="D310" s="22" t="s">
        <v>12</v>
      </c>
      <c r="E310" s="23">
        <v>8</v>
      </c>
      <c r="F310" s="23">
        <v>120.35</v>
      </c>
      <c r="G310" s="23">
        <v>962.8</v>
      </c>
      <c r="H310" s="22" t="s">
        <v>605</v>
      </c>
      <c r="I310" s="22" t="s">
        <v>2340</v>
      </c>
    </row>
    <row r="311" spans="1:9" x14ac:dyDescent="0.35">
      <c r="A311" s="22" t="s">
        <v>57</v>
      </c>
      <c r="B311" s="22" t="s">
        <v>2607</v>
      </c>
      <c r="C311" s="22" t="s">
        <v>23</v>
      </c>
      <c r="D311" s="22" t="s">
        <v>2364</v>
      </c>
      <c r="E311" s="23">
        <v>5</v>
      </c>
      <c r="F311" s="23">
        <v>135.97999999999999</v>
      </c>
      <c r="G311" s="23">
        <v>679.9</v>
      </c>
      <c r="H311" s="22" t="s">
        <v>2608</v>
      </c>
      <c r="I311" s="22" t="s">
        <v>2344</v>
      </c>
    </row>
    <row r="312" spans="1:9" x14ac:dyDescent="0.35">
      <c r="A312" s="22" t="s">
        <v>606</v>
      </c>
      <c r="B312" s="22" t="s">
        <v>2609</v>
      </c>
      <c r="C312" s="22" t="s">
        <v>2349</v>
      </c>
      <c r="D312" s="22" t="s">
        <v>46</v>
      </c>
      <c r="E312" s="23">
        <v>4</v>
      </c>
      <c r="F312" s="23">
        <v>244.93</v>
      </c>
      <c r="G312" s="23">
        <v>979.72</v>
      </c>
      <c r="H312" s="22" t="s">
        <v>607</v>
      </c>
      <c r="I312" s="22" t="s">
        <v>2298</v>
      </c>
    </row>
    <row r="313" spans="1:9" x14ac:dyDescent="0.35">
      <c r="A313" s="22" t="s">
        <v>608</v>
      </c>
      <c r="B313" s="22" t="s">
        <v>2610</v>
      </c>
      <c r="C313" s="22" t="s">
        <v>2342</v>
      </c>
      <c r="D313" s="22" t="s">
        <v>2347</v>
      </c>
      <c r="E313" s="23">
        <v>10</v>
      </c>
      <c r="F313" s="23">
        <v>189.97</v>
      </c>
      <c r="G313" s="23">
        <v>1899.7</v>
      </c>
      <c r="H313" s="22" t="s">
        <v>609</v>
      </c>
      <c r="I313" s="22" t="s">
        <v>2340</v>
      </c>
    </row>
    <row r="314" spans="1:9" x14ac:dyDescent="0.35">
      <c r="A314" s="22" t="s">
        <v>610</v>
      </c>
      <c r="B314" s="22" t="s">
        <v>2611</v>
      </c>
      <c r="C314" s="22" t="s">
        <v>2358</v>
      </c>
      <c r="D314" s="22" t="s">
        <v>2364</v>
      </c>
      <c r="E314" s="23">
        <v>9999</v>
      </c>
      <c r="F314" s="23">
        <v>457.77</v>
      </c>
      <c r="G314" s="23">
        <v>3204.39</v>
      </c>
      <c r="H314" s="22" t="s">
        <v>611</v>
      </c>
      <c r="I314" s="22" t="s">
        <v>2356</v>
      </c>
    </row>
    <row r="315" spans="1:9" x14ac:dyDescent="0.35">
      <c r="A315" s="22" t="s">
        <v>612</v>
      </c>
      <c r="B315" s="22" t="s">
        <v>2612</v>
      </c>
      <c r="C315" s="22" t="s">
        <v>23</v>
      </c>
      <c r="D315" s="22" t="s">
        <v>32</v>
      </c>
      <c r="E315" s="23">
        <v>4</v>
      </c>
      <c r="F315" s="23">
        <v>190.46</v>
      </c>
      <c r="G315" s="23">
        <v>761.84</v>
      </c>
      <c r="H315" s="22" t="s">
        <v>613</v>
      </c>
      <c r="I315" s="22" t="s">
        <v>50</v>
      </c>
    </row>
    <row r="316" spans="1:9" x14ac:dyDescent="0.35">
      <c r="A316" s="22" t="s">
        <v>614</v>
      </c>
      <c r="B316" s="22" t="s">
        <v>2613</v>
      </c>
      <c r="C316" s="22" t="s">
        <v>2349</v>
      </c>
      <c r="D316" s="22" t="s">
        <v>12</v>
      </c>
      <c r="E316" s="23">
        <v>8</v>
      </c>
      <c r="F316" s="23">
        <v>192.99</v>
      </c>
      <c r="G316" s="23">
        <v>1543.92</v>
      </c>
      <c r="H316" s="22" t="s">
        <v>615</v>
      </c>
      <c r="I316" s="22" t="s">
        <v>50</v>
      </c>
    </row>
    <row r="317" spans="1:9" x14ac:dyDescent="0.35">
      <c r="A317" s="22" t="s">
        <v>616</v>
      </c>
      <c r="B317" s="22" t="s">
        <v>2397</v>
      </c>
      <c r="C317" s="22" t="s">
        <v>23</v>
      </c>
      <c r="D317" s="22" t="s">
        <v>2343</v>
      </c>
      <c r="E317" s="23">
        <v>5</v>
      </c>
      <c r="F317" s="23">
        <v>197.93</v>
      </c>
      <c r="G317" s="23">
        <v>989.65</v>
      </c>
      <c r="H317" s="22" t="s">
        <v>617</v>
      </c>
      <c r="I317" s="22" t="s">
        <v>2378</v>
      </c>
    </row>
    <row r="318" spans="1:9" x14ac:dyDescent="0.35">
      <c r="A318" s="22" t="s">
        <v>618</v>
      </c>
      <c r="B318" s="22" t="s">
        <v>2614</v>
      </c>
      <c r="C318" s="22" t="s">
        <v>16</v>
      </c>
      <c r="D318" s="22" t="s">
        <v>32</v>
      </c>
      <c r="E318" s="23">
        <v>5</v>
      </c>
      <c r="F318" s="23">
        <v>419.94</v>
      </c>
      <c r="G318" s="23">
        <v>2099.6999999999998</v>
      </c>
      <c r="H318" s="22" t="s">
        <v>619</v>
      </c>
      <c r="I318" s="22" t="s">
        <v>2298</v>
      </c>
    </row>
    <row r="319" spans="1:9" x14ac:dyDescent="0.35">
      <c r="A319" s="22" t="s">
        <v>620</v>
      </c>
      <c r="B319" s="22" t="s">
        <v>2615</v>
      </c>
      <c r="C319" s="22" t="s">
        <v>16</v>
      </c>
      <c r="D319" s="22" t="s">
        <v>2350</v>
      </c>
      <c r="E319" s="23">
        <v>5</v>
      </c>
      <c r="F319" s="23">
        <v>328.89</v>
      </c>
      <c r="G319" s="23">
        <v>1644.45</v>
      </c>
      <c r="H319" s="22" t="s">
        <v>621</v>
      </c>
      <c r="I319" s="22" t="s">
        <v>2298</v>
      </c>
    </row>
    <row r="320" spans="1:9" x14ac:dyDescent="0.35">
      <c r="A320" s="22" t="s">
        <v>622</v>
      </c>
      <c r="B320" s="22" t="s">
        <v>2616</v>
      </c>
      <c r="C320" s="22" t="s">
        <v>2358</v>
      </c>
      <c r="D320" s="22" t="s">
        <v>32</v>
      </c>
      <c r="E320" s="23">
        <v>2</v>
      </c>
      <c r="F320" s="23">
        <v>310.94</v>
      </c>
      <c r="G320" s="23">
        <v>621.88</v>
      </c>
      <c r="H320" s="22" t="s">
        <v>623</v>
      </c>
      <c r="I320" s="22" t="s">
        <v>2340</v>
      </c>
    </row>
    <row r="321" spans="1:9" x14ac:dyDescent="0.35">
      <c r="A321" s="22" t="s">
        <v>624</v>
      </c>
      <c r="B321" s="22" t="s">
        <v>2617</v>
      </c>
      <c r="C321" s="22" t="s">
        <v>2282</v>
      </c>
      <c r="D321" s="22" t="s">
        <v>24</v>
      </c>
      <c r="E321" s="23">
        <v>3</v>
      </c>
      <c r="F321" s="23">
        <v>173.73</v>
      </c>
      <c r="G321" s="23">
        <v>521.19000000000005</v>
      </c>
      <c r="H321" s="22" t="s">
        <v>625</v>
      </c>
      <c r="I321" s="22"/>
    </row>
    <row r="322" spans="1:9" x14ac:dyDescent="0.35">
      <c r="A322" s="22" t="s">
        <v>626</v>
      </c>
      <c r="B322" s="22" t="s">
        <v>2618</v>
      </c>
      <c r="C322" s="22" t="s">
        <v>11</v>
      </c>
      <c r="D322" s="22" t="s">
        <v>24</v>
      </c>
      <c r="E322" s="23">
        <v>4</v>
      </c>
      <c r="F322" s="23">
        <v>410.77</v>
      </c>
      <c r="G322" s="23">
        <v>1643.08</v>
      </c>
      <c r="H322" s="22" t="s">
        <v>49</v>
      </c>
      <c r="I322" s="22" t="s">
        <v>50</v>
      </c>
    </row>
    <row r="323" spans="1:9" x14ac:dyDescent="0.35">
      <c r="A323" s="22" t="s">
        <v>627</v>
      </c>
      <c r="B323" s="22" t="s">
        <v>2619</v>
      </c>
      <c r="C323" s="22" t="s">
        <v>2349</v>
      </c>
      <c r="D323" s="22" t="s">
        <v>2350</v>
      </c>
      <c r="E323" s="23">
        <v>9</v>
      </c>
      <c r="F323" s="23">
        <v>28.8</v>
      </c>
      <c r="G323" s="23">
        <v>259.2</v>
      </c>
      <c r="H323" s="22" t="s">
        <v>49</v>
      </c>
      <c r="I323" s="22" t="s">
        <v>2356</v>
      </c>
    </row>
    <row r="324" spans="1:9" x14ac:dyDescent="0.35">
      <c r="A324" s="22" t="s">
        <v>628</v>
      </c>
      <c r="B324" s="22" t="s">
        <v>2620</v>
      </c>
      <c r="C324" s="22"/>
      <c r="D324" s="22" t="s">
        <v>12</v>
      </c>
      <c r="E324" s="23">
        <v>0</v>
      </c>
      <c r="F324" s="23">
        <v>436.69</v>
      </c>
      <c r="G324" s="23">
        <v>0</v>
      </c>
      <c r="H324" s="22" t="s">
        <v>629</v>
      </c>
      <c r="I324" s="22" t="s">
        <v>26</v>
      </c>
    </row>
    <row r="325" spans="1:9" x14ac:dyDescent="0.35">
      <c r="A325" s="22" t="s">
        <v>630</v>
      </c>
      <c r="B325" s="22" t="s">
        <v>2621</v>
      </c>
      <c r="C325" s="22" t="s">
        <v>2349</v>
      </c>
      <c r="D325" s="22" t="s">
        <v>32</v>
      </c>
      <c r="E325" s="23">
        <v>5</v>
      </c>
      <c r="F325" s="23">
        <v>261.25</v>
      </c>
      <c r="G325" s="23">
        <v>1306.25</v>
      </c>
      <c r="H325" s="22"/>
      <c r="I325" s="22"/>
    </row>
    <row r="326" spans="1:9" x14ac:dyDescent="0.35">
      <c r="A326" s="22" t="s">
        <v>631</v>
      </c>
      <c r="B326" s="22" t="s">
        <v>2622</v>
      </c>
      <c r="C326" s="22" t="s">
        <v>2358</v>
      </c>
      <c r="D326" s="22" t="s">
        <v>2364</v>
      </c>
      <c r="E326" s="23">
        <v>9999</v>
      </c>
      <c r="F326" s="23">
        <v>205.14</v>
      </c>
      <c r="G326" s="23">
        <v>1025.7</v>
      </c>
      <c r="H326" s="22" t="s">
        <v>632</v>
      </c>
      <c r="I326" s="22" t="s">
        <v>2340</v>
      </c>
    </row>
    <row r="327" spans="1:9" x14ac:dyDescent="0.35">
      <c r="A327" s="22" t="s">
        <v>633</v>
      </c>
      <c r="B327" s="22" t="s">
        <v>2623</v>
      </c>
      <c r="C327" s="22" t="s">
        <v>2342</v>
      </c>
      <c r="D327" s="22" t="s">
        <v>24</v>
      </c>
      <c r="E327" s="23">
        <v>5</v>
      </c>
      <c r="F327" s="23">
        <v>253.61</v>
      </c>
      <c r="G327" s="23">
        <v>1268.05</v>
      </c>
      <c r="H327" s="22" t="s">
        <v>634</v>
      </c>
      <c r="I327" s="22" t="s">
        <v>2356</v>
      </c>
    </row>
    <row r="328" spans="1:9" x14ac:dyDescent="0.35">
      <c r="A328" s="22" t="s">
        <v>635</v>
      </c>
      <c r="B328" s="22" t="s">
        <v>2624</v>
      </c>
      <c r="C328" s="22" t="s">
        <v>2349</v>
      </c>
      <c r="D328" s="22" t="s">
        <v>2364</v>
      </c>
      <c r="E328" s="23">
        <v>5</v>
      </c>
      <c r="F328" s="23">
        <v>337.03</v>
      </c>
      <c r="G328" s="23">
        <v>1685.15</v>
      </c>
      <c r="H328" s="22" t="s">
        <v>636</v>
      </c>
      <c r="I328" s="22" t="s">
        <v>14</v>
      </c>
    </row>
    <row r="329" spans="1:9" x14ac:dyDescent="0.35">
      <c r="A329" s="22" t="s">
        <v>637</v>
      </c>
      <c r="B329" s="22" t="s">
        <v>2625</v>
      </c>
      <c r="C329" s="22"/>
      <c r="D329" s="22" t="s">
        <v>2364</v>
      </c>
      <c r="E329" s="23">
        <v>4</v>
      </c>
      <c r="F329" s="23">
        <v>16.260000000000002</v>
      </c>
      <c r="G329" s="23">
        <v>65.040000000000006</v>
      </c>
      <c r="H329" s="22" t="s">
        <v>638</v>
      </c>
      <c r="I329" s="22" t="s">
        <v>14</v>
      </c>
    </row>
    <row r="330" spans="1:9" x14ac:dyDescent="0.35">
      <c r="A330" s="22" t="s">
        <v>183</v>
      </c>
      <c r="B330" s="22" t="s">
        <v>2626</v>
      </c>
      <c r="C330" s="22" t="s">
        <v>2346</v>
      </c>
      <c r="D330" s="22" t="s">
        <v>32</v>
      </c>
      <c r="E330" s="23">
        <v>9</v>
      </c>
      <c r="F330" s="23">
        <v>437.06</v>
      </c>
      <c r="G330" s="23"/>
      <c r="H330" s="22" t="s">
        <v>2627</v>
      </c>
      <c r="I330" s="22" t="s">
        <v>2378</v>
      </c>
    </row>
    <row r="331" spans="1:9" x14ac:dyDescent="0.35">
      <c r="A331" s="22" t="s">
        <v>639</v>
      </c>
      <c r="B331" s="22" t="s">
        <v>2628</v>
      </c>
      <c r="C331" s="22" t="s">
        <v>2346</v>
      </c>
      <c r="D331" s="22" t="s">
        <v>24</v>
      </c>
      <c r="E331" s="23">
        <v>6</v>
      </c>
      <c r="F331" s="23">
        <v>228.9</v>
      </c>
      <c r="G331" s="23">
        <v>1373.4</v>
      </c>
      <c r="H331" s="22" t="s">
        <v>640</v>
      </c>
      <c r="I331" s="22" t="s">
        <v>2378</v>
      </c>
    </row>
    <row r="332" spans="1:9" x14ac:dyDescent="0.35">
      <c r="A332" s="22" t="s">
        <v>641</v>
      </c>
      <c r="B332" s="22" t="s">
        <v>2629</v>
      </c>
      <c r="C332" s="22" t="s">
        <v>2346</v>
      </c>
      <c r="D332" s="22" t="s">
        <v>2343</v>
      </c>
      <c r="E332" s="23">
        <v>2</v>
      </c>
      <c r="F332" s="23">
        <v>178.05</v>
      </c>
      <c r="G332" s="23">
        <v>451.09</v>
      </c>
      <c r="H332" s="22" t="s">
        <v>642</v>
      </c>
      <c r="I332" s="22" t="s">
        <v>2378</v>
      </c>
    </row>
    <row r="333" spans="1:9" x14ac:dyDescent="0.35">
      <c r="A333" s="22" t="s">
        <v>643</v>
      </c>
      <c r="B333" s="22" t="s">
        <v>2630</v>
      </c>
      <c r="C333" s="22" t="s">
        <v>2346</v>
      </c>
      <c r="D333" s="22" t="s">
        <v>32</v>
      </c>
      <c r="E333" s="23">
        <v>6</v>
      </c>
      <c r="F333" s="23">
        <v>77.739999999999995</v>
      </c>
      <c r="G333" s="23">
        <v>466.44</v>
      </c>
      <c r="H333" s="22" t="s">
        <v>644</v>
      </c>
      <c r="I333" s="22" t="s">
        <v>2340</v>
      </c>
    </row>
    <row r="334" spans="1:9" x14ac:dyDescent="0.35">
      <c r="A334" s="22" t="s">
        <v>645</v>
      </c>
      <c r="B334" s="22" t="s">
        <v>2631</v>
      </c>
      <c r="C334" s="22" t="s">
        <v>2358</v>
      </c>
      <c r="D334" s="22" t="s">
        <v>46</v>
      </c>
      <c r="E334" s="23">
        <v>6</v>
      </c>
      <c r="F334" s="23">
        <v>225.34</v>
      </c>
      <c r="G334" s="23">
        <v>1352.04</v>
      </c>
      <c r="H334" s="22" t="s">
        <v>646</v>
      </c>
      <c r="I334" s="22" t="s">
        <v>50</v>
      </c>
    </row>
    <row r="335" spans="1:9" x14ac:dyDescent="0.35">
      <c r="A335" s="22" t="s">
        <v>647</v>
      </c>
      <c r="B335" s="22" t="s">
        <v>2632</v>
      </c>
      <c r="C335" s="22" t="s">
        <v>2346</v>
      </c>
      <c r="D335" s="22" t="s">
        <v>24</v>
      </c>
      <c r="E335" s="23">
        <v>6</v>
      </c>
      <c r="F335" s="23">
        <v>253.2</v>
      </c>
      <c r="G335" s="23">
        <v>1519.2</v>
      </c>
      <c r="H335" s="22" t="s">
        <v>648</v>
      </c>
      <c r="I335" s="22" t="s">
        <v>50</v>
      </c>
    </row>
    <row r="336" spans="1:9" x14ac:dyDescent="0.35">
      <c r="A336" s="22" t="s">
        <v>649</v>
      </c>
      <c r="B336" s="22" t="s">
        <v>2633</v>
      </c>
      <c r="C336" s="22" t="s">
        <v>16</v>
      </c>
      <c r="D336" s="22" t="s">
        <v>12</v>
      </c>
      <c r="E336" s="23">
        <v>5</v>
      </c>
      <c r="F336" s="23">
        <v>207.79</v>
      </c>
      <c r="G336" s="23">
        <v>1308.0899999999999</v>
      </c>
      <c r="H336" s="22" t="s">
        <v>650</v>
      </c>
      <c r="I336" s="22" t="s">
        <v>26</v>
      </c>
    </row>
    <row r="337" spans="1:9" x14ac:dyDescent="0.35">
      <c r="A337" s="22" t="s">
        <v>651</v>
      </c>
      <c r="B337" s="22" t="s">
        <v>2397</v>
      </c>
      <c r="C337" s="22" t="s">
        <v>16</v>
      </c>
      <c r="D337" s="22" t="s">
        <v>46</v>
      </c>
      <c r="E337" s="23">
        <v>2</v>
      </c>
      <c r="F337" s="23">
        <v>342.54</v>
      </c>
      <c r="G337" s="23">
        <v>815.82</v>
      </c>
      <c r="H337" s="22" t="s">
        <v>652</v>
      </c>
      <c r="I337" s="22" t="s">
        <v>2340</v>
      </c>
    </row>
    <row r="338" spans="1:9" x14ac:dyDescent="0.35">
      <c r="A338" s="22" t="s">
        <v>653</v>
      </c>
      <c r="B338" s="22" t="s">
        <v>2634</v>
      </c>
      <c r="C338" s="22" t="s">
        <v>19</v>
      </c>
      <c r="D338" s="22" t="s">
        <v>2343</v>
      </c>
      <c r="E338" s="23">
        <v>5</v>
      </c>
      <c r="F338" s="23">
        <v>216.24</v>
      </c>
      <c r="G338" s="23">
        <v>1424.49</v>
      </c>
      <c r="H338" s="22" t="s">
        <v>654</v>
      </c>
      <c r="I338" s="22" t="s">
        <v>2378</v>
      </c>
    </row>
    <row r="339" spans="1:9" x14ac:dyDescent="0.35">
      <c r="A339" s="22" t="s">
        <v>655</v>
      </c>
      <c r="B339" s="22" t="s">
        <v>2635</v>
      </c>
      <c r="C339" s="22" t="s">
        <v>11</v>
      </c>
      <c r="D339" s="22" t="s">
        <v>2343</v>
      </c>
      <c r="E339" s="23">
        <v>3</v>
      </c>
      <c r="F339" s="23">
        <v>481.09</v>
      </c>
      <c r="G339" s="23">
        <v>1443.27</v>
      </c>
      <c r="H339" s="22" t="s">
        <v>656</v>
      </c>
      <c r="I339" s="22" t="s">
        <v>26</v>
      </c>
    </row>
    <row r="340" spans="1:9" x14ac:dyDescent="0.35">
      <c r="A340" s="22" t="s">
        <v>657</v>
      </c>
      <c r="B340" s="22" t="s">
        <v>2636</v>
      </c>
      <c r="C340" s="22" t="s">
        <v>23</v>
      </c>
      <c r="D340" s="22" t="s">
        <v>2343</v>
      </c>
      <c r="E340" s="23">
        <v>3</v>
      </c>
      <c r="F340" s="23">
        <v>303.64999999999998</v>
      </c>
      <c r="G340" s="23">
        <v>910.95</v>
      </c>
      <c r="H340" s="22"/>
      <c r="I340" s="22" t="s">
        <v>2298</v>
      </c>
    </row>
    <row r="341" spans="1:9" x14ac:dyDescent="0.35">
      <c r="A341" s="22" t="s">
        <v>658</v>
      </c>
      <c r="B341" s="22" t="s">
        <v>2637</v>
      </c>
      <c r="C341" s="22" t="s">
        <v>16</v>
      </c>
      <c r="D341" s="22" t="s">
        <v>46</v>
      </c>
      <c r="E341" s="23">
        <v>3</v>
      </c>
      <c r="F341" s="23">
        <v>405.66</v>
      </c>
      <c r="G341" s="23"/>
      <c r="H341" s="22" t="s">
        <v>84</v>
      </c>
      <c r="I341" s="22" t="s">
        <v>2340</v>
      </c>
    </row>
    <row r="342" spans="1:9" x14ac:dyDescent="0.35">
      <c r="A342" s="22" t="s">
        <v>659</v>
      </c>
      <c r="B342" s="22" t="s">
        <v>2638</v>
      </c>
      <c r="C342" s="22" t="s">
        <v>23</v>
      </c>
      <c r="D342" s="22" t="s">
        <v>2350</v>
      </c>
      <c r="E342" s="23">
        <v>6</v>
      </c>
      <c r="F342" s="23">
        <v>63.58</v>
      </c>
      <c r="G342" s="23">
        <v>381.48</v>
      </c>
      <c r="H342" s="22" t="s">
        <v>660</v>
      </c>
      <c r="I342" s="22" t="s">
        <v>2378</v>
      </c>
    </row>
    <row r="343" spans="1:9" x14ac:dyDescent="0.35">
      <c r="A343" s="22" t="s">
        <v>661</v>
      </c>
      <c r="B343" s="22" t="s">
        <v>2639</v>
      </c>
      <c r="C343" s="22" t="s">
        <v>19</v>
      </c>
      <c r="D343" s="22" t="s">
        <v>2343</v>
      </c>
      <c r="E343" s="23">
        <v>6</v>
      </c>
      <c r="F343" s="23">
        <v>204.67</v>
      </c>
      <c r="G343" s="23">
        <v>1228.02</v>
      </c>
      <c r="H343" s="22" t="s">
        <v>662</v>
      </c>
      <c r="I343" s="22" t="s">
        <v>2356</v>
      </c>
    </row>
    <row r="344" spans="1:9" x14ac:dyDescent="0.35">
      <c r="A344" s="22" t="s">
        <v>663</v>
      </c>
      <c r="B344" s="22"/>
      <c r="C344" s="22" t="s">
        <v>11</v>
      </c>
      <c r="D344" s="22" t="s">
        <v>2343</v>
      </c>
      <c r="E344" s="23">
        <v>4</v>
      </c>
      <c r="F344" s="23">
        <v>175.06</v>
      </c>
      <c r="G344" s="23">
        <v>700.24</v>
      </c>
      <c r="H344" s="22" t="s">
        <v>664</v>
      </c>
      <c r="I344" s="22" t="s">
        <v>14</v>
      </c>
    </row>
    <row r="345" spans="1:9" x14ac:dyDescent="0.35">
      <c r="A345" s="22" t="s">
        <v>665</v>
      </c>
      <c r="B345" s="22" t="s">
        <v>2640</v>
      </c>
      <c r="C345" s="22" t="s">
        <v>16</v>
      </c>
      <c r="D345" s="22" t="s">
        <v>46</v>
      </c>
      <c r="E345" s="23">
        <v>9999</v>
      </c>
      <c r="F345" s="23">
        <v>289.05</v>
      </c>
      <c r="G345" s="23">
        <v>1445.25</v>
      </c>
      <c r="H345" s="22" t="s">
        <v>49</v>
      </c>
      <c r="I345" s="22" t="s">
        <v>26</v>
      </c>
    </row>
    <row r="346" spans="1:9" x14ac:dyDescent="0.35">
      <c r="A346" s="22" t="s">
        <v>666</v>
      </c>
      <c r="B346" s="22"/>
      <c r="C346" s="22" t="s">
        <v>16</v>
      </c>
      <c r="D346" s="22" t="s">
        <v>32</v>
      </c>
      <c r="E346" s="23">
        <v>5</v>
      </c>
      <c r="F346" s="23">
        <v>431.95</v>
      </c>
      <c r="G346" s="23">
        <v>2159.75</v>
      </c>
      <c r="H346" s="22" t="s">
        <v>667</v>
      </c>
      <c r="I346" s="22" t="s">
        <v>50</v>
      </c>
    </row>
    <row r="347" spans="1:9" x14ac:dyDescent="0.35">
      <c r="A347" s="22" t="s">
        <v>668</v>
      </c>
      <c r="B347" s="22" t="s">
        <v>2641</v>
      </c>
      <c r="C347" s="22" t="s">
        <v>11</v>
      </c>
      <c r="D347" s="22" t="s">
        <v>2347</v>
      </c>
      <c r="E347" s="23">
        <v>7</v>
      </c>
      <c r="F347" s="23">
        <v>48.39</v>
      </c>
      <c r="G347" s="23">
        <v>338.73</v>
      </c>
      <c r="H347" s="22" t="s">
        <v>669</v>
      </c>
      <c r="I347" s="22" t="s">
        <v>14</v>
      </c>
    </row>
    <row r="348" spans="1:9" x14ac:dyDescent="0.35">
      <c r="A348" s="22" t="s">
        <v>670</v>
      </c>
      <c r="B348" s="22" t="s">
        <v>2642</v>
      </c>
      <c r="C348" s="22" t="s">
        <v>11</v>
      </c>
      <c r="D348" s="22" t="s">
        <v>2343</v>
      </c>
      <c r="E348" s="23">
        <v>5</v>
      </c>
      <c r="F348" s="23">
        <v>45.56</v>
      </c>
      <c r="G348" s="23">
        <v>227.8</v>
      </c>
      <c r="H348" s="22" t="s">
        <v>671</v>
      </c>
      <c r="I348" s="22" t="s">
        <v>2344</v>
      </c>
    </row>
    <row r="349" spans="1:9" x14ac:dyDescent="0.35">
      <c r="A349" s="22" t="s">
        <v>672</v>
      </c>
      <c r="B349" s="22" t="s">
        <v>2643</v>
      </c>
      <c r="C349" s="22" t="s">
        <v>23</v>
      </c>
      <c r="D349" s="22" t="s">
        <v>46</v>
      </c>
      <c r="E349" s="23">
        <v>3</v>
      </c>
      <c r="F349" s="23">
        <v>426.66</v>
      </c>
      <c r="G349" s="23">
        <v>1279.98</v>
      </c>
      <c r="H349" s="22" t="s">
        <v>673</v>
      </c>
      <c r="I349" s="22" t="s">
        <v>2298</v>
      </c>
    </row>
    <row r="350" spans="1:9" x14ac:dyDescent="0.35">
      <c r="A350" s="22" t="s">
        <v>674</v>
      </c>
      <c r="B350" s="22" t="s">
        <v>2644</v>
      </c>
      <c r="C350" s="22" t="s">
        <v>2282</v>
      </c>
      <c r="D350" s="22" t="s">
        <v>32</v>
      </c>
      <c r="E350" s="23">
        <v>4</v>
      </c>
      <c r="F350" s="23">
        <v>114.3</v>
      </c>
      <c r="G350" s="23">
        <v>588.20000000000005</v>
      </c>
      <c r="H350" s="22" t="s">
        <v>675</v>
      </c>
      <c r="I350" s="22" t="s">
        <v>2344</v>
      </c>
    </row>
    <row r="351" spans="1:9" x14ac:dyDescent="0.35">
      <c r="A351" s="22" t="s">
        <v>676</v>
      </c>
      <c r="B351" s="22" t="s">
        <v>2645</v>
      </c>
      <c r="C351" s="22" t="s">
        <v>2349</v>
      </c>
      <c r="D351" s="22" t="s">
        <v>32</v>
      </c>
      <c r="E351" s="23">
        <v>7</v>
      </c>
      <c r="F351" s="23">
        <v>337.69</v>
      </c>
      <c r="G351" s="23">
        <v>2363.83</v>
      </c>
      <c r="H351" s="22" t="s">
        <v>677</v>
      </c>
      <c r="I351" s="22" t="s">
        <v>14</v>
      </c>
    </row>
    <row r="352" spans="1:9" x14ac:dyDescent="0.35">
      <c r="A352" s="22" t="s">
        <v>678</v>
      </c>
      <c r="B352" s="22" t="s">
        <v>2646</v>
      </c>
      <c r="C352" s="22" t="s">
        <v>2342</v>
      </c>
      <c r="D352" s="22" t="s">
        <v>32</v>
      </c>
      <c r="E352" s="23">
        <v>5</v>
      </c>
      <c r="F352" s="23" t="s">
        <v>332</v>
      </c>
      <c r="G352" s="23">
        <v>1380.05</v>
      </c>
      <c r="H352" s="22" t="s">
        <v>679</v>
      </c>
      <c r="I352" s="22" t="s">
        <v>2344</v>
      </c>
    </row>
    <row r="353" spans="1:9" x14ac:dyDescent="0.35">
      <c r="A353" s="22" t="s">
        <v>680</v>
      </c>
      <c r="B353" s="22" t="s">
        <v>2611</v>
      </c>
      <c r="C353" s="22" t="s">
        <v>2346</v>
      </c>
      <c r="D353" s="22" t="s">
        <v>2343</v>
      </c>
      <c r="E353" s="23">
        <v>7</v>
      </c>
      <c r="F353" s="23">
        <v>418.12</v>
      </c>
      <c r="G353" s="23">
        <v>2926.84</v>
      </c>
      <c r="H353" s="22" t="s">
        <v>681</v>
      </c>
      <c r="I353" s="22"/>
    </row>
    <row r="354" spans="1:9" x14ac:dyDescent="0.35">
      <c r="A354" s="22" t="s">
        <v>682</v>
      </c>
      <c r="B354" s="22" t="s">
        <v>2647</v>
      </c>
      <c r="C354" s="22" t="s">
        <v>19</v>
      </c>
      <c r="D354" s="22" t="s">
        <v>46</v>
      </c>
      <c r="E354" s="23">
        <v>8</v>
      </c>
      <c r="F354" s="23">
        <v>71.290000000000006</v>
      </c>
      <c r="G354" s="23">
        <v>570.32000000000005</v>
      </c>
      <c r="H354" s="22" t="s">
        <v>683</v>
      </c>
      <c r="I354" s="22" t="s">
        <v>2344</v>
      </c>
    </row>
    <row r="355" spans="1:9" x14ac:dyDescent="0.35">
      <c r="A355" s="22" t="s">
        <v>684</v>
      </c>
      <c r="B355" s="22" t="s">
        <v>2468</v>
      </c>
      <c r="C355" s="22"/>
      <c r="D355" s="22" t="s">
        <v>2347</v>
      </c>
      <c r="E355" s="23">
        <v>7</v>
      </c>
      <c r="F355" s="23"/>
      <c r="G355" s="23"/>
      <c r="H355" s="22" t="s">
        <v>685</v>
      </c>
      <c r="I355" s="22" t="s">
        <v>2344</v>
      </c>
    </row>
    <row r="356" spans="1:9" x14ac:dyDescent="0.35">
      <c r="A356" s="22" t="s">
        <v>686</v>
      </c>
      <c r="B356" s="22" t="s">
        <v>2648</v>
      </c>
      <c r="C356" s="22" t="s">
        <v>2282</v>
      </c>
      <c r="D356" s="22" t="s">
        <v>2350</v>
      </c>
      <c r="E356" s="23">
        <v>5</v>
      </c>
      <c r="F356" s="23">
        <v>282.83999999999997</v>
      </c>
      <c r="G356" s="23">
        <v>1570.24</v>
      </c>
      <c r="H356" s="22" t="s">
        <v>49</v>
      </c>
      <c r="I356" s="22" t="s">
        <v>2356</v>
      </c>
    </row>
    <row r="357" spans="1:9" x14ac:dyDescent="0.35">
      <c r="A357" s="22" t="s">
        <v>158</v>
      </c>
      <c r="B357" s="22" t="s">
        <v>2649</v>
      </c>
      <c r="C357" s="22" t="s">
        <v>2349</v>
      </c>
      <c r="D357" s="22" t="s">
        <v>2350</v>
      </c>
      <c r="E357" s="23">
        <v>8</v>
      </c>
      <c r="F357" s="23">
        <v>473.73</v>
      </c>
      <c r="G357" s="23">
        <v>3789.84</v>
      </c>
      <c r="H357" s="22" t="s">
        <v>2650</v>
      </c>
      <c r="I357" s="22" t="s">
        <v>14</v>
      </c>
    </row>
    <row r="358" spans="1:9" x14ac:dyDescent="0.35">
      <c r="A358" s="22" t="s">
        <v>687</v>
      </c>
      <c r="B358" s="22" t="s">
        <v>2651</v>
      </c>
      <c r="C358" s="22" t="s">
        <v>2342</v>
      </c>
      <c r="D358" s="22" t="s">
        <v>32</v>
      </c>
      <c r="E358" s="23">
        <v>4</v>
      </c>
      <c r="F358" s="23">
        <v>213.35</v>
      </c>
      <c r="G358" s="23">
        <v>853.4</v>
      </c>
      <c r="H358" s="22" t="s">
        <v>688</v>
      </c>
      <c r="I358" s="22" t="s">
        <v>14</v>
      </c>
    </row>
    <row r="359" spans="1:9" x14ac:dyDescent="0.35">
      <c r="A359" s="22" t="s">
        <v>689</v>
      </c>
      <c r="B359" s="22" t="s">
        <v>2652</v>
      </c>
      <c r="C359" s="22" t="s">
        <v>16</v>
      </c>
      <c r="D359" s="22" t="s">
        <v>2347</v>
      </c>
      <c r="E359" s="23">
        <v>6</v>
      </c>
      <c r="F359" s="23">
        <v>170.2</v>
      </c>
      <c r="G359" s="23">
        <v>1234.06</v>
      </c>
      <c r="H359" s="22" t="s">
        <v>690</v>
      </c>
      <c r="I359" s="22" t="s">
        <v>2298</v>
      </c>
    </row>
    <row r="360" spans="1:9" x14ac:dyDescent="0.35">
      <c r="A360" s="22" t="s">
        <v>691</v>
      </c>
      <c r="B360" s="22" t="s">
        <v>2653</v>
      </c>
      <c r="C360" s="22" t="s">
        <v>2282</v>
      </c>
      <c r="D360" s="22" t="s">
        <v>2364</v>
      </c>
      <c r="E360" s="23">
        <v>8</v>
      </c>
      <c r="F360" s="23">
        <v>307.27999999999997</v>
      </c>
      <c r="G360" s="23">
        <v>2458.2399999999998</v>
      </c>
      <c r="H360" s="22" t="s">
        <v>692</v>
      </c>
      <c r="I360" s="22" t="s">
        <v>26</v>
      </c>
    </row>
    <row r="361" spans="1:9" x14ac:dyDescent="0.35">
      <c r="A361" s="22" t="s">
        <v>693</v>
      </c>
      <c r="B361" s="22" t="s">
        <v>2654</v>
      </c>
      <c r="C361" s="22" t="s">
        <v>2282</v>
      </c>
      <c r="D361" s="22" t="s">
        <v>2364</v>
      </c>
      <c r="E361" s="23">
        <v>6</v>
      </c>
      <c r="F361" s="23">
        <v>465.92</v>
      </c>
      <c r="G361" s="23">
        <v>2795.52</v>
      </c>
      <c r="H361" s="22" t="s">
        <v>694</v>
      </c>
      <c r="I361" s="22" t="s">
        <v>50</v>
      </c>
    </row>
    <row r="362" spans="1:9" x14ac:dyDescent="0.35">
      <c r="A362" s="22" t="s">
        <v>695</v>
      </c>
      <c r="B362" s="22" t="s">
        <v>2655</v>
      </c>
      <c r="C362" s="22" t="s">
        <v>2358</v>
      </c>
      <c r="D362" s="22" t="s">
        <v>32</v>
      </c>
      <c r="E362" s="23">
        <v>3</v>
      </c>
      <c r="F362" s="23">
        <v>420.09</v>
      </c>
      <c r="G362" s="23">
        <v>1260.27</v>
      </c>
      <c r="H362" s="22" t="s">
        <v>696</v>
      </c>
      <c r="I362" s="22" t="s">
        <v>2378</v>
      </c>
    </row>
    <row r="363" spans="1:9" x14ac:dyDescent="0.35">
      <c r="A363" s="22" t="s">
        <v>697</v>
      </c>
      <c r="B363" s="22" t="s">
        <v>2371</v>
      </c>
      <c r="C363" s="22" t="s">
        <v>19</v>
      </c>
      <c r="D363" s="22" t="s">
        <v>2364</v>
      </c>
      <c r="E363" s="23">
        <v>8</v>
      </c>
      <c r="F363" s="23">
        <v>-37.11</v>
      </c>
      <c r="G363" s="23">
        <v>3982.32</v>
      </c>
      <c r="H363" s="22"/>
      <c r="I363" s="22" t="s">
        <v>2344</v>
      </c>
    </row>
    <row r="364" spans="1:9" x14ac:dyDescent="0.35">
      <c r="A364" s="22" t="s">
        <v>698</v>
      </c>
      <c r="B364" s="22" t="s">
        <v>2458</v>
      </c>
      <c r="C364" s="22"/>
      <c r="D364" s="22" t="s">
        <v>46</v>
      </c>
      <c r="E364" s="23">
        <v>4</v>
      </c>
      <c r="F364" s="23">
        <v>21.06</v>
      </c>
      <c r="G364" s="23">
        <v>84.24</v>
      </c>
      <c r="H364" s="22" t="s">
        <v>699</v>
      </c>
      <c r="I364" s="22" t="s">
        <v>2378</v>
      </c>
    </row>
    <row r="365" spans="1:9" x14ac:dyDescent="0.35">
      <c r="A365" s="22" t="s">
        <v>700</v>
      </c>
      <c r="B365" s="22" t="s">
        <v>2575</v>
      </c>
      <c r="C365" s="22" t="s">
        <v>19</v>
      </c>
      <c r="D365" s="22" t="s">
        <v>12</v>
      </c>
      <c r="E365" s="23">
        <v>7</v>
      </c>
      <c r="F365" s="23">
        <v>65.3</v>
      </c>
      <c r="G365" s="23">
        <v>457.1</v>
      </c>
      <c r="H365" s="22" t="s">
        <v>701</v>
      </c>
      <c r="I365" s="22" t="s">
        <v>2344</v>
      </c>
    </row>
    <row r="366" spans="1:9" x14ac:dyDescent="0.35">
      <c r="A366" s="22" t="s">
        <v>702</v>
      </c>
      <c r="B366" s="22" t="s">
        <v>2439</v>
      </c>
      <c r="C366" s="22" t="s">
        <v>23</v>
      </c>
      <c r="D366" s="22" t="s">
        <v>24</v>
      </c>
      <c r="E366" s="23">
        <v>2</v>
      </c>
      <c r="F366" s="23">
        <v>308.64</v>
      </c>
      <c r="G366" s="23">
        <v>617.28</v>
      </c>
      <c r="H366" s="22" t="s">
        <v>703</v>
      </c>
      <c r="I366" s="22" t="s">
        <v>2344</v>
      </c>
    </row>
    <row r="367" spans="1:9" x14ac:dyDescent="0.35">
      <c r="A367" s="22" t="s">
        <v>704</v>
      </c>
      <c r="B367" s="22" t="s">
        <v>2656</v>
      </c>
      <c r="C367" s="22" t="s">
        <v>2346</v>
      </c>
      <c r="D367" s="22" t="s">
        <v>2350</v>
      </c>
      <c r="E367" s="23">
        <v>10</v>
      </c>
      <c r="F367" s="23">
        <v>412.08</v>
      </c>
      <c r="G367" s="23">
        <v>4120.8</v>
      </c>
      <c r="H367" s="22" t="s">
        <v>705</v>
      </c>
      <c r="I367" s="22"/>
    </row>
    <row r="368" spans="1:9" x14ac:dyDescent="0.35">
      <c r="A368" s="22" t="s">
        <v>706</v>
      </c>
      <c r="B368" s="22"/>
      <c r="C368" s="22" t="s">
        <v>2349</v>
      </c>
      <c r="D368" s="22" t="s">
        <v>24</v>
      </c>
      <c r="E368" s="23">
        <v>6</v>
      </c>
      <c r="F368" s="23">
        <v>149.77000000000001</v>
      </c>
      <c r="G368" s="23">
        <v>898.62</v>
      </c>
      <c r="H368" s="22" t="s">
        <v>707</v>
      </c>
      <c r="I368" s="22" t="s">
        <v>2344</v>
      </c>
    </row>
    <row r="369" spans="1:9" x14ac:dyDescent="0.35">
      <c r="A369" s="22" t="s">
        <v>708</v>
      </c>
      <c r="B369" s="22" t="s">
        <v>2657</v>
      </c>
      <c r="C369" s="22" t="s">
        <v>23</v>
      </c>
      <c r="D369" s="22" t="s">
        <v>24</v>
      </c>
      <c r="E369" s="23">
        <v>4</v>
      </c>
      <c r="F369" s="23">
        <v>127.21</v>
      </c>
      <c r="G369" s="23">
        <v>508.84</v>
      </c>
      <c r="H369" s="22" t="s">
        <v>709</v>
      </c>
      <c r="I369" s="22" t="s">
        <v>2344</v>
      </c>
    </row>
    <row r="370" spans="1:9" x14ac:dyDescent="0.35">
      <c r="A370" s="22" t="s">
        <v>710</v>
      </c>
      <c r="B370" s="22" t="s">
        <v>2658</v>
      </c>
      <c r="C370" s="22" t="s">
        <v>2358</v>
      </c>
      <c r="D370" s="22" t="s">
        <v>2350</v>
      </c>
      <c r="E370" s="23">
        <v>5</v>
      </c>
      <c r="F370" s="23">
        <v>395.62</v>
      </c>
      <c r="G370" s="23">
        <v>1978.1</v>
      </c>
      <c r="H370" s="22" t="s">
        <v>49</v>
      </c>
      <c r="I370" s="22" t="s">
        <v>50</v>
      </c>
    </row>
    <row r="371" spans="1:9" x14ac:dyDescent="0.35">
      <c r="A371" s="22" t="s">
        <v>711</v>
      </c>
      <c r="B371" s="22" t="s">
        <v>2487</v>
      </c>
      <c r="C371" s="22" t="s">
        <v>23</v>
      </c>
      <c r="D371" s="22" t="s">
        <v>2347</v>
      </c>
      <c r="E371" s="23">
        <v>6</v>
      </c>
      <c r="F371" s="23">
        <v>37.630000000000003</v>
      </c>
      <c r="G371" s="23">
        <v>225.78</v>
      </c>
      <c r="H371" s="22" t="s">
        <v>712</v>
      </c>
      <c r="I371" s="22" t="s">
        <v>2340</v>
      </c>
    </row>
    <row r="372" spans="1:9" x14ac:dyDescent="0.35">
      <c r="A372" s="22" t="s">
        <v>713</v>
      </c>
      <c r="B372" s="22" t="s">
        <v>2659</v>
      </c>
      <c r="C372" s="22" t="s">
        <v>11</v>
      </c>
      <c r="D372" s="22" t="s">
        <v>32</v>
      </c>
      <c r="E372" s="23">
        <v>4</v>
      </c>
      <c r="F372" s="23">
        <v>191</v>
      </c>
      <c r="G372" s="23">
        <v>764</v>
      </c>
      <c r="H372" s="22" t="s">
        <v>714</v>
      </c>
      <c r="I372" s="22" t="s">
        <v>2344</v>
      </c>
    </row>
    <row r="373" spans="1:9" x14ac:dyDescent="0.35">
      <c r="A373" s="22" t="s">
        <v>715</v>
      </c>
      <c r="B373" s="22"/>
      <c r="C373" s="22" t="s">
        <v>2349</v>
      </c>
      <c r="D373" s="22" t="s">
        <v>32</v>
      </c>
      <c r="E373" s="23">
        <v>5</v>
      </c>
      <c r="F373" s="23">
        <v>257.85000000000002</v>
      </c>
      <c r="G373" s="23">
        <v>1629.44</v>
      </c>
      <c r="H373" s="22" t="s">
        <v>716</v>
      </c>
      <c r="I373" s="22" t="s">
        <v>14</v>
      </c>
    </row>
    <row r="374" spans="1:9" x14ac:dyDescent="0.35">
      <c r="A374" s="22" t="s">
        <v>717</v>
      </c>
      <c r="B374" s="22"/>
      <c r="C374" s="22" t="s">
        <v>2346</v>
      </c>
      <c r="D374" s="22" t="s">
        <v>2350</v>
      </c>
      <c r="E374" s="23">
        <v>6</v>
      </c>
      <c r="F374" s="23">
        <v>284.57</v>
      </c>
      <c r="G374" s="23">
        <v>1707.42</v>
      </c>
      <c r="H374" s="22" t="s">
        <v>718</v>
      </c>
      <c r="I374" s="22" t="s">
        <v>2356</v>
      </c>
    </row>
    <row r="375" spans="1:9" x14ac:dyDescent="0.35">
      <c r="A375" s="22" t="s">
        <v>719</v>
      </c>
      <c r="B375" s="22" t="s">
        <v>2660</v>
      </c>
      <c r="C375" s="22" t="s">
        <v>16</v>
      </c>
      <c r="D375" s="22" t="s">
        <v>2364</v>
      </c>
      <c r="E375" s="23">
        <v>3</v>
      </c>
      <c r="F375" s="23">
        <v>367.02</v>
      </c>
      <c r="G375" s="23">
        <v>1101.06</v>
      </c>
      <c r="H375" s="22"/>
      <c r="I375" s="22" t="s">
        <v>2298</v>
      </c>
    </row>
    <row r="376" spans="1:9" x14ac:dyDescent="0.35">
      <c r="A376" s="22" t="s">
        <v>720</v>
      </c>
      <c r="B376" s="22" t="s">
        <v>2464</v>
      </c>
      <c r="C376" s="22" t="s">
        <v>11</v>
      </c>
      <c r="D376" s="22" t="s">
        <v>24</v>
      </c>
      <c r="E376" s="23">
        <v>7</v>
      </c>
      <c r="F376" s="23">
        <v>183.87</v>
      </c>
      <c r="G376" s="23">
        <v>1287.0899999999999</v>
      </c>
      <c r="H376" s="22" t="s">
        <v>721</v>
      </c>
      <c r="I376" s="22" t="s">
        <v>26</v>
      </c>
    </row>
    <row r="377" spans="1:9" x14ac:dyDescent="0.35">
      <c r="A377" s="22" t="s">
        <v>722</v>
      </c>
      <c r="B377" s="22" t="s">
        <v>2661</v>
      </c>
      <c r="C377" s="22" t="s">
        <v>11</v>
      </c>
      <c r="D377" s="22" t="s">
        <v>46</v>
      </c>
      <c r="E377" s="23"/>
      <c r="F377" s="23">
        <v>310.22000000000003</v>
      </c>
      <c r="G377" s="23">
        <v>2171.54</v>
      </c>
      <c r="H377" s="22" t="s">
        <v>723</v>
      </c>
      <c r="I377" s="22" t="s">
        <v>2378</v>
      </c>
    </row>
    <row r="378" spans="1:9" x14ac:dyDescent="0.35">
      <c r="A378" s="22" t="s">
        <v>724</v>
      </c>
      <c r="B378" s="22" t="s">
        <v>2662</v>
      </c>
      <c r="C378" s="22" t="s">
        <v>2349</v>
      </c>
      <c r="D378" s="22" t="s">
        <v>2347</v>
      </c>
      <c r="E378" s="23">
        <v>8</v>
      </c>
      <c r="F378" s="23">
        <v>296.83</v>
      </c>
      <c r="G378" s="23">
        <v>2374.64</v>
      </c>
      <c r="H378" s="22" t="s">
        <v>725</v>
      </c>
      <c r="I378" s="22" t="s">
        <v>50</v>
      </c>
    </row>
    <row r="379" spans="1:9" x14ac:dyDescent="0.35">
      <c r="A379" s="22" t="s">
        <v>726</v>
      </c>
      <c r="B379" s="22" t="s">
        <v>2663</v>
      </c>
      <c r="C379" s="22" t="s">
        <v>11</v>
      </c>
      <c r="D379" s="22" t="s">
        <v>2350</v>
      </c>
      <c r="E379" s="23">
        <v>4</v>
      </c>
      <c r="F379" s="23">
        <v>278.33</v>
      </c>
      <c r="G379" s="23">
        <v>1496.51</v>
      </c>
      <c r="H379" s="22" t="s">
        <v>727</v>
      </c>
      <c r="I379" s="22" t="s">
        <v>26</v>
      </c>
    </row>
    <row r="380" spans="1:9" x14ac:dyDescent="0.35">
      <c r="A380" s="22" t="s">
        <v>728</v>
      </c>
      <c r="B380" s="22" t="s">
        <v>2664</v>
      </c>
      <c r="C380" s="22" t="s">
        <v>16</v>
      </c>
      <c r="D380" s="22" t="s">
        <v>24</v>
      </c>
      <c r="E380" s="23">
        <v>7</v>
      </c>
      <c r="F380" s="23">
        <v>323.83999999999997</v>
      </c>
      <c r="G380" s="23">
        <v>2266.88</v>
      </c>
      <c r="H380" s="22" t="s">
        <v>729</v>
      </c>
      <c r="I380" s="22" t="s">
        <v>50</v>
      </c>
    </row>
    <row r="381" spans="1:9" x14ac:dyDescent="0.35">
      <c r="A381" s="22" t="s">
        <v>730</v>
      </c>
      <c r="B381" s="22" t="s">
        <v>2517</v>
      </c>
      <c r="C381" s="22"/>
      <c r="D381" s="22" t="s">
        <v>2364</v>
      </c>
      <c r="E381" s="23">
        <v>3</v>
      </c>
      <c r="F381" s="23">
        <v>137.13</v>
      </c>
      <c r="G381" s="23">
        <v>411.39</v>
      </c>
      <c r="H381" s="22" t="s">
        <v>731</v>
      </c>
      <c r="I381" s="22" t="s">
        <v>14</v>
      </c>
    </row>
    <row r="382" spans="1:9" x14ac:dyDescent="0.35">
      <c r="A382" s="22" t="s">
        <v>732</v>
      </c>
      <c r="B382" s="22" t="s">
        <v>2477</v>
      </c>
      <c r="C382" s="22" t="s">
        <v>19</v>
      </c>
      <c r="D382" s="22" t="s">
        <v>46</v>
      </c>
      <c r="E382" s="23">
        <v>-2</v>
      </c>
      <c r="F382" s="23">
        <v>51.48</v>
      </c>
      <c r="G382" s="23">
        <v>205.92</v>
      </c>
      <c r="H382" s="22" t="s">
        <v>733</v>
      </c>
      <c r="I382" s="22" t="s">
        <v>14</v>
      </c>
    </row>
    <row r="383" spans="1:9" x14ac:dyDescent="0.35">
      <c r="A383" s="22" t="s">
        <v>734</v>
      </c>
      <c r="B383" s="22" t="s">
        <v>2371</v>
      </c>
      <c r="C383" s="22" t="s">
        <v>2349</v>
      </c>
      <c r="D383" s="22" t="s">
        <v>12</v>
      </c>
      <c r="E383" s="23">
        <v>4</v>
      </c>
      <c r="F383" s="23">
        <v>68.44</v>
      </c>
      <c r="G383" s="23">
        <v>273.76</v>
      </c>
      <c r="H383" s="22" t="s">
        <v>735</v>
      </c>
      <c r="I383" s="22" t="s">
        <v>50</v>
      </c>
    </row>
    <row r="384" spans="1:9" x14ac:dyDescent="0.35">
      <c r="A384" s="22" t="s">
        <v>736</v>
      </c>
      <c r="B384" s="22" t="s">
        <v>2665</v>
      </c>
      <c r="C384" s="22" t="s">
        <v>2342</v>
      </c>
      <c r="D384" s="22" t="s">
        <v>2343</v>
      </c>
      <c r="E384" s="23">
        <v>0</v>
      </c>
      <c r="F384" s="23">
        <v>120.05</v>
      </c>
      <c r="G384" s="23">
        <v>0</v>
      </c>
      <c r="H384" s="22" t="s">
        <v>737</v>
      </c>
      <c r="I384" s="22" t="s">
        <v>14</v>
      </c>
    </row>
    <row r="385" spans="1:9" x14ac:dyDescent="0.35">
      <c r="A385" s="22" t="s">
        <v>738</v>
      </c>
      <c r="B385" s="22" t="s">
        <v>2397</v>
      </c>
      <c r="C385" s="22" t="s">
        <v>23</v>
      </c>
      <c r="D385" s="22" t="s">
        <v>32</v>
      </c>
      <c r="E385" s="23">
        <v>1</v>
      </c>
      <c r="F385" s="23">
        <v>255.1</v>
      </c>
      <c r="G385" s="23">
        <v>255.1</v>
      </c>
      <c r="H385" s="22" t="s">
        <v>739</v>
      </c>
      <c r="I385" s="22" t="s">
        <v>2356</v>
      </c>
    </row>
    <row r="386" spans="1:9" x14ac:dyDescent="0.35">
      <c r="A386" s="22" t="s">
        <v>740</v>
      </c>
      <c r="B386" s="22" t="s">
        <v>2486</v>
      </c>
      <c r="C386" s="22" t="s">
        <v>16</v>
      </c>
      <c r="D386" s="22" t="s">
        <v>2364</v>
      </c>
      <c r="E386" s="23">
        <v>1</v>
      </c>
      <c r="F386" s="23">
        <v>421.82</v>
      </c>
      <c r="G386" s="23">
        <v>421.82</v>
      </c>
      <c r="H386" s="22"/>
      <c r="I386" s="22" t="s">
        <v>14</v>
      </c>
    </row>
    <row r="387" spans="1:9" x14ac:dyDescent="0.35">
      <c r="A387" s="22" t="s">
        <v>741</v>
      </c>
      <c r="B387" s="22" t="s">
        <v>2371</v>
      </c>
      <c r="C387" s="22" t="s">
        <v>2346</v>
      </c>
      <c r="D387" s="22" t="s">
        <v>12</v>
      </c>
      <c r="E387" s="23">
        <v>7</v>
      </c>
      <c r="F387" s="23">
        <v>353.63</v>
      </c>
      <c r="G387" s="23">
        <v>2475.41</v>
      </c>
      <c r="H387" s="22" t="s">
        <v>742</v>
      </c>
      <c r="I387" s="22" t="s">
        <v>2344</v>
      </c>
    </row>
    <row r="388" spans="1:9" x14ac:dyDescent="0.35">
      <c r="A388" s="22" t="s">
        <v>743</v>
      </c>
      <c r="B388" s="22" t="s">
        <v>2666</v>
      </c>
      <c r="C388" s="22" t="s">
        <v>2282</v>
      </c>
      <c r="D388" s="22" t="s">
        <v>2364</v>
      </c>
      <c r="E388" s="23">
        <v>5</v>
      </c>
      <c r="F388" s="23">
        <v>396.63</v>
      </c>
      <c r="G388" s="23"/>
      <c r="H388" s="22" t="s">
        <v>744</v>
      </c>
      <c r="I388" s="22" t="s">
        <v>2378</v>
      </c>
    </row>
    <row r="389" spans="1:9" x14ac:dyDescent="0.35">
      <c r="A389" s="22" t="s">
        <v>745</v>
      </c>
      <c r="B389" s="22"/>
      <c r="C389" s="22" t="s">
        <v>19</v>
      </c>
      <c r="D389" s="22" t="s">
        <v>24</v>
      </c>
      <c r="E389" s="23">
        <v>5</v>
      </c>
      <c r="F389" s="23">
        <v>181.98</v>
      </c>
      <c r="G389" s="23">
        <v>909.9</v>
      </c>
      <c r="H389" s="22" t="s">
        <v>746</v>
      </c>
      <c r="I389" s="22" t="s">
        <v>14</v>
      </c>
    </row>
    <row r="390" spans="1:9" x14ac:dyDescent="0.35">
      <c r="A390" s="22" t="s">
        <v>747</v>
      </c>
      <c r="B390" s="22" t="s">
        <v>2667</v>
      </c>
      <c r="C390" s="22"/>
      <c r="D390" s="22" t="s">
        <v>12</v>
      </c>
      <c r="E390" s="23">
        <v>8</v>
      </c>
      <c r="F390" s="23">
        <v>208.28</v>
      </c>
      <c r="G390" s="23">
        <v>1666.24</v>
      </c>
      <c r="H390" s="22" t="s">
        <v>748</v>
      </c>
      <c r="I390" s="22"/>
    </row>
    <row r="391" spans="1:9" x14ac:dyDescent="0.35">
      <c r="A391" s="22" t="s">
        <v>749</v>
      </c>
      <c r="B391" s="22" t="s">
        <v>2397</v>
      </c>
      <c r="C391" s="22" t="s">
        <v>16</v>
      </c>
      <c r="D391" s="22" t="s">
        <v>2347</v>
      </c>
      <c r="E391" s="23">
        <v>3</v>
      </c>
      <c r="F391" s="23" t="s">
        <v>332</v>
      </c>
      <c r="G391" s="23">
        <v>608.70000000000005</v>
      </c>
      <c r="H391" s="22" t="s">
        <v>750</v>
      </c>
      <c r="I391" s="22" t="s">
        <v>2378</v>
      </c>
    </row>
    <row r="392" spans="1:9" x14ac:dyDescent="0.35">
      <c r="A392" s="22" t="s">
        <v>751</v>
      </c>
      <c r="B392" s="22" t="s">
        <v>2668</v>
      </c>
      <c r="C392" s="22"/>
      <c r="D392" s="22" t="s">
        <v>2350</v>
      </c>
      <c r="E392" s="23">
        <v>5</v>
      </c>
      <c r="F392" s="23">
        <v>104.02</v>
      </c>
      <c r="G392" s="23">
        <v>520.1</v>
      </c>
      <c r="H392" s="22" t="s">
        <v>752</v>
      </c>
      <c r="I392" s="22"/>
    </row>
    <row r="393" spans="1:9" x14ac:dyDescent="0.35">
      <c r="A393" s="22" t="s">
        <v>753</v>
      </c>
      <c r="B393" s="22" t="s">
        <v>2669</v>
      </c>
      <c r="C393" s="22" t="s">
        <v>16</v>
      </c>
      <c r="D393" s="22" t="s">
        <v>24</v>
      </c>
      <c r="E393" s="23">
        <v>3</v>
      </c>
      <c r="F393" s="23">
        <v>40</v>
      </c>
      <c r="G393" s="23">
        <v>120</v>
      </c>
      <c r="H393" s="22" t="s">
        <v>754</v>
      </c>
      <c r="I393" s="22" t="s">
        <v>2344</v>
      </c>
    </row>
    <row r="394" spans="1:9" x14ac:dyDescent="0.35">
      <c r="A394" s="22" t="s">
        <v>755</v>
      </c>
      <c r="B394" s="22" t="s">
        <v>2670</v>
      </c>
      <c r="C394" s="22" t="s">
        <v>2342</v>
      </c>
      <c r="D394" s="22" t="s">
        <v>32</v>
      </c>
      <c r="E394" s="23">
        <v>5</v>
      </c>
      <c r="F394" s="23" t="s">
        <v>332</v>
      </c>
      <c r="G394" s="23">
        <v>1879.74</v>
      </c>
      <c r="H394" s="22" t="s">
        <v>756</v>
      </c>
      <c r="I394" s="22" t="s">
        <v>2344</v>
      </c>
    </row>
    <row r="395" spans="1:9" x14ac:dyDescent="0.35">
      <c r="A395" s="22" t="s">
        <v>757</v>
      </c>
      <c r="B395" s="22" t="s">
        <v>2625</v>
      </c>
      <c r="C395" s="22" t="s">
        <v>16</v>
      </c>
      <c r="D395" s="22" t="s">
        <v>2343</v>
      </c>
      <c r="E395" s="23">
        <v>1</v>
      </c>
      <c r="F395" s="23">
        <v>494.72</v>
      </c>
      <c r="G395" s="23">
        <v>494.72</v>
      </c>
      <c r="H395" s="22" t="s">
        <v>758</v>
      </c>
      <c r="I395" s="22" t="s">
        <v>2340</v>
      </c>
    </row>
    <row r="396" spans="1:9" x14ac:dyDescent="0.35">
      <c r="A396" s="22" t="s">
        <v>759</v>
      </c>
      <c r="B396" s="22" t="s">
        <v>2671</v>
      </c>
      <c r="C396" s="22" t="s">
        <v>16</v>
      </c>
      <c r="D396" s="22" t="s">
        <v>2347</v>
      </c>
      <c r="E396" s="23">
        <v>7</v>
      </c>
      <c r="F396" s="23">
        <v>-15.31</v>
      </c>
      <c r="G396" s="23"/>
      <c r="H396" s="22" t="s">
        <v>760</v>
      </c>
      <c r="I396" s="22" t="s">
        <v>14</v>
      </c>
    </row>
    <row r="397" spans="1:9" x14ac:dyDescent="0.35">
      <c r="A397" s="22" t="s">
        <v>761</v>
      </c>
      <c r="B397" s="22" t="s">
        <v>2672</v>
      </c>
      <c r="C397" s="22" t="s">
        <v>2342</v>
      </c>
      <c r="D397" s="22" t="s">
        <v>2364</v>
      </c>
      <c r="E397" s="23">
        <v>2</v>
      </c>
      <c r="F397" s="23">
        <v>32.880000000000003</v>
      </c>
      <c r="G397" s="23">
        <v>65.760000000000005</v>
      </c>
      <c r="H397" s="22" t="s">
        <v>762</v>
      </c>
      <c r="I397" s="22" t="s">
        <v>50</v>
      </c>
    </row>
    <row r="398" spans="1:9" x14ac:dyDescent="0.35">
      <c r="A398" s="22" t="s">
        <v>763</v>
      </c>
      <c r="B398" s="22"/>
      <c r="C398" s="22" t="s">
        <v>2346</v>
      </c>
      <c r="D398" s="22" t="s">
        <v>2350</v>
      </c>
      <c r="E398" s="23">
        <v>4</v>
      </c>
      <c r="F398" s="23">
        <v>391.97</v>
      </c>
      <c r="G398" s="23">
        <v>1567.88</v>
      </c>
      <c r="H398" s="22" t="s">
        <v>764</v>
      </c>
      <c r="I398" s="22" t="s">
        <v>2298</v>
      </c>
    </row>
    <row r="399" spans="1:9" x14ac:dyDescent="0.35">
      <c r="A399" s="22" t="s">
        <v>765</v>
      </c>
      <c r="B399" s="22" t="s">
        <v>2673</v>
      </c>
      <c r="C399" s="22" t="s">
        <v>2358</v>
      </c>
      <c r="D399" s="22" t="s">
        <v>46</v>
      </c>
      <c r="E399" s="23">
        <v>6</v>
      </c>
      <c r="F399" s="23">
        <v>133.77000000000001</v>
      </c>
      <c r="G399" s="23"/>
      <c r="H399" s="22" t="s">
        <v>766</v>
      </c>
      <c r="I399" s="22" t="s">
        <v>2340</v>
      </c>
    </row>
    <row r="400" spans="1:9" x14ac:dyDescent="0.35">
      <c r="A400" s="22" t="s">
        <v>767</v>
      </c>
      <c r="B400" s="22"/>
      <c r="C400" s="22" t="s">
        <v>2346</v>
      </c>
      <c r="D400" s="22" t="s">
        <v>32</v>
      </c>
      <c r="E400" s="23">
        <v>7</v>
      </c>
      <c r="F400" s="23">
        <v>416.53</v>
      </c>
      <c r="G400" s="23">
        <v>2915.71</v>
      </c>
      <c r="H400" s="22" t="s">
        <v>768</v>
      </c>
      <c r="I400" s="22" t="s">
        <v>2378</v>
      </c>
    </row>
    <row r="401" spans="1:9" x14ac:dyDescent="0.35">
      <c r="A401" s="22" t="s">
        <v>769</v>
      </c>
      <c r="B401" s="22" t="s">
        <v>2551</v>
      </c>
      <c r="C401" s="22" t="s">
        <v>2342</v>
      </c>
      <c r="D401" s="22" t="s">
        <v>2343</v>
      </c>
      <c r="E401" s="23">
        <v>9</v>
      </c>
      <c r="F401" s="23">
        <v>354.93</v>
      </c>
      <c r="G401" s="23">
        <v>3194.37</v>
      </c>
      <c r="H401" s="22" t="s">
        <v>770</v>
      </c>
      <c r="I401" s="22" t="s">
        <v>2340</v>
      </c>
    </row>
    <row r="402" spans="1:9" x14ac:dyDescent="0.35">
      <c r="A402" s="22" t="s">
        <v>771</v>
      </c>
      <c r="B402" s="22" t="s">
        <v>2674</v>
      </c>
      <c r="C402" s="22" t="s">
        <v>19</v>
      </c>
      <c r="D402" s="22" t="s">
        <v>24</v>
      </c>
      <c r="E402" s="23">
        <v>4</v>
      </c>
      <c r="F402" s="23">
        <v>473.38</v>
      </c>
      <c r="G402" s="23">
        <v>1893.52</v>
      </c>
      <c r="H402" s="22" t="s">
        <v>772</v>
      </c>
      <c r="I402" s="22" t="s">
        <v>2340</v>
      </c>
    </row>
    <row r="403" spans="1:9" x14ac:dyDescent="0.35">
      <c r="A403" s="22" t="s">
        <v>773</v>
      </c>
      <c r="B403" s="22" t="s">
        <v>2675</v>
      </c>
      <c r="C403" s="22" t="s">
        <v>2282</v>
      </c>
      <c r="D403" s="22" t="s">
        <v>2347</v>
      </c>
      <c r="E403" s="23">
        <v>1</v>
      </c>
      <c r="F403" s="23">
        <v>210.37</v>
      </c>
      <c r="G403" s="23"/>
      <c r="H403" s="22" t="s">
        <v>774</v>
      </c>
      <c r="I403" s="22" t="s">
        <v>2356</v>
      </c>
    </row>
    <row r="404" spans="1:9" x14ac:dyDescent="0.35">
      <c r="A404" s="22" t="s">
        <v>775</v>
      </c>
      <c r="B404" s="22" t="s">
        <v>2658</v>
      </c>
      <c r="C404" s="22" t="s">
        <v>2358</v>
      </c>
      <c r="D404" s="22" t="s">
        <v>46</v>
      </c>
      <c r="E404" s="23">
        <v>4</v>
      </c>
      <c r="F404" s="23">
        <v>-50.43</v>
      </c>
      <c r="G404" s="23">
        <v>1337.48</v>
      </c>
      <c r="H404" s="22" t="s">
        <v>776</v>
      </c>
      <c r="I404" s="22" t="s">
        <v>2356</v>
      </c>
    </row>
    <row r="405" spans="1:9" x14ac:dyDescent="0.35">
      <c r="A405" s="22" t="s">
        <v>777</v>
      </c>
      <c r="B405" s="22" t="s">
        <v>2676</v>
      </c>
      <c r="C405" s="22" t="s">
        <v>2349</v>
      </c>
      <c r="D405" s="22" t="s">
        <v>2343</v>
      </c>
      <c r="E405" s="23">
        <v>6</v>
      </c>
      <c r="F405" s="23">
        <v>237.78</v>
      </c>
      <c r="G405" s="23">
        <v>1426.68</v>
      </c>
      <c r="H405" s="22" t="s">
        <v>49</v>
      </c>
      <c r="I405" s="22" t="s">
        <v>2378</v>
      </c>
    </row>
    <row r="406" spans="1:9" x14ac:dyDescent="0.35">
      <c r="A406" s="22" t="s">
        <v>778</v>
      </c>
      <c r="B406" s="22" t="s">
        <v>2677</v>
      </c>
      <c r="C406" s="22" t="s">
        <v>11</v>
      </c>
      <c r="D406" s="22" t="s">
        <v>2364</v>
      </c>
      <c r="E406" s="23" t="s">
        <v>2351</v>
      </c>
      <c r="F406" s="23">
        <v>318.99</v>
      </c>
      <c r="G406" s="23">
        <v>956.97</v>
      </c>
      <c r="H406" s="22" t="s">
        <v>779</v>
      </c>
      <c r="I406" s="22"/>
    </row>
    <row r="407" spans="1:9" x14ac:dyDescent="0.35">
      <c r="A407" s="22" t="s">
        <v>780</v>
      </c>
      <c r="B407" s="22" t="s">
        <v>2555</v>
      </c>
      <c r="C407" s="22" t="s">
        <v>16</v>
      </c>
      <c r="D407" s="22" t="s">
        <v>46</v>
      </c>
      <c r="E407" s="23">
        <v>4</v>
      </c>
      <c r="F407" s="23">
        <v>230.3</v>
      </c>
      <c r="G407" s="23">
        <v>921.2</v>
      </c>
      <c r="H407" s="22" t="s">
        <v>781</v>
      </c>
      <c r="I407" s="22" t="s">
        <v>2356</v>
      </c>
    </row>
    <row r="408" spans="1:9" x14ac:dyDescent="0.35">
      <c r="A408" s="22" t="s">
        <v>782</v>
      </c>
      <c r="B408" s="22" t="s">
        <v>2678</v>
      </c>
      <c r="C408" s="22" t="s">
        <v>2282</v>
      </c>
      <c r="D408" s="22" t="s">
        <v>24</v>
      </c>
      <c r="E408" s="23">
        <v>2</v>
      </c>
      <c r="F408" s="23">
        <v>102.43</v>
      </c>
      <c r="G408" s="23">
        <v>204.86</v>
      </c>
      <c r="H408" s="22" t="s">
        <v>783</v>
      </c>
      <c r="I408" s="22" t="s">
        <v>2344</v>
      </c>
    </row>
    <row r="409" spans="1:9" x14ac:dyDescent="0.35">
      <c r="A409" s="22" t="s">
        <v>784</v>
      </c>
      <c r="B409" s="22" t="s">
        <v>2397</v>
      </c>
      <c r="C409" s="22" t="s">
        <v>2346</v>
      </c>
      <c r="D409" s="22" t="s">
        <v>46</v>
      </c>
      <c r="E409" s="23">
        <v>6</v>
      </c>
      <c r="F409" s="23">
        <v>258.87</v>
      </c>
      <c r="G409" s="23">
        <v>1553.22</v>
      </c>
      <c r="H409" s="22" t="s">
        <v>785</v>
      </c>
      <c r="I409" s="22" t="s">
        <v>14</v>
      </c>
    </row>
    <row r="410" spans="1:9" x14ac:dyDescent="0.35">
      <c r="A410" s="22" t="s">
        <v>786</v>
      </c>
      <c r="B410" s="22" t="s">
        <v>2371</v>
      </c>
      <c r="C410" s="22" t="s">
        <v>2342</v>
      </c>
      <c r="D410" s="22" t="s">
        <v>2364</v>
      </c>
      <c r="E410" s="23">
        <v>8</v>
      </c>
      <c r="F410" s="23">
        <v>269.01</v>
      </c>
      <c r="G410" s="23">
        <v>2152.08</v>
      </c>
      <c r="H410" s="22" t="s">
        <v>787</v>
      </c>
      <c r="I410" s="22" t="s">
        <v>26</v>
      </c>
    </row>
    <row r="411" spans="1:9" x14ac:dyDescent="0.35">
      <c r="A411" s="22" t="s">
        <v>788</v>
      </c>
      <c r="B411" s="22" t="s">
        <v>2679</v>
      </c>
      <c r="C411" s="22" t="s">
        <v>19</v>
      </c>
      <c r="D411" s="22" t="s">
        <v>2347</v>
      </c>
      <c r="E411" s="23">
        <v>7</v>
      </c>
      <c r="F411" s="23">
        <v>407.2</v>
      </c>
      <c r="G411" s="23">
        <v>2850.4</v>
      </c>
      <c r="H411" s="22" t="s">
        <v>789</v>
      </c>
      <c r="I411" s="22" t="s">
        <v>2356</v>
      </c>
    </row>
    <row r="412" spans="1:9" x14ac:dyDescent="0.35">
      <c r="A412" s="22" t="s">
        <v>790</v>
      </c>
      <c r="B412" s="22" t="s">
        <v>2680</v>
      </c>
      <c r="C412" s="22" t="s">
        <v>2282</v>
      </c>
      <c r="D412" s="22" t="s">
        <v>46</v>
      </c>
      <c r="E412" s="23">
        <v>2</v>
      </c>
      <c r="F412" s="23">
        <v>370.41</v>
      </c>
      <c r="G412" s="23">
        <v>852.25</v>
      </c>
      <c r="H412" s="22" t="s">
        <v>791</v>
      </c>
      <c r="I412" s="22" t="s">
        <v>2356</v>
      </c>
    </row>
    <row r="413" spans="1:9" x14ac:dyDescent="0.35">
      <c r="A413" s="22" t="s">
        <v>792</v>
      </c>
      <c r="B413" s="22" t="s">
        <v>2681</v>
      </c>
      <c r="C413" s="22"/>
      <c r="D413" s="22" t="s">
        <v>2364</v>
      </c>
      <c r="E413" s="23">
        <v>6</v>
      </c>
      <c r="F413" s="23">
        <v>335.26</v>
      </c>
      <c r="G413" s="23">
        <v>2011.56</v>
      </c>
      <c r="H413" s="22" t="s">
        <v>793</v>
      </c>
      <c r="I413" s="22" t="s">
        <v>26</v>
      </c>
    </row>
    <row r="414" spans="1:9" x14ac:dyDescent="0.35">
      <c r="A414" s="22" t="s">
        <v>794</v>
      </c>
      <c r="B414" s="22" t="s">
        <v>2682</v>
      </c>
      <c r="C414" s="22"/>
      <c r="D414" s="22" t="s">
        <v>2343</v>
      </c>
      <c r="E414" s="23">
        <v>-10</v>
      </c>
      <c r="F414" s="23">
        <v>65.56</v>
      </c>
      <c r="G414" s="23">
        <v>590.04</v>
      </c>
      <c r="H414" s="22" t="s">
        <v>795</v>
      </c>
      <c r="I414" s="22" t="s">
        <v>2344</v>
      </c>
    </row>
    <row r="415" spans="1:9" x14ac:dyDescent="0.35">
      <c r="A415" s="22" t="s">
        <v>796</v>
      </c>
      <c r="B415" s="22" t="s">
        <v>2371</v>
      </c>
      <c r="C415" s="22" t="s">
        <v>2349</v>
      </c>
      <c r="D415" s="22" t="s">
        <v>32</v>
      </c>
      <c r="E415" s="23">
        <v>3</v>
      </c>
      <c r="F415" s="23">
        <v>363.1</v>
      </c>
      <c r="G415" s="23">
        <v>1089.3</v>
      </c>
      <c r="H415" s="22" t="s">
        <v>797</v>
      </c>
      <c r="I415" s="22" t="s">
        <v>50</v>
      </c>
    </row>
    <row r="416" spans="1:9" x14ac:dyDescent="0.35">
      <c r="A416" s="22" t="s">
        <v>798</v>
      </c>
      <c r="B416" s="22" t="s">
        <v>2683</v>
      </c>
      <c r="C416" s="22" t="s">
        <v>2346</v>
      </c>
      <c r="D416" s="22" t="s">
        <v>12</v>
      </c>
      <c r="E416" s="23">
        <v>-1</v>
      </c>
      <c r="F416" s="23">
        <v>255.15</v>
      </c>
      <c r="G416" s="23">
        <v>2041.2</v>
      </c>
      <c r="H416" s="22" t="s">
        <v>799</v>
      </c>
      <c r="I416" s="22"/>
    </row>
    <row r="417" spans="1:9" x14ac:dyDescent="0.35">
      <c r="A417" s="22" t="s">
        <v>800</v>
      </c>
      <c r="B417" s="22" t="s">
        <v>2684</v>
      </c>
      <c r="C417" s="22" t="s">
        <v>2342</v>
      </c>
      <c r="D417" s="22" t="s">
        <v>2350</v>
      </c>
      <c r="E417" s="23">
        <v>7</v>
      </c>
      <c r="F417" s="23">
        <v>448.11</v>
      </c>
      <c r="G417" s="23">
        <v>3136.77</v>
      </c>
      <c r="H417" s="22"/>
      <c r="I417" s="22" t="s">
        <v>50</v>
      </c>
    </row>
    <row r="418" spans="1:9" x14ac:dyDescent="0.35">
      <c r="A418" s="22" t="s">
        <v>801</v>
      </c>
      <c r="B418" s="22" t="s">
        <v>2685</v>
      </c>
      <c r="C418" s="22" t="s">
        <v>19</v>
      </c>
      <c r="D418" s="22" t="s">
        <v>24</v>
      </c>
      <c r="E418" s="23">
        <v>6</v>
      </c>
      <c r="F418" s="23"/>
      <c r="G418" s="23">
        <v>2764.44</v>
      </c>
      <c r="H418" s="22"/>
      <c r="I418" s="22" t="s">
        <v>2340</v>
      </c>
    </row>
    <row r="419" spans="1:9" x14ac:dyDescent="0.35">
      <c r="A419" s="22" t="s">
        <v>802</v>
      </c>
      <c r="B419" s="22" t="s">
        <v>2686</v>
      </c>
      <c r="C419" s="22"/>
      <c r="D419" s="22" t="s">
        <v>2347</v>
      </c>
      <c r="E419" s="23">
        <v>10</v>
      </c>
      <c r="F419" s="23">
        <v>37.03</v>
      </c>
      <c r="G419" s="23">
        <v>370.3</v>
      </c>
      <c r="H419" s="22" t="s">
        <v>803</v>
      </c>
      <c r="I419" s="22" t="s">
        <v>2356</v>
      </c>
    </row>
    <row r="420" spans="1:9" x14ac:dyDescent="0.35">
      <c r="A420" s="22" t="s">
        <v>804</v>
      </c>
      <c r="B420" s="22" t="s">
        <v>2687</v>
      </c>
      <c r="C420" s="22" t="s">
        <v>2342</v>
      </c>
      <c r="D420" s="22" t="s">
        <v>32</v>
      </c>
      <c r="E420" s="23">
        <v>9999</v>
      </c>
      <c r="F420" s="23">
        <v>412.11</v>
      </c>
      <c r="G420" s="23">
        <v>2060.5500000000002</v>
      </c>
      <c r="H420" s="22" t="s">
        <v>805</v>
      </c>
      <c r="I420" s="22" t="s">
        <v>2356</v>
      </c>
    </row>
    <row r="421" spans="1:9" x14ac:dyDescent="0.35">
      <c r="A421" s="22" t="s">
        <v>806</v>
      </c>
      <c r="B421" s="22" t="s">
        <v>2688</v>
      </c>
      <c r="C421" s="22" t="s">
        <v>2282</v>
      </c>
      <c r="D421" s="22" t="s">
        <v>2364</v>
      </c>
      <c r="E421" s="23">
        <v>5</v>
      </c>
      <c r="F421" s="23">
        <v>28.47</v>
      </c>
      <c r="G421" s="23">
        <v>142.35</v>
      </c>
      <c r="H421" s="22" t="s">
        <v>807</v>
      </c>
      <c r="I421" s="22" t="s">
        <v>2298</v>
      </c>
    </row>
    <row r="422" spans="1:9" x14ac:dyDescent="0.35">
      <c r="A422" s="22" t="s">
        <v>808</v>
      </c>
      <c r="B422" s="22" t="s">
        <v>2397</v>
      </c>
      <c r="C422" s="22" t="s">
        <v>2342</v>
      </c>
      <c r="D422" s="22" t="s">
        <v>32</v>
      </c>
      <c r="E422" s="23">
        <v>5</v>
      </c>
      <c r="F422" s="23">
        <v>189.91</v>
      </c>
      <c r="G422" s="23">
        <v>949.55</v>
      </c>
      <c r="H422" s="22" t="s">
        <v>809</v>
      </c>
      <c r="I422" s="22" t="s">
        <v>2344</v>
      </c>
    </row>
    <row r="423" spans="1:9" x14ac:dyDescent="0.35">
      <c r="A423" s="22" t="s">
        <v>810</v>
      </c>
      <c r="B423" s="22" t="s">
        <v>2689</v>
      </c>
      <c r="C423" s="22" t="s">
        <v>2342</v>
      </c>
      <c r="D423" s="22" t="s">
        <v>46</v>
      </c>
      <c r="E423" s="23">
        <v>5</v>
      </c>
      <c r="F423" s="23">
        <v>275.73</v>
      </c>
      <c r="G423" s="23">
        <v>1378.65</v>
      </c>
      <c r="H423" s="22" t="s">
        <v>811</v>
      </c>
      <c r="I423" s="22" t="s">
        <v>2298</v>
      </c>
    </row>
    <row r="424" spans="1:9" x14ac:dyDescent="0.35">
      <c r="A424" s="22" t="s">
        <v>812</v>
      </c>
      <c r="B424" s="22" t="s">
        <v>2371</v>
      </c>
      <c r="C424" s="22" t="s">
        <v>2358</v>
      </c>
      <c r="D424" s="22" t="s">
        <v>12</v>
      </c>
      <c r="E424" s="23">
        <v>4</v>
      </c>
      <c r="F424" s="23">
        <v>-170.92</v>
      </c>
      <c r="G424" s="23">
        <v>330.28</v>
      </c>
      <c r="H424" s="22" t="s">
        <v>813</v>
      </c>
      <c r="I424" s="22"/>
    </row>
    <row r="425" spans="1:9" x14ac:dyDescent="0.35">
      <c r="A425" s="22" t="s">
        <v>814</v>
      </c>
      <c r="B425" s="22" t="s">
        <v>2690</v>
      </c>
      <c r="C425" s="22" t="s">
        <v>11</v>
      </c>
      <c r="D425" s="22" t="s">
        <v>24</v>
      </c>
      <c r="E425" s="23">
        <v>10</v>
      </c>
      <c r="F425" s="23">
        <v>375.69</v>
      </c>
      <c r="G425" s="23">
        <v>4192.54</v>
      </c>
      <c r="H425" s="22" t="s">
        <v>815</v>
      </c>
      <c r="I425" s="22" t="s">
        <v>2344</v>
      </c>
    </row>
    <row r="426" spans="1:9" x14ac:dyDescent="0.35">
      <c r="A426" s="22" t="s">
        <v>816</v>
      </c>
      <c r="B426" s="22" t="s">
        <v>2657</v>
      </c>
      <c r="C426" s="22"/>
      <c r="D426" s="22" t="s">
        <v>46</v>
      </c>
      <c r="E426" s="23">
        <v>3</v>
      </c>
      <c r="F426" s="23">
        <v>14.09</v>
      </c>
      <c r="G426" s="23">
        <v>42.27</v>
      </c>
      <c r="H426" s="22" t="s">
        <v>817</v>
      </c>
      <c r="I426" s="22" t="s">
        <v>2344</v>
      </c>
    </row>
    <row r="427" spans="1:9" x14ac:dyDescent="0.35">
      <c r="A427" s="22" t="s">
        <v>818</v>
      </c>
      <c r="B427" s="22" t="s">
        <v>2691</v>
      </c>
      <c r="C427" s="22" t="s">
        <v>11</v>
      </c>
      <c r="D427" s="22" t="s">
        <v>2347</v>
      </c>
      <c r="E427" s="23">
        <v>2</v>
      </c>
      <c r="F427" s="23">
        <v>92.61</v>
      </c>
      <c r="G427" s="23">
        <v>185.22</v>
      </c>
      <c r="H427" s="22" t="s">
        <v>49</v>
      </c>
      <c r="I427" s="22" t="s">
        <v>2298</v>
      </c>
    </row>
    <row r="428" spans="1:9" x14ac:dyDescent="0.35">
      <c r="A428" s="22" t="s">
        <v>10</v>
      </c>
      <c r="B428" s="22" t="s">
        <v>2373</v>
      </c>
      <c r="C428" s="22" t="s">
        <v>2282</v>
      </c>
      <c r="D428" s="22" t="s">
        <v>46</v>
      </c>
      <c r="E428" s="23">
        <v>6</v>
      </c>
      <c r="F428" s="23">
        <v>294.58999999999997</v>
      </c>
      <c r="G428" s="23"/>
      <c r="H428" s="22" t="s">
        <v>2692</v>
      </c>
      <c r="I428" s="22" t="s">
        <v>2340</v>
      </c>
    </row>
    <row r="429" spans="1:9" x14ac:dyDescent="0.35">
      <c r="A429" s="22" t="s">
        <v>819</v>
      </c>
      <c r="B429" s="22" t="s">
        <v>2693</v>
      </c>
      <c r="C429" s="22" t="s">
        <v>19</v>
      </c>
      <c r="D429" s="22" t="s">
        <v>2343</v>
      </c>
      <c r="E429" s="23">
        <v>4</v>
      </c>
      <c r="F429" s="23"/>
      <c r="G429" s="23">
        <v>1440.2</v>
      </c>
      <c r="H429" s="22" t="s">
        <v>820</v>
      </c>
      <c r="I429" s="22" t="s">
        <v>2340</v>
      </c>
    </row>
    <row r="430" spans="1:9" x14ac:dyDescent="0.35">
      <c r="A430" s="22" t="s">
        <v>821</v>
      </c>
      <c r="B430" s="22" t="s">
        <v>2462</v>
      </c>
      <c r="C430" s="22" t="s">
        <v>11</v>
      </c>
      <c r="D430" s="22" t="s">
        <v>12</v>
      </c>
      <c r="E430" s="23">
        <v>4</v>
      </c>
      <c r="F430" s="23">
        <v>459.16</v>
      </c>
      <c r="G430" s="23">
        <v>1836.64</v>
      </c>
      <c r="H430" s="22" t="s">
        <v>822</v>
      </c>
      <c r="I430" s="22" t="s">
        <v>2378</v>
      </c>
    </row>
    <row r="431" spans="1:9" x14ac:dyDescent="0.35">
      <c r="A431" s="22" t="s">
        <v>823</v>
      </c>
      <c r="B431" s="22" t="s">
        <v>2412</v>
      </c>
      <c r="C431" s="22" t="s">
        <v>23</v>
      </c>
      <c r="D431" s="22" t="s">
        <v>24</v>
      </c>
      <c r="E431" s="23">
        <v>8</v>
      </c>
      <c r="F431" s="23">
        <v>355.69</v>
      </c>
      <c r="G431" s="23">
        <v>2845.52</v>
      </c>
      <c r="H431" s="22" t="s">
        <v>824</v>
      </c>
      <c r="I431" s="22" t="s">
        <v>26</v>
      </c>
    </row>
    <row r="432" spans="1:9" x14ac:dyDescent="0.35">
      <c r="A432" s="22" t="s">
        <v>825</v>
      </c>
      <c r="B432" s="22" t="s">
        <v>2694</v>
      </c>
      <c r="C432" s="22" t="s">
        <v>2346</v>
      </c>
      <c r="D432" s="22" t="s">
        <v>2350</v>
      </c>
      <c r="E432" s="23">
        <v>5</v>
      </c>
      <c r="F432" s="23">
        <v>339.17</v>
      </c>
      <c r="G432" s="23">
        <v>1695.85</v>
      </c>
      <c r="H432" s="22" t="s">
        <v>826</v>
      </c>
      <c r="I432" s="22" t="s">
        <v>2340</v>
      </c>
    </row>
    <row r="433" spans="1:9" x14ac:dyDescent="0.35">
      <c r="A433" s="22" t="s">
        <v>827</v>
      </c>
      <c r="B433" s="22" t="s">
        <v>2695</v>
      </c>
      <c r="C433" s="22" t="s">
        <v>2282</v>
      </c>
      <c r="D433" s="22" t="s">
        <v>32</v>
      </c>
      <c r="E433" s="23">
        <v>4</v>
      </c>
      <c r="F433" s="23">
        <v>203.23</v>
      </c>
      <c r="G433" s="23">
        <v>812.92</v>
      </c>
      <c r="H433" s="22" t="s">
        <v>828</v>
      </c>
      <c r="I433" s="22" t="s">
        <v>2298</v>
      </c>
    </row>
    <row r="434" spans="1:9" x14ac:dyDescent="0.35">
      <c r="A434" s="22" t="s">
        <v>829</v>
      </c>
      <c r="B434" s="22" t="s">
        <v>2696</v>
      </c>
      <c r="C434" s="22" t="s">
        <v>2349</v>
      </c>
      <c r="D434" s="22" t="s">
        <v>2347</v>
      </c>
      <c r="E434" s="23">
        <v>7</v>
      </c>
      <c r="F434" s="23">
        <v>10.63</v>
      </c>
      <c r="G434" s="23">
        <v>74.41</v>
      </c>
      <c r="H434" s="22" t="s">
        <v>830</v>
      </c>
      <c r="I434" s="22" t="s">
        <v>2298</v>
      </c>
    </row>
    <row r="435" spans="1:9" x14ac:dyDescent="0.35">
      <c r="A435" s="22" t="s">
        <v>831</v>
      </c>
      <c r="B435" s="22" t="s">
        <v>2697</v>
      </c>
      <c r="C435" s="22" t="s">
        <v>16</v>
      </c>
      <c r="D435" s="22" t="s">
        <v>2343</v>
      </c>
      <c r="E435" s="23">
        <v>4</v>
      </c>
      <c r="F435" s="23">
        <v>68.88</v>
      </c>
      <c r="G435" s="23">
        <v>275.52</v>
      </c>
      <c r="H435" s="22" t="s">
        <v>832</v>
      </c>
      <c r="I435" s="22" t="s">
        <v>26</v>
      </c>
    </row>
    <row r="436" spans="1:9" x14ac:dyDescent="0.35">
      <c r="A436" s="22" t="s">
        <v>833</v>
      </c>
      <c r="B436" s="22"/>
      <c r="C436" s="22" t="s">
        <v>19</v>
      </c>
      <c r="D436" s="22" t="s">
        <v>46</v>
      </c>
      <c r="E436" s="23">
        <v>2</v>
      </c>
      <c r="F436" s="23">
        <v>271.93</v>
      </c>
      <c r="G436" s="23">
        <v>543.86</v>
      </c>
      <c r="H436" s="22" t="s">
        <v>834</v>
      </c>
      <c r="I436" s="22" t="s">
        <v>2344</v>
      </c>
    </row>
    <row r="437" spans="1:9" x14ac:dyDescent="0.35">
      <c r="A437" s="22" t="s">
        <v>835</v>
      </c>
      <c r="B437" s="22" t="s">
        <v>2698</v>
      </c>
      <c r="C437" s="22" t="s">
        <v>2358</v>
      </c>
      <c r="D437" s="22" t="s">
        <v>24</v>
      </c>
      <c r="E437" s="23">
        <v>2</v>
      </c>
      <c r="F437" s="23">
        <v>340.81</v>
      </c>
      <c r="G437" s="23">
        <v>681.62</v>
      </c>
      <c r="H437" s="22" t="s">
        <v>836</v>
      </c>
      <c r="I437" s="22" t="s">
        <v>26</v>
      </c>
    </row>
    <row r="438" spans="1:9" x14ac:dyDescent="0.35">
      <c r="A438" s="22" t="s">
        <v>837</v>
      </c>
      <c r="B438" s="22" t="s">
        <v>2699</v>
      </c>
      <c r="C438" s="22" t="s">
        <v>11</v>
      </c>
      <c r="D438" s="22" t="s">
        <v>24</v>
      </c>
      <c r="E438" s="23">
        <v>3</v>
      </c>
      <c r="F438" s="23">
        <v>214.55</v>
      </c>
      <c r="G438" s="23">
        <v>643.65</v>
      </c>
      <c r="H438" s="22" t="s">
        <v>838</v>
      </c>
      <c r="I438" s="22" t="s">
        <v>50</v>
      </c>
    </row>
    <row r="439" spans="1:9" x14ac:dyDescent="0.35">
      <c r="A439" s="22" t="s">
        <v>839</v>
      </c>
      <c r="B439" s="22" t="s">
        <v>2583</v>
      </c>
      <c r="C439" s="22" t="s">
        <v>2358</v>
      </c>
      <c r="D439" s="22" t="s">
        <v>2364</v>
      </c>
      <c r="E439" s="23">
        <v>3</v>
      </c>
      <c r="F439" s="23">
        <v>368.03</v>
      </c>
      <c r="G439" s="23">
        <v>1104.0899999999999</v>
      </c>
      <c r="H439" s="22" t="s">
        <v>840</v>
      </c>
      <c r="I439" s="22" t="s">
        <v>2356</v>
      </c>
    </row>
    <row r="440" spans="1:9" x14ac:dyDescent="0.35">
      <c r="A440" s="22" t="s">
        <v>841</v>
      </c>
      <c r="B440" s="22" t="s">
        <v>2621</v>
      </c>
      <c r="C440" s="22" t="s">
        <v>23</v>
      </c>
      <c r="D440" s="22" t="s">
        <v>2350</v>
      </c>
      <c r="E440" s="23">
        <v>-7</v>
      </c>
      <c r="F440" s="23">
        <v>265.70999999999998</v>
      </c>
      <c r="G440" s="23">
        <v>2616.7600000000002</v>
      </c>
      <c r="H440" s="22" t="s">
        <v>842</v>
      </c>
      <c r="I440" s="22"/>
    </row>
    <row r="441" spans="1:9" x14ac:dyDescent="0.35">
      <c r="A441" s="22" t="s">
        <v>843</v>
      </c>
      <c r="B441" s="22" t="s">
        <v>2371</v>
      </c>
      <c r="C441" s="22" t="s">
        <v>11</v>
      </c>
      <c r="D441" s="22" t="s">
        <v>12</v>
      </c>
      <c r="E441" s="23">
        <v>6</v>
      </c>
      <c r="F441" s="23">
        <v>46.35</v>
      </c>
      <c r="G441" s="23">
        <v>539.89</v>
      </c>
      <c r="H441" s="22" t="s">
        <v>844</v>
      </c>
      <c r="I441" s="22"/>
    </row>
    <row r="442" spans="1:9" x14ac:dyDescent="0.35">
      <c r="A442" s="22" t="s">
        <v>845</v>
      </c>
      <c r="B442" s="22" t="s">
        <v>2700</v>
      </c>
      <c r="C442" s="22" t="s">
        <v>16</v>
      </c>
      <c r="D442" s="22" t="s">
        <v>2347</v>
      </c>
      <c r="E442" s="23">
        <v>0</v>
      </c>
      <c r="F442" s="23">
        <v>104.09</v>
      </c>
      <c r="G442" s="23">
        <v>0</v>
      </c>
      <c r="H442" s="22" t="s">
        <v>846</v>
      </c>
      <c r="I442" s="22" t="s">
        <v>26</v>
      </c>
    </row>
    <row r="443" spans="1:9" x14ac:dyDescent="0.35">
      <c r="A443" s="22" t="s">
        <v>847</v>
      </c>
      <c r="B443" s="22" t="s">
        <v>2701</v>
      </c>
      <c r="C443" s="22" t="s">
        <v>16</v>
      </c>
      <c r="D443" s="22" t="s">
        <v>46</v>
      </c>
      <c r="E443" s="23">
        <v>8</v>
      </c>
      <c r="F443" s="23">
        <v>421.6</v>
      </c>
      <c r="G443" s="23">
        <v>3661.8</v>
      </c>
      <c r="H443" s="22" t="s">
        <v>848</v>
      </c>
      <c r="I443" s="22" t="s">
        <v>2344</v>
      </c>
    </row>
    <row r="444" spans="1:9" x14ac:dyDescent="0.35">
      <c r="A444" s="22" t="s">
        <v>849</v>
      </c>
      <c r="B444" s="22" t="s">
        <v>2702</v>
      </c>
      <c r="C444" s="22" t="s">
        <v>2342</v>
      </c>
      <c r="D444" s="22" t="s">
        <v>2350</v>
      </c>
      <c r="E444" s="23">
        <v>5</v>
      </c>
      <c r="F444" s="23">
        <v>365.21</v>
      </c>
      <c r="G444" s="23">
        <v>1826.05</v>
      </c>
      <c r="H444" s="22" t="s">
        <v>850</v>
      </c>
      <c r="I444" s="22" t="s">
        <v>50</v>
      </c>
    </row>
    <row r="445" spans="1:9" x14ac:dyDescent="0.35">
      <c r="A445" s="22" t="s">
        <v>851</v>
      </c>
      <c r="B445" s="22" t="s">
        <v>2448</v>
      </c>
      <c r="C445" s="22" t="s">
        <v>2342</v>
      </c>
      <c r="D445" s="22" t="s">
        <v>2364</v>
      </c>
      <c r="E445" s="23">
        <v>4</v>
      </c>
      <c r="F445" s="23">
        <v>448.43</v>
      </c>
      <c r="G445" s="23"/>
      <c r="H445" s="22" t="s">
        <v>852</v>
      </c>
      <c r="I445" s="22" t="s">
        <v>2378</v>
      </c>
    </row>
    <row r="446" spans="1:9" x14ac:dyDescent="0.35">
      <c r="A446" s="22" t="s">
        <v>853</v>
      </c>
      <c r="B446" s="22" t="s">
        <v>2703</v>
      </c>
      <c r="C446" s="22"/>
      <c r="D446" s="22" t="s">
        <v>2347</v>
      </c>
      <c r="E446" s="23">
        <v>5</v>
      </c>
      <c r="F446" s="23">
        <v>67.599999999999994</v>
      </c>
      <c r="G446" s="23">
        <v>338</v>
      </c>
      <c r="H446" s="22" t="s">
        <v>854</v>
      </c>
      <c r="I446" s="22" t="s">
        <v>50</v>
      </c>
    </row>
    <row r="447" spans="1:9" x14ac:dyDescent="0.35">
      <c r="A447" s="22" t="s">
        <v>855</v>
      </c>
      <c r="B447" s="22" t="s">
        <v>2704</v>
      </c>
      <c r="C447" s="22" t="s">
        <v>2358</v>
      </c>
      <c r="D447" s="22" t="s">
        <v>12</v>
      </c>
      <c r="E447" s="23">
        <v>7</v>
      </c>
      <c r="F447" s="23">
        <v>495.21</v>
      </c>
      <c r="G447" s="23">
        <v>3466.47</v>
      </c>
      <c r="H447" s="22" t="s">
        <v>856</v>
      </c>
      <c r="I447" s="22" t="s">
        <v>2344</v>
      </c>
    </row>
    <row r="448" spans="1:9" x14ac:dyDescent="0.35">
      <c r="A448" s="22" t="s">
        <v>857</v>
      </c>
      <c r="B448" s="22" t="s">
        <v>2440</v>
      </c>
      <c r="C448" s="22" t="s">
        <v>2349</v>
      </c>
      <c r="D448" s="22" t="s">
        <v>24</v>
      </c>
      <c r="E448" s="23">
        <v>6</v>
      </c>
      <c r="F448" s="23">
        <v>112.61</v>
      </c>
      <c r="G448" s="23">
        <v>675.66</v>
      </c>
      <c r="H448" s="22" t="s">
        <v>858</v>
      </c>
      <c r="I448" s="22" t="s">
        <v>14</v>
      </c>
    </row>
    <row r="449" spans="1:9" x14ac:dyDescent="0.35">
      <c r="A449" s="22" t="s">
        <v>859</v>
      </c>
      <c r="B449" s="22" t="s">
        <v>2705</v>
      </c>
      <c r="C449" s="22" t="s">
        <v>2342</v>
      </c>
      <c r="D449" s="22" t="s">
        <v>24</v>
      </c>
      <c r="E449" s="23">
        <v>3</v>
      </c>
      <c r="F449" s="23">
        <v>15.77</v>
      </c>
      <c r="G449" s="23">
        <v>47.31</v>
      </c>
      <c r="H449" s="22" t="s">
        <v>860</v>
      </c>
      <c r="I449" s="22" t="s">
        <v>2378</v>
      </c>
    </row>
    <row r="450" spans="1:9" x14ac:dyDescent="0.35">
      <c r="A450" s="22" t="s">
        <v>861</v>
      </c>
      <c r="B450" s="22" t="s">
        <v>2706</v>
      </c>
      <c r="C450" s="22" t="s">
        <v>19</v>
      </c>
      <c r="D450" s="22" t="s">
        <v>12</v>
      </c>
      <c r="E450" s="23">
        <v>4</v>
      </c>
      <c r="F450" s="23">
        <v>498.74</v>
      </c>
      <c r="G450" s="23">
        <v>2374.2600000000002</v>
      </c>
      <c r="H450" s="22" t="s">
        <v>862</v>
      </c>
      <c r="I450" s="22" t="s">
        <v>14</v>
      </c>
    </row>
    <row r="451" spans="1:9" x14ac:dyDescent="0.35">
      <c r="A451" s="22" t="s">
        <v>863</v>
      </c>
      <c r="B451" s="22" t="s">
        <v>2707</v>
      </c>
      <c r="C451" s="22" t="s">
        <v>2342</v>
      </c>
      <c r="D451" s="22" t="s">
        <v>2350</v>
      </c>
      <c r="E451" s="23">
        <v>2</v>
      </c>
      <c r="F451" s="23">
        <v>147.72999999999999</v>
      </c>
      <c r="G451" s="23">
        <v>295.45999999999998</v>
      </c>
      <c r="H451" s="22" t="s">
        <v>864</v>
      </c>
      <c r="I451" s="22" t="s">
        <v>2298</v>
      </c>
    </row>
    <row r="452" spans="1:9" x14ac:dyDescent="0.35">
      <c r="A452" s="22" t="s">
        <v>865</v>
      </c>
      <c r="B452" s="22" t="s">
        <v>2708</v>
      </c>
      <c r="C452" s="22" t="s">
        <v>2342</v>
      </c>
      <c r="D452" s="22" t="s">
        <v>2347</v>
      </c>
      <c r="E452" s="23">
        <v>4</v>
      </c>
      <c r="F452" s="23">
        <v>337.33</v>
      </c>
      <c r="G452" s="23">
        <v>1349.32</v>
      </c>
      <c r="H452" s="22" t="s">
        <v>866</v>
      </c>
      <c r="I452" s="22" t="s">
        <v>2344</v>
      </c>
    </row>
    <row r="453" spans="1:9" x14ac:dyDescent="0.35">
      <c r="A453" s="22" t="s">
        <v>867</v>
      </c>
      <c r="B453" s="22" t="s">
        <v>2572</v>
      </c>
      <c r="C453" s="22" t="s">
        <v>2282</v>
      </c>
      <c r="D453" s="22" t="s">
        <v>2350</v>
      </c>
      <c r="E453" s="23">
        <v>1</v>
      </c>
      <c r="F453" s="23">
        <v>96.57</v>
      </c>
      <c r="G453" s="23">
        <v>96.57</v>
      </c>
      <c r="H453" s="22" t="s">
        <v>868</v>
      </c>
      <c r="I453" s="22" t="s">
        <v>14</v>
      </c>
    </row>
    <row r="454" spans="1:9" x14ac:dyDescent="0.35">
      <c r="A454" s="22" t="s">
        <v>869</v>
      </c>
      <c r="B454" s="22"/>
      <c r="C454" s="22" t="s">
        <v>11</v>
      </c>
      <c r="D454" s="22" t="s">
        <v>2364</v>
      </c>
      <c r="E454" s="23" t="s">
        <v>2351</v>
      </c>
      <c r="F454" s="23">
        <v>294.31</v>
      </c>
      <c r="G454" s="23">
        <v>2648.79</v>
      </c>
      <c r="H454" s="22" t="s">
        <v>870</v>
      </c>
      <c r="I454" s="22" t="s">
        <v>2344</v>
      </c>
    </row>
    <row r="455" spans="1:9" x14ac:dyDescent="0.35">
      <c r="A455" s="22" t="s">
        <v>871</v>
      </c>
      <c r="B455" s="22" t="s">
        <v>2709</v>
      </c>
      <c r="C455" s="22" t="s">
        <v>2358</v>
      </c>
      <c r="D455" s="22" t="s">
        <v>46</v>
      </c>
      <c r="E455" s="23">
        <v>3</v>
      </c>
      <c r="F455" s="23">
        <v>452.98</v>
      </c>
      <c r="G455" s="23">
        <v>1624.84</v>
      </c>
      <c r="H455" s="22" t="s">
        <v>872</v>
      </c>
      <c r="I455" s="22" t="s">
        <v>14</v>
      </c>
    </row>
    <row r="456" spans="1:9" x14ac:dyDescent="0.35">
      <c r="A456" s="22" t="s">
        <v>873</v>
      </c>
      <c r="B456" s="22" t="s">
        <v>2710</v>
      </c>
      <c r="C456" s="22" t="s">
        <v>2282</v>
      </c>
      <c r="D456" s="22" t="s">
        <v>12</v>
      </c>
      <c r="E456" s="23">
        <v>1</v>
      </c>
      <c r="F456" s="23">
        <v>166.89</v>
      </c>
      <c r="G456" s="23"/>
      <c r="H456" s="22" t="s">
        <v>874</v>
      </c>
      <c r="I456" s="22" t="s">
        <v>2298</v>
      </c>
    </row>
    <row r="457" spans="1:9" x14ac:dyDescent="0.35">
      <c r="A457" s="22" t="s">
        <v>875</v>
      </c>
      <c r="B457" s="22" t="s">
        <v>2711</v>
      </c>
      <c r="C457" s="22" t="s">
        <v>2282</v>
      </c>
      <c r="D457" s="22" t="s">
        <v>12</v>
      </c>
      <c r="E457" s="23">
        <v>5</v>
      </c>
      <c r="F457" s="23">
        <v>338.42</v>
      </c>
      <c r="G457" s="23">
        <v>1692.1</v>
      </c>
      <c r="H457" s="22" t="s">
        <v>876</v>
      </c>
      <c r="I457" s="22" t="s">
        <v>2344</v>
      </c>
    </row>
    <row r="458" spans="1:9" x14ac:dyDescent="0.35">
      <c r="A458" s="22" t="s">
        <v>877</v>
      </c>
      <c r="B458" s="22" t="s">
        <v>2712</v>
      </c>
      <c r="C458" s="22" t="s">
        <v>2358</v>
      </c>
      <c r="D458" s="22" t="s">
        <v>2364</v>
      </c>
      <c r="E458" s="23">
        <v>4</v>
      </c>
      <c r="F458" s="23">
        <v>102.07</v>
      </c>
      <c r="G458" s="23">
        <v>408.28</v>
      </c>
      <c r="H458" s="22" t="s">
        <v>878</v>
      </c>
      <c r="I458" s="22" t="s">
        <v>2378</v>
      </c>
    </row>
    <row r="459" spans="1:9" x14ac:dyDescent="0.35">
      <c r="A459" s="22" t="s">
        <v>879</v>
      </c>
      <c r="B459" s="22" t="s">
        <v>2713</v>
      </c>
      <c r="C459" s="22" t="s">
        <v>16</v>
      </c>
      <c r="D459" s="22" t="s">
        <v>46</v>
      </c>
      <c r="E459" s="23">
        <v>6</v>
      </c>
      <c r="F459" s="23">
        <v>316.14999999999998</v>
      </c>
      <c r="G459" s="23">
        <v>1896.9</v>
      </c>
      <c r="H459" s="22" t="s">
        <v>49</v>
      </c>
      <c r="I459" s="22" t="s">
        <v>50</v>
      </c>
    </row>
    <row r="460" spans="1:9" x14ac:dyDescent="0.35">
      <c r="A460" s="22" t="s">
        <v>880</v>
      </c>
      <c r="B460" s="22" t="s">
        <v>2397</v>
      </c>
      <c r="C460" s="22" t="s">
        <v>2342</v>
      </c>
      <c r="D460" s="22" t="s">
        <v>24</v>
      </c>
      <c r="E460" s="23">
        <v>5</v>
      </c>
      <c r="F460" s="23">
        <v>174.86</v>
      </c>
      <c r="G460" s="23">
        <v>1128.98</v>
      </c>
      <c r="H460" s="22" t="s">
        <v>881</v>
      </c>
      <c r="I460" s="22" t="s">
        <v>14</v>
      </c>
    </row>
    <row r="461" spans="1:9" x14ac:dyDescent="0.35">
      <c r="A461" s="22" t="s">
        <v>882</v>
      </c>
      <c r="B461" s="22" t="s">
        <v>2714</v>
      </c>
      <c r="C461" s="22" t="s">
        <v>2349</v>
      </c>
      <c r="D461" s="22" t="s">
        <v>2343</v>
      </c>
      <c r="E461" s="23">
        <v>8</v>
      </c>
      <c r="F461" s="23">
        <v>113.49</v>
      </c>
      <c r="G461" s="23">
        <v>907.92</v>
      </c>
      <c r="H461" s="22" t="s">
        <v>883</v>
      </c>
      <c r="I461" s="22" t="s">
        <v>2356</v>
      </c>
    </row>
    <row r="462" spans="1:9" x14ac:dyDescent="0.35">
      <c r="A462" s="22" t="s">
        <v>884</v>
      </c>
      <c r="B462" s="22"/>
      <c r="C462" s="22" t="s">
        <v>16</v>
      </c>
      <c r="D462" s="22" t="s">
        <v>12</v>
      </c>
      <c r="E462" s="23">
        <v>5</v>
      </c>
      <c r="F462" s="23">
        <v>163.46</v>
      </c>
      <c r="G462" s="23">
        <v>817.3</v>
      </c>
      <c r="H462" s="22" t="s">
        <v>84</v>
      </c>
      <c r="I462" s="22" t="s">
        <v>2356</v>
      </c>
    </row>
    <row r="463" spans="1:9" x14ac:dyDescent="0.35">
      <c r="A463" s="22" t="s">
        <v>885</v>
      </c>
      <c r="B463" s="22" t="s">
        <v>2460</v>
      </c>
      <c r="C463" s="22" t="s">
        <v>2282</v>
      </c>
      <c r="D463" s="22" t="s">
        <v>2350</v>
      </c>
      <c r="E463" s="23">
        <v>7</v>
      </c>
      <c r="F463" s="23">
        <v>97.63</v>
      </c>
      <c r="G463" s="23">
        <v>683.41</v>
      </c>
      <c r="H463" s="22" t="s">
        <v>886</v>
      </c>
      <c r="I463" s="22" t="s">
        <v>50</v>
      </c>
    </row>
    <row r="464" spans="1:9" x14ac:dyDescent="0.35">
      <c r="A464" s="22" t="s">
        <v>887</v>
      </c>
      <c r="B464" s="22" t="s">
        <v>2715</v>
      </c>
      <c r="C464" s="22" t="s">
        <v>23</v>
      </c>
      <c r="D464" s="22" t="s">
        <v>32</v>
      </c>
      <c r="E464" s="23">
        <v>4</v>
      </c>
      <c r="F464" s="23">
        <v>451.94</v>
      </c>
      <c r="G464" s="23">
        <v>1807.76</v>
      </c>
      <c r="H464" s="22" t="s">
        <v>888</v>
      </c>
      <c r="I464" s="22" t="s">
        <v>2298</v>
      </c>
    </row>
    <row r="465" spans="1:9" x14ac:dyDescent="0.35">
      <c r="A465" s="22" t="s">
        <v>889</v>
      </c>
      <c r="B465" s="22" t="s">
        <v>2716</v>
      </c>
      <c r="C465" s="22" t="s">
        <v>23</v>
      </c>
      <c r="D465" s="22" t="s">
        <v>24</v>
      </c>
      <c r="E465" s="23">
        <v>1</v>
      </c>
      <c r="F465" s="23">
        <v>204.62</v>
      </c>
      <c r="G465" s="23">
        <v>204.62</v>
      </c>
      <c r="H465" s="22" t="s">
        <v>890</v>
      </c>
      <c r="I465" s="22" t="s">
        <v>2378</v>
      </c>
    </row>
    <row r="466" spans="1:9" x14ac:dyDescent="0.35">
      <c r="A466" s="22" t="s">
        <v>891</v>
      </c>
      <c r="B466" s="22" t="s">
        <v>2717</v>
      </c>
      <c r="C466" s="22" t="s">
        <v>2346</v>
      </c>
      <c r="D466" s="22" t="s">
        <v>2364</v>
      </c>
      <c r="E466" s="23">
        <v>5</v>
      </c>
      <c r="F466" s="23">
        <v>130.19</v>
      </c>
      <c r="G466" s="23">
        <v>650.95000000000005</v>
      </c>
      <c r="H466" s="22" t="s">
        <v>892</v>
      </c>
      <c r="I466" s="22" t="s">
        <v>2356</v>
      </c>
    </row>
    <row r="467" spans="1:9" x14ac:dyDescent="0.35">
      <c r="A467" s="22" t="s">
        <v>893</v>
      </c>
      <c r="B467" s="22" t="s">
        <v>2675</v>
      </c>
      <c r="C467" s="22" t="s">
        <v>2342</v>
      </c>
      <c r="D467" s="22" t="s">
        <v>2364</v>
      </c>
      <c r="E467" s="23">
        <v>4</v>
      </c>
      <c r="F467" s="23">
        <v>229.72</v>
      </c>
      <c r="G467" s="23">
        <v>918.88</v>
      </c>
      <c r="H467" s="22" t="s">
        <v>894</v>
      </c>
      <c r="I467" s="22" t="s">
        <v>2298</v>
      </c>
    </row>
    <row r="468" spans="1:9" x14ac:dyDescent="0.35">
      <c r="A468" s="22" t="s">
        <v>895</v>
      </c>
      <c r="B468" s="22" t="s">
        <v>2435</v>
      </c>
      <c r="C468" s="22" t="s">
        <v>2342</v>
      </c>
      <c r="D468" s="22" t="s">
        <v>32</v>
      </c>
      <c r="E468" s="23">
        <v>3</v>
      </c>
      <c r="F468" s="23">
        <v>167.06</v>
      </c>
      <c r="G468" s="23">
        <v>501.18</v>
      </c>
      <c r="H468" s="22" t="s">
        <v>896</v>
      </c>
      <c r="I468" s="22" t="s">
        <v>2356</v>
      </c>
    </row>
    <row r="469" spans="1:9" x14ac:dyDescent="0.35">
      <c r="A469" s="22" t="s">
        <v>897</v>
      </c>
      <c r="B469" s="22" t="s">
        <v>2583</v>
      </c>
      <c r="C469" s="22" t="s">
        <v>16</v>
      </c>
      <c r="D469" s="22" t="s">
        <v>2364</v>
      </c>
      <c r="E469" s="23">
        <v>2</v>
      </c>
      <c r="F469" s="23">
        <v>-42</v>
      </c>
      <c r="G469" s="23">
        <v>1201.5899999999999</v>
      </c>
      <c r="H469" s="22" t="s">
        <v>84</v>
      </c>
      <c r="I469" s="22" t="s">
        <v>26</v>
      </c>
    </row>
    <row r="470" spans="1:9" x14ac:dyDescent="0.35">
      <c r="A470" s="22" t="s">
        <v>898</v>
      </c>
      <c r="B470" s="22" t="s">
        <v>2698</v>
      </c>
      <c r="C470" s="22" t="s">
        <v>16</v>
      </c>
      <c r="D470" s="22" t="s">
        <v>46</v>
      </c>
      <c r="E470" s="23">
        <v>12</v>
      </c>
      <c r="F470" s="23">
        <v>485.9</v>
      </c>
      <c r="G470" s="23">
        <v>5830.8</v>
      </c>
      <c r="H470" s="22" t="s">
        <v>899</v>
      </c>
      <c r="I470" s="22"/>
    </row>
    <row r="471" spans="1:9" x14ac:dyDescent="0.35">
      <c r="A471" s="22" t="s">
        <v>900</v>
      </c>
      <c r="B471" s="22" t="s">
        <v>2475</v>
      </c>
      <c r="C471" s="22" t="s">
        <v>2349</v>
      </c>
      <c r="D471" s="22" t="s">
        <v>2350</v>
      </c>
      <c r="E471" s="23">
        <v>5</v>
      </c>
      <c r="F471" s="23">
        <v>224.64</v>
      </c>
      <c r="G471" s="23">
        <v>1364.86</v>
      </c>
      <c r="H471" s="22" t="s">
        <v>901</v>
      </c>
      <c r="I471" s="22" t="s">
        <v>2356</v>
      </c>
    </row>
    <row r="472" spans="1:9" x14ac:dyDescent="0.35">
      <c r="A472" s="22" t="s">
        <v>902</v>
      </c>
      <c r="B472" s="22" t="s">
        <v>2519</v>
      </c>
      <c r="C472" s="22" t="s">
        <v>2349</v>
      </c>
      <c r="D472" s="22" t="s">
        <v>12</v>
      </c>
      <c r="E472" s="23">
        <v>10</v>
      </c>
      <c r="F472" s="23">
        <v>431.91</v>
      </c>
      <c r="G472" s="23">
        <v>4319.1000000000004</v>
      </c>
      <c r="H472" s="22" t="s">
        <v>903</v>
      </c>
      <c r="I472" s="22" t="s">
        <v>2340</v>
      </c>
    </row>
    <row r="473" spans="1:9" x14ac:dyDescent="0.35">
      <c r="A473" s="22" t="s">
        <v>904</v>
      </c>
      <c r="B473" s="22" t="s">
        <v>2718</v>
      </c>
      <c r="C473" s="22" t="s">
        <v>23</v>
      </c>
      <c r="D473" s="22" t="s">
        <v>12</v>
      </c>
      <c r="E473" s="23">
        <v>6</v>
      </c>
      <c r="F473" s="23">
        <v>287.27</v>
      </c>
      <c r="G473" s="23">
        <v>1723.62</v>
      </c>
      <c r="H473" s="22" t="s">
        <v>905</v>
      </c>
      <c r="I473" s="22" t="s">
        <v>26</v>
      </c>
    </row>
    <row r="474" spans="1:9" x14ac:dyDescent="0.35">
      <c r="A474" s="22" t="s">
        <v>906</v>
      </c>
      <c r="B474" s="22" t="s">
        <v>2719</v>
      </c>
      <c r="C474" s="22" t="s">
        <v>23</v>
      </c>
      <c r="D474" s="22" t="s">
        <v>2364</v>
      </c>
      <c r="E474" s="23">
        <v>1</v>
      </c>
      <c r="F474" s="23">
        <v>87.05</v>
      </c>
      <c r="G474" s="23">
        <v>87.05</v>
      </c>
      <c r="H474" s="22" t="s">
        <v>907</v>
      </c>
      <c r="I474" s="22"/>
    </row>
    <row r="475" spans="1:9" x14ac:dyDescent="0.35">
      <c r="A475" s="22" t="s">
        <v>908</v>
      </c>
      <c r="B475" s="22" t="s">
        <v>2720</v>
      </c>
      <c r="C475" s="22" t="s">
        <v>2358</v>
      </c>
      <c r="D475" s="22" t="s">
        <v>32</v>
      </c>
      <c r="E475" s="23">
        <v>6</v>
      </c>
      <c r="F475" s="23">
        <v>348.41</v>
      </c>
      <c r="G475" s="23">
        <v>2090.46</v>
      </c>
      <c r="H475" s="22" t="s">
        <v>909</v>
      </c>
      <c r="I475" s="22" t="s">
        <v>50</v>
      </c>
    </row>
    <row r="476" spans="1:9" x14ac:dyDescent="0.35">
      <c r="A476" s="22" t="s">
        <v>910</v>
      </c>
      <c r="B476" s="22" t="s">
        <v>2721</v>
      </c>
      <c r="C476" s="22"/>
      <c r="D476" s="22" t="s">
        <v>2350</v>
      </c>
      <c r="E476" s="23">
        <v>2</v>
      </c>
      <c r="F476" s="23">
        <v>261.58</v>
      </c>
      <c r="G476" s="23">
        <v>523.16</v>
      </c>
      <c r="H476" s="22" t="s">
        <v>911</v>
      </c>
      <c r="I476" s="22" t="s">
        <v>50</v>
      </c>
    </row>
    <row r="477" spans="1:9" x14ac:dyDescent="0.35">
      <c r="A477" s="22" t="s">
        <v>912</v>
      </c>
      <c r="B477" s="22" t="s">
        <v>2722</v>
      </c>
      <c r="C477" s="22" t="s">
        <v>2282</v>
      </c>
      <c r="D477" s="22" t="s">
        <v>2347</v>
      </c>
      <c r="E477" s="23">
        <v>4</v>
      </c>
      <c r="F477" s="23">
        <v>328.8</v>
      </c>
      <c r="G477" s="23">
        <v>1761.58</v>
      </c>
      <c r="H477" s="22" t="s">
        <v>913</v>
      </c>
      <c r="I477" s="22" t="s">
        <v>2344</v>
      </c>
    </row>
    <row r="478" spans="1:9" x14ac:dyDescent="0.35">
      <c r="A478" s="22" t="s">
        <v>914</v>
      </c>
      <c r="B478" s="22" t="s">
        <v>2723</v>
      </c>
      <c r="C478" s="22" t="s">
        <v>2342</v>
      </c>
      <c r="D478" s="22" t="s">
        <v>2350</v>
      </c>
      <c r="E478" s="23"/>
      <c r="F478" s="23">
        <v>445.95</v>
      </c>
      <c r="G478" s="23">
        <v>2229.75</v>
      </c>
      <c r="H478" s="22" t="s">
        <v>915</v>
      </c>
      <c r="I478" s="22" t="s">
        <v>26</v>
      </c>
    </row>
    <row r="479" spans="1:9" x14ac:dyDescent="0.35">
      <c r="A479" s="22" t="s">
        <v>916</v>
      </c>
      <c r="B479" s="22" t="s">
        <v>2724</v>
      </c>
      <c r="C479" s="22" t="s">
        <v>23</v>
      </c>
      <c r="D479" s="22" t="s">
        <v>2364</v>
      </c>
      <c r="E479" s="23"/>
      <c r="F479" s="23">
        <v>-54.61</v>
      </c>
      <c r="G479" s="23">
        <v>2281.88</v>
      </c>
      <c r="H479" s="22" t="s">
        <v>917</v>
      </c>
      <c r="I479" s="22" t="s">
        <v>50</v>
      </c>
    </row>
    <row r="480" spans="1:9" x14ac:dyDescent="0.35">
      <c r="A480" s="22" t="s">
        <v>918</v>
      </c>
      <c r="B480" s="22" t="s">
        <v>2725</v>
      </c>
      <c r="C480" s="22" t="s">
        <v>23</v>
      </c>
      <c r="D480" s="22" t="s">
        <v>32</v>
      </c>
      <c r="E480" s="23">
        <v>4</v>
      </c>
      <c r="F480" s="23">
        <v>-60.56</v>
      </c>
      <c r="G480" s="23">
        <v>1806.32</v>
      </c>
      <c r="H480" s="22" t="s">
        <v>919</v>
      </c>
      <c r="I480" s="22" t="s">
        <v>2356</v>
      </c>
    </row>
    <row r="481" spans="1:9" x14ac:dyDescent="0.35">
      <c r="A481" s="22" t="s">
        <v>920</v>
      </c>
      <c r="B481" s="22" t="s">
        <v>2341</v>
      </c>
      <c r="C481" s="22" t="s">
        <v>2349</v>
      </c>
      <c r="D481" s="22" t="s">
        <v>32</v>
      </c>
      <c r="E481" s="23">
        <v>2</v>
      </c>
      <c r="F481" s="23">
        <v>377.83</v>
      </c>
      <c r="G481" s="23"/>
      <c r="H481" s="22" t="s">
        <v>921</v>
      </c>
      <c r="I481" s="22"/>
    </row>
    <row r="482" spans="1:9" x14ac:dyDescent="0.35">
      <c r="A482" s="22" t="s">
        <v>922</v>
      </c>
      <c r="B482" s="22" t="s">
        <v>2726</v>
      </c>
      <c r="C482" s="22" t="s">
        <v>2342</v>
      </c>
      <c r="D482" s="22" t="s">
        <v>12</v>
      </c>
      <c r="E482" s="23">
        <v>1</v>
      </c>
      <c r="F482" s="23">
        <v>249.42</v>
      </c>
      <c r="G482" s="23">
        <v>249.42</v>
      </c>
      <c r="H482" s="22" t="s">
        <v>923</v>
      </c>
      <c r="I482" s="22" t="s">
        <v>2356</v>
      </c>
    </row>
    <row r="483" spans="1:9" x14ac:dyDescent="0.35">
      <c r="A483" s="22" t="s">
        <v>924</v>
      </c>
      <c r="B483" s="22" t="s">
        <v>2727</v>
      </c>
      <c r="C483" s="22" t="s">
        <v>2346</v>
      </c>
      <c r="D483" s="22" t="s">
        <v>2364</v>
      </c>
      <c r="E483" s="23">
        <v>8</v>
      </c>
      <c r="F483" s="23">
        <v>305.58</v>
      </c>
      <c r="G483" s="23">
        <v>2444.64</v>
      </c>
      <c r="H483" s="22" t="s">
        <v>925</v>
      </c>
      <c r="I483" s="22" t="s">
        <v>2340</v>
      </c>
    </row>
    <row r="484" spans="1:9" x14ac:dyDescent="0.35">
      <c r="A484" s="22" t="s">
        <v>926</v>
      </c>
      <c r="B484" s="22" t="s">
        <v>2728</v>
      </c>
      <c r="C484" s="22" t="s">
        <v>2346</v>
      </c>
      <c r="D484" s="22" t="s">
        <v>24</v>
      </c>
      <c r="E484" s="23">
        <v>8</v>
      </c>
      <c r="F484" s="23">
        <v>169.53</v>
      </c>
      <c r="G484" s="23">
        <v>1356.24</v>
      </c>
      <c r="H484" s="22" t="s">
        <v>927</v>
      </c>
      <c r="I484" s="22" t="s">
        <v>50</v>
      </c>
    </row>
    <row r="485" spans="1:9" x14ac:dyDescent="0.35">
      <c r="A485" s="22" t="s">
        <v>928</v>
      </c>
      <c r="B485" s="22" t="s">
        <v>2729</v>
      </c>
      <c r="C485" s="22" t="s">
        <v>2358</v>
      </c>
      <c r="D485" s="22" t="s">
        <v>2343</v>
      </c>
      <c r="E485" s="23">
        <v>4</v>
      </c>
      <c r="F485" s="23">
        <v>491.96</v>
      </c>
      <c r="G485" s="23">
        <v>1967.84</v>
      </c>
      <c r="H485" s="22" t="s">
        <v>929</v>
      </c>
      <c r="I485" s="22"/>
    </row>
    <row r="486" spans="1:9" x14ac:dyDescent="0.35">
      <c r="A486" s="22" t="s">
        <v>930</v>
      </c>
      <c r="B486" s="22"/>
      <c r="C486" s="22" t="s">
        <v>2282</v>
      </c>
      <c r="D486" s="22" t="s">
        <v>2350</v>
      </c>
      <c r="E486" s="23">
        <v>1</v>
      </c>
      <c r="F486" s="23">
        <v>337</v>
      </c>
      <c r="G486" s="23">
        <v>337</v>
      </c>
      <c r="H486" s="22" t="s">
        <v>931</v>
      </c>
      <c r="I486" s="22" t="s">
        <v>26</v>
      </c>
    </row>
    <row r="487" spans="1:9" x14ac:dyDescent="0.35">
      <c r="A487" s="22" t="s">
        <v>932</v>
      </c>
      <c r="B487" s="22" t="s">
        <v>2730</v>
      </c>
      <c r="C487" s="22" t="s">
        <v>2346</v>
      </c>
      <c r="D487" s="22" t="s">
        <v>24</v>
      </c>
      <c r="E487" s="23">
        <v>9</v>
      </c>
      <c r="F487" s="23">
        <v>31.48</v>
      </c>
      <c r="G487" s="23">
        <v>283.32</v>
      </c>
      <c r="H487" s="22" t="s">
        <v>84</v>
      </c>
      <c r="I487" s="22" t="s">
        <v>2340</v>
      </c>
    </row>
    <row r="488" spans="1:9" x14ac:dyDescent="0.35">
      <c r="A488" s="22" t="s">
        <v>933</v>
      </c>
      <c r="B488" s="22" t="s">
        <v>2731</v>
      </c>
      <c r="C488" s="22" t="s">
        <v>2358</v>
      </c>
      <c r="D488" s="22" t="s">
        <v>12</v>
      </c>
      <c r="E488" s="23">
        <v>4</v>
      </c>
      <c r="F488" s="23">
        <v>170.04</v>
      </c>
      <c r="G488" s="23"/>
      <c r="H488" s="22" t="s">
        <v>934</v>
      </c>
      <c r="I488" s="22" t="s">
        <v>50</v>
      </c>
    </row>
    <row r="489" spans="1:9" x14ac:dyDescent="0.35">
      <c r="A489" s="22" t="s">
        <v>935</v>
      </c>
      <c r="B489" s="22" t="s">
        <v>2375</v>
      </c>
      <c r="C489" s="22" t="s">
        <v>2346</v>
      </c>
      <c r="D489" s="22" t="s">
        <v>46</v>
      </c>
      <c r="E489" s="23">
        <v>2</v>
      </c>
      <c r="F489" s="23">
        <v>315.42</v>
      </c>
      <c r="G489" s="23">
        <v>630.84</v>
      </c>
      <c r="H489" s="22" t="s">
        <v>936</v>
      </c>
      <c r="I489" s="22" t="s">
        <v>2378</v>
      </c>
    </row>
    <row r="490" spans="1:9" x14ac:dyDescent="0.35">
      <c r="A490" s="22" t="s">
        <v>937</v>
      </c>
      <c r="B490" s="22" t="s">
        <v>2732</v>
      </c>
      <c r="C490" s="22" t="s">
        <v>2349</v>
      </c>
      <c r="D490" s="22" t="s">
        <v>12</v>
      </c>
      <c r="E490" s="23">
        <v>4</v>
      </c>
      <c r="F490" s="23">
        <v>-33.35</v>
      </c>
      <c r="G490" s="23">
        <v>150.4</v>
      </c>
      <c r="H490" s="22" t="s">
        <v>938</v>
      </c>
      <c r="I490" s="22" t="s">
        <v>14</v>
      </c>
    </row>
    <row r="491" spans="1:9" x14ac:dyDescent="0.35">
      <c r="A491" s="22" t="s">
        <v>939</v>
      </c>
      <c r="B491" s="22" t="s">
        <v>2388</v>
      </c>
      <c r="C491" s="22" t="s">
        <v>2342</v>
      </c>
      <c r="D491" s="22" t="s">
        <v>2347</v>
      </c>
      <c r="E491" s="23">
        <v>3</v>
      </c>
      <c r="F491" s="23">
        <v>21.7</v>
      </c>
      <c r="G491" s="23">
        <v>65.099999999999994</v>
      </c>
      <c r="H491" s="22" t="s">
        <v>940</v>
      </c>
      <c r="I491" s="22"/>
    </row>
    <row r="492" spans="1:9" x14ac:dyDescent="0.35">
      <c r="A492" s="22" t="s">
        <v>941</v>
      </c>
      <c r="B492" s="22" t="s">
        <v>2733</v>
      </c>
      <c r="C492" s="22" t="s">
        <v>2349</v>
      </c>
      <c r="D492" s="22" t="s">
        <v>2343</v>
      </c>
      <c r="E492" s="23">
        <v>8</v>
      </c>
      <c r="F492" s="23">
        <v>230.51</v>
      </c>
      <c r="G492" s="23">
        <v>1844.08</v>
      </c>
      <c r="H492" s="22"/>
      <c r="I492" s="22" t="s">
        <v>2344</v>
      </c>
    </row>
    <row r="493" spans="1:9" x14ac:dyDescent="0.35">
      <c r="A493" s="22" t="s">
        <v>942</v>
      </c>
      <c r="B493" s="22" t="s">
        <v>2734</v>
      </c>
      <c r="C493" s="22" t="s">
        <v>16</v>
      </c>
      <c r="D493" s="22" t="s">
        <v>46</v>
      </c>
      <c r="E493" s="23">
        <v>9</v>
      </c>
      <c r="F493" s="23">
        <v>173.02</v>
      </c>
      <c r="G493" s="23"/>
      <c r="H493" s="22" t="s">
        <v>943</v>
      </c>
      <c r="I493" s="22" t="s">
        <v>2340</v>
      </c>
    </row>
    <row r="494" spans="1:9" x14ac:dyDescent="0.35">
      <c r="A494" s="22" t="s">
        <v>944</v>
      </c>
      <c r="B494" s="22" t="s">
        <v>2564</v>
      </c>
      <c r="C494" s="22" t="s">
        <v>2349</v>
      </c>
      <c r="D494" s="22" t="s">
        <v>2364</v>
      </c>
      <c r="E494" s="23">
        <v>4</v>
      </c>
      <c r="F494" s="23">
        <v>224.77</v>
      </c>
      <c r="G494" s="23">
        <v>899.08</v>
      </c>
      <c r="H494" s="22" t="s">
        <v>945</v>
      </c>
      <c r="I494" s="22" t="s">
        <v>2298</v>
      </c>
    </row>
    <row r="495" spans="1:9" x14ac:dyDescent="0.35">
      <c r="A495" s="22" t="s">
        <v>946</v>
      </c>
      <c r="B495" s="22" t="s">
        <v>2735</v>
      </c>
      <c r="C495" s="22" t="s">
        <v>2342</v>
      </c>
      <c r="D495" s="22" t="s">
        <v>2350</v>
      </c>
      <c r="E495" s="23">
        <v>4</v>
      </c>
      <c r="F495" s="23">
        <v>138.72</v>
      </c>
      <c r="G495" s="23">
        <v>554.88</v>
      </c>
      <c r="H495" s="22" t="s">
        <v>947</v>
      </c>
      <c r="I495" s="22" t="s">
        <v>2356</v>
      </c>
    </row>
    <row r="496" spans="1:9" x14ac:dyDescent="0.35">
      <c r="A496" s="22" t="s">
        <v>948</v>
      </c>
      <c r="B496" s="22" t="s">
        <v>2736</v>
      </c>
      <c r="C496" s="22" t="s">
        <v>2346</v>
      </c>
      <c r="D496" s="22" t="s">
        <v>32</v>
      </c>
      <c r="E496" s="23">
        <v>5</v>
      </c>
      <c r="F496" s="23">
        <v>90.71</v>
      </c>
      <c r="G496" s="23">
        <v>453.55</v>
      </c>
      <c r="H496" s="22" t="s">
        <v>949</v>
      </c>
      <c r="I496" s="22" t="s">
        <v>2340</v>
      </c>
    </row>
    <row r="497" spans="1:9" x14ac:dyDescent="0.35">
      <c r="A497" s="22" t="s">
        <v>950</v>
      </c>
      <c r="B497" s="22" t="s">
        <v>2567</v>
      </c>
      <c r="C497" s="22"/>
      <c r="D497" s="22" t="s">
        <v>12</v>
      </c>
      <c r="E497" s="23">
        <v>11</v>
      </c>
      <c r="F497" s="23">
        <v>347.68</v>
      </c>
      <c r="G497" s="23">
        <v>3824.48</v>
      </c>
      <c r="H497" s="22" t="s">
        <v>951</v>
      </c>
      <c r="I497" s="22" t="s">
        <v>2340</v>
      </c>
    </row>
    <row r="498" spans="1:9" x14ac:dyDescent="0.35">
      <c r="A498" s="22" t="s">
        <v>952</v>
      </c>
      <c r="B498" s="22" t="s">
        <v>2652</v>
      </c>
      <c r="C498" s="22" t="s">
        <v>2358</v>
      </c>
      <c r="D498" s="22" t="s">
        <v>2343</v>
      </c>
      <c r="E498" s="23">
        <v>8</v>
      </c>
      <c r="F498" s="23">
        <v>262.14</v>
      </c>
      <c r="G498" s="23">
        <v>2097.12</v>
      </c>
      <c r="H498" s="22" t="s">
        <v>953</v>
      </c>
      <c r="I498" s="22"/>
    </row>
    <row r="499" spans="1:9" x14ac:dyDescent="0.35">
      <c r="A499" s="22" t="s">
        <v>954</v>
      </c>
      <c r="B499" s="22" t="s">
        <v>2737</v>
      </c>
      <c r="C499" s="22"/>
      <c r="D499" s="22" t="s">
        <v>12</v>
      </c>
      <c r="E499" s="23">
        <v>6</v>
      </c>
      <c r="F499" s="23">
        <v>108.08</v>
      </c>
      <c r="G499" s="23">
        <v>648.48</v>
      </c>
      <c r="H499" s="22" t="s">
        <v>955</v>
      </c>
      <c r="I499" s="22" t="s">
        <v>26</v>
      </c>
    </row>
    <row r="500" spans="1:9" x14ac:dyDescent="0.35">
      <c r="A500" s="22" t="s">
        <v>956</v>
      </c>
      <c r="B500" s="22" t="s">
        <v>2397</v>
      </c>
      <c r="C500" s="22" t="s">
        <v>2358</v>
      </c>
      <c r="D500" s="22" t="s">
        <v>2347</v>
      </c>
      <c r="E500" s="23">
        <v>2</v>
      </c>
      <c r="F500" s="23">
        <v>166.6</v>
      </c>
      <c r="G500" s="23">
        <v>333.2</v>
      </c>
      <c r="H500" s="22" t="s">
        <v>957</v>
      </c>
      <c r="I500" s="22" t="s">
        <v>2344</v>
      </c>
    </row>
    <row r="501" spans="1:9" x14ac:dyDescent="0.35">
      <c r="A501" s="22" t="s">
        <v>958</v>
      </c>
      <c r="B501" s="22" t="s">
        <v>2371</v>
      </c>
      <c r="C501" s="22" t="s">
        <v>2349</v>
      </c>
      <c r="D501" s="22" t="s">
        <v>2347</v>
      </c>
      <c r="E501" s="23">
        <v>8</v>
      </c>
      <c r="F501" s="23">
        <v>299.99</v>
      </c>
      <c r="G501" s="23">
        <v>2399.92</v>
      </c>
      <c r="H501" s="22" t="s">
        <v>959</v>
      </c>
      <c r="I501" s="22" t="s">
        <v>50</v>
      </c>
    </row>
    <row r="502" spans="1:9" x14ac:dyDescent="0.35">
      <c r="A502" s="22" t="s">
        <v>960</v>
      </c>
      <c r="B502" s="22" t="s">
        <v>2738</v>
      </c>
      <c r="C502" s="22"/>
      <c r="D502" s="22" t="s">
        <v>2347</v>
      </c>
      <c r="E502" s="23">
        <v>7</v>
      </c>
      <c r="F502" s="23">
        <v>45.39</v>
      </c>
      <c r="G502" s="23"/>
      <c r="H502" s="22" t="s">
        <v>961</v>
      </c>
      <c r="I502" s="22" t="s">
        <v>26</v>
      </c>
    </row>
    <row r="503" spans="1:9" x14ac:dyDescent="0.35">
      <c r="A503" s="22" t="s">
        <v>962</v>
      </c>
      <c r="B503" s="22" t="s">
        <v>2739</v>
      </c>
      <c r="C503" s="22" t="s">
        <v>2346</v>
      </c>
      <c r="D503" s="22" t="s">
        <v>24</v>
      </c>
      <c r="E503" s="23">
        <v>6</v>
      </c>
      <c r="F503" s="23">
        <v>82.25</v>
      </c>
      <c r="G503" s="23">
        <v>493.5</v>
      </c>
      <c r="H503" s="22" t="s">
        <v>963</v>
      </c>
      <c r="I503" s="22" t="s">
        <v>2356</v>
      </c>
    </row>
    <row r="504" spans="1:9" x14ac:dyDescent="0.35">
      <c r="A504" s="22" t="s">
        <v>964</v>
      </c>
      <c r="B504" s="22" t="s">
        <v>2740</v>
      </c>
      <c r="C504" s="22" t="s">
        <v>23</v>
      </c>
      <c r="D504" s="22" t="s">
        <v>2350</v>
      </c>
      <c r="E504" s="23">
        <v>5</v>
      </c>
      <c r="F504" s="23">
        <v>45.89</v>
      </c>
      <c r="G504" s="23">
        <v>434.8</v>
      </c>
      <c r="H504" s="22" t="s">
        <v>965</v>
      </c>
      <c r="I504" s="22" t="s">
        <v>2378</v>
      </c>
    </row>
    <row r="505" spans="1:9" x14ac:dyDescent="0.35">
      <c r="A505" s="22" t="s">
        <v>966</v>
      </c>
      <c r="B505" s="22" t="s">
        <v>2741</v>
      </c>
      <c r="C505" s="22"/>
      <c r="D505" s="22" t="s">
        <v>2350</v>
      </c>
      <c r="E505" s="23">
        <v>3</v>
      </c>
      <c r="F505" s="23">
        <v>408.04</v>
      </c>
      <c r="G505" s="23">
        <v>1224.1199999999999</v>
      </c>
      <c r="H505" s="22" t="s">
        <v>967</v>
      </c>
      <c r="I505" s="22"/>
    </row>
    <row r="506" spans="1:9" x14ac:dyDescent="0.35">
      <c r="A506" s="22" t="s">
        <v>968</v>
      </c>
      <c r="B506" s="22" t="s">
        <v>2742</v>
      </c>
      <c r="C506" s="22" t="s">
        <v>16</v>
      </c>
      <c r="D506" s="22" t="s">
        <v>24</v>
      </c>
      <c r="E506" s="23">
        <v>5</v>
      </c>
      <c r="F506" s="23">
        <v>378.68</v>
      </c>
      <c r="G506" s="23">
        <v>1893.4</v>
      </c>
      <c r="H506" s="22" t="s">
        <v>969</v>
      </c>
      <c r="I506" s="22" t="s">
        <v>2340</v>
      </c>
    </row>
    <row r="507" spans="1:9" x14ac:dyDescent="0.35">
      <c r="A507" s="22" t="s">
        <v>970</v>
      </c>
      <c r="B507" s="22" t="s">
        <v>2743</v>
      </c>
      <c r="C507" s="22" t="s">
        <v>2349</v>
      </c>
      <c r="D507" s="22" t="s">
        <v>46</v>
      </c>
      <c r="E507" s="23">
        <v>3</v>
      </c>
      <c r="F507" s="23">
        <v>379.12</v>
      </c>
      <c r="G507" s="23">
        <v>1137.3599999999999</v>
      </c>
      <c r="H507" s="22"/>
      <c r="I507" s="22"/>
    </row>
    <row r="508" spans="1:9" x14ac:dyDescent="0.35">
      <c r="A508" s="22" t="s">
        <v>971</v>
      </c>
      <c r="B508" s="22" t="s">
        <v>2744</v>
      </c>
      <c r="C508" s="22" t="s">
        <v>2358</v>
      </c>
      <c r="D508" s="22" t="s">
        <v>2347</v>
      </c>
      <c r="E508" s="23">
        <v>3</v>
      </c>
      <c r="F508" s="23">
        <v>-186.51</v>
      </c>
      <c r="G508" s="23">
        <v>1083</v>
      </c>
      <c r="H508" s="22" t="s">
        <v>972</v>
      </c>
      <c r="I508" s="22" t="s">
        <v>2344</v>
      </c>
    </row>
    <row r="509" spans="1:9" x14ac:dyDescent="0.35">
      <c r="A509" s="22" t="s">
        <v>164</v>
      </c>
      <c r="B509" s="22" t="s">
        <v>2745</v>
      </c>
      <c r="C509" s="22" t="s">
        <v>2358</v>
      </c>
      <c r="D509" s="22" t="s">
        <v>2364</v>
      </c>
      <c r="E509" s="23">
        <v>7</v>
      </c>
      <c r="F509" s="23">
        <v>338</v>
      </c>
      <c r="G509" s="23">
        <v>2366</v>
      </c>
      <c r="H509" s="22" t="s">
        <v>2746</v>
      </c>
      <c r="I509" s="22" t="s">
        <v>2378</v>
      </c>
    </row>
    <row r="510" spans="1:9" x14ac:dyDescent="0.35">
      <c r="A510" s="22" t="s">
        <v>973</v>
      </c>
      <c r="B510" s="22"/>
      <c r="C510" s="22" t="s">
        <v>2342</v>
      </c>
      <c r="D510" s="22" t="s">
        <v>46</v>
      </c>
      <c r="E510" s="23">
        <v>4</v>
      </c>
      <c r="F510" s="23">
        <v>243.73</v>
      </c>
      <c r="G510" s="23">
        <v>974.92</v>
      </c>
      <c r="H510" s="22" t="s">
        <v>974</v>
      </c>
      <c r="I510" s="22"/>
    </row>
    <row r="511" spans="1:9" x14ac:dyDescent="0.35">
      <c r="A511" s="22" t="s">
        <v>975</v>
      </c>
      <c r="B511" s="22" t="s">
        <v>2747</v>
      </c>
      <c r="C511" s="22" t="s">
        <v>2346</v>
      </c>
      <c r="D511" s="22" t="s">
        <v>2347</v>
      </c>
      <c r="E511" s="23">
        <v>4</v>
      </c>
      <c r="F511" s="23">
        <v>324.72000000000003</v>
      </c>
      <c r="G511" s="23">
        <v>1298.8800000000001</v>
      </c>
      <c r="H511" s="22" t="s">
        <v>976</v>
      </c>
      <c r="I511" s="22" t="s">
        <v>2298</v>
      </c>
    </row>
    <row r="512" spans="1:9" x14ac:dyDescent="0.35">
      <c r="A512" s="22" t="s">
        <v>977</v>
      </c>
      <c r="B512" s="22" t="s">
        <v>2399</v>
      </c>
      <c r="C512" s="22" t="s">
        <v>2358</v>
      </c>
      <c r="D512" s="22" t="s">
        <v>24</v>
      </c>
      <c r="E512" s="23">
        <v>6</v>
      </c>
      <c r="F512" s="23">
        <v>28.8</v>
      </c>
      <c r="G512" s="23">
        <v>172.8</v>
      </c>
      <c r="H512" s="22" t="s">
        <v>978</v>
      </c>
      <c r="I512" s="22" t="s">
        <v>2344</v>
      </c>
    </row>
    <row r="513" spans="1:9" x14ac:dyDescent="0.35">
      <c r="A513" s="22" t="s">
        <v>979</v>
      </c>
      <c r="B513" s="22" t="s">
        <v>2748</v>
      </c>
      <c r="C513" s="22" t="s">
        <v>16</v>
      </c>
      <c r="D513" s="22" t="s">
        <v>2343</v>
      </c>
      <c r="E513" s="23">
        <v>6</v>
      </c>
      <c r="F513" s="23">
        <v>314.52</v>
      </c>
      <c r="G513" s="23">
        <v>1887.12</v>
      </c>
      <c r="H513" s="22" t="s">
        <v>980</v>
      </c>
      <c r="I513" s="22" t="s">
        <v>2298</v>
      </c>
    </row>
    <row r="514" spans="1:9" x14ac:dyDescent="0.35">
      <c r="A514" s="22" t="s">
        <v>981</v>
      </c>
      <c r="B514" s="22" t="s">
        <v>2397</v>
      </c>
      <c r="C514" s="22" t="s">
        <v>2342</v>
      </c>
      <c r="D514" s="22" t="s">
        <v>2364</v>
      </c>
      <c r="E514" s="23"/>
      <c r="F514" s="23">
        <v>391.16</v>
      </c>
      <c r="G514" s="23">
        <v>1173.48</v>
      </c>
      <c r="H514" s="22" t="s">
        <v>84</v>
      </c>
      <c r="I514" s="22" t="s">
        <v>14</v>
      </c>
    </row>
    <row r="515" spans="1:9" x14ac:dyDescent="0.35">
      <c r="A515" s="22" t="s">
        <v>982</v>
      </c>
      <c r="B515" s="22" t="s">
        <v>2749</v>
      </c>
      <c r="C515" s="22" t="s">
        <v>2282</v>
      </c>
      <c r="D515" s="22" t="s">
        <v>32</v>
      </c>
      <c r="E515" s="23">
        <v>4</v>
      </c>
      <c r="F515" s="23">
        <v>255.18</v>
      </c>
      <c r="G515" s="23">
        <v>1020.72</v>
      </c>
      <c r="H515" s="22" t="s">
        <v>983</v>
      </c>
      <c r="I515" s="22" t="s">
        <v>2298</v>
      </c>
    </row>
    <row r="516" spans="1:9" x14ac:dyDescent="0.35">
      <c r="A516" s="22" t="s">
        <v>984</v>
      </c>
      <c r="B516" s="22" t="s">
        <v>2559</v>
      </c>
      <c r="C516" s="22" t="s">
        <v>23</v>
      </c>
      <c r="D516" s="22" t="s">
        <v>24</v>
      </c>
      <c r="E516" s="23">
        <v>6</v>
      </c>
      <c r="F516" s="23">
        <v>185.18</v>
      </c>
      <c r="G516" s="23">
        <v>1111.08</v>
      </c>
      <c r="H516" s="22" t="s">
        <v>985</v>
      </c>
      <c r="I516" s="22" t="s">
        <v>50</v>
      </c>
    </row>
    <row r="517" spans="1:9" x14ac:dyDescent="0.35">
      <c r="A517" s="22" t="s">
        <v>986</v>
      </c>
      <c r="B517" s="22" t="s">
        <v>2750</v>
      </c>
      <c r="C517" s="22" t="s">
        <v>16</v>
      </c>
      <c r="D517" s="22" t="s">
        <v>12</v>
      </c>
      <c r="E517" s="23">
        <v>6</v>
      </c>
      <c r="F517" s="23">
        <v>145.94</v>
      </c>
      <c r="G517" s="23">
        <v>1327</v>
      </c>
      <c r="H517" s="22" t="s">
        <v>987</v>
      </c>
      <c r="I517" s="22"/>
    </row>
    <row r="518" spans="1:9" x14ac:dyDescent="0.35">
      <c r="A518" s="22" t="s">
        <v>988</v>
      </c>
      <c r="B518" s="22" t="s">
        <v>2751</v>
      </c>
      <c r="C518" s="22" t="s">
        <v>19</v>
      </c>
      <c r="D518" s="22" t="s">
        <v>46</v>
      </c>
      <c r="E518" s="23">
        <v>6</v>
      </c>
      <c r="F518" s="23">
        <v>324.97000000000003</v>
      </c>
      <c r="G518" s="23">
        <v>1949.82</v>
      </c>
      <c r="H518" s="22" t="s">
        <v>989</v>
      </c>
      <c r="I518" s="22" t="s">
        <v>2344</v>
      </c>
    </row>
    <row r="519" spans="1:9" x14ac:dyDescent="0.35">
      <c r="A519" s="22" t="s">
        <v>990</v>
      </c>
      <c r="B519" s="22" t="s">
        <v>2752</v>
      </c>
      <c r="C519" s="22"/>
      <c r="D519" s="22" t="s">
        <v>2347</v>
      </c>
      <c r="E519" s="23">
        <v>6</v>
      </c>
      <c r="F519" s="23">
        <v>349.47</v>
      </c>
      <c r="G519" s="23">
        <v>2550.9</v>
      </c>
      <c r="H519" s="22" t="s">
        <v>991</v>
      </c>
      <c r="I519" s="22"/>
    </row>
    <row r="520" spans="1:9" x14ac:dyDescent="0.35">
      <c r="A520" s="22" t="s">
        <v>992</v>
      </c>
      <c r="B520" s="22" t="s">
        <v>2753</v>
      </c>
      <c r="C520" s="22"/>
      <c r="D520" s="22" t="s">
        <v>24</v>
      </c>
      <c r="E520" s="23">
        <v>3</v>
      </c>
      <c r="F520" s="23">
        <v>436.77</v>
      </c>
      <c r="G520" s="23">
        <v>1310.31</v>
      </c>
      <c r="H520" s="22"/>
      <c r="I520" s="22"/>
    </row>
    <row r="521" spans="1:9" x14ac:dyDescent="0.35">
      <c r="A521" s="22" t="s">
        <v>993</v>
      </c>
      <c r="B521" s="22" t="s">
        <v>2754</v>
      </c>
      <c r="C521" s="22" t="s">
        <v>11</v>
      </c>
      <c r="D521" s="22" t="s">
        <v>46</v>
      </c>
      <c r="E521" s="23">
        <v>5</v>
      </c>
      <c r="F521" s="23">
        <v>177.74</v>
      </c>
      <c r="G521" s="23">
        <v>888.7</v>
      </c>
      <c r="H521" s="22" t="s">
        <v>994</v>
      </c>
      <c r="I521" s="22" t="s">
        <v>14</v>
      </c>
    </row>
    <row r="522" spans="1:9" x14ac:dyDescent="0.35">
      <c r="A522" s="22" t="s">
        <v>995</v>
      </c>
      <c r="B522" s="22" t="s">
        <v>2741</v>
      </c>
      <c r="C522" s="22" t="s">
        <v>23</v>
      </c>
      <c r="D522" s="22" t="s">
        <v>2364</v>
      </c>
      <c r="E522" s="23">
        <v>2</v>
      </c>
      <c r="F522" s="23">
        <v>387.19</v>
      </c>
      <c r="G522" s="23">
        <v>774.38</v>
      </c>
      <c r="H522" s="22" t="s">
        <v>996</v>
      </c>
      <c r="I522" s="22"/>
    </row>
    <row r="523" spans="1:9" x14ac:dyDescent="0.35">
      <c r="A523" s="22" t="s">
        <v>997</v>
      </c>
      <c r="B523" s="22" t="s">
        <v>2548</v>
      </c>
      <c r="C523" s="22" t="s">
        <v>19</v>
      </c>
      <c r="D523" s="22" t="s">
        <v>2347</v>
      </c>
      <c r="E523" s="23">
        <v>5</v>
      </c>
      <c r="F523" s="23">
        <v>285.06</v>
      </c>
      <c r="G523" s="23">
        <v>1425.3</v>
      </c>
      <c r="H523" s="22" t="s">
        <v>998</v>
      </c>
      <c r="I523" s="22" t="s">
        <v>50</v>
      </c>
    </row>
    <row r="524" spans="1:9" x14ac:dyDescent="0.35">
      <c r="A524" s="22" t="s">
        <v>999</v>
      </c>
      <c r="B524" s="22" t="s">
        <v>2400</v>
      </c>
      <c r="C524" s="22" t="s">
        <v>19</v>
      </c>
      <c r="D524" s="22" t="s">
        <v>2364</v>
      </c>
      <c r="E524" s="23">
        <v>3</v>
      </c>
      <c r="F524" s="23">
        <v>442.59</v>
      </c>
      <c r="G524" s="23">
        <v>1327.77</v>
      </c>
      <c r="H524" s="22" t="s">
        <v>1000</v>
      </c>
      <c r="I524" s="22"/>
    </row>
    <row r="525" spans="1:9" x14ac:dyDescent="0.35">
      <c r="A525" s="22" t="s">
        <v>1001</v>
      </c>
      <c r="B525" s="22" t="s">
        <v>2567</v>
      </c>
      <c r="C525" s="22"/>
      <c r="D525" s="22" t="s">
        <v>24</v>
      </c>
      <c r="E525" s="23">
        <v>3</v>
      </c>
      <c r="F525" s="23">
        <v>-171.95</v>
      </c>
      <c r="G525" s="23">
        <v>805.89</v>
      </c>
      <c r="H525" s="22" t="s">
        <v>1002</v>
      </c>
      <c r="I525" s="22" t="s">
        <v>2298</v>
      </c>
    </row>
    <row r="526" spans="1:9" x14ac:dyDescent="0.35">
      <c r="A526" s="22" t="s">
        <v>1003</v>
      </c>
      <c r="B526" s="22" t="s">
        <v>2503</v>
      </c>
      <c r="C526" s="22" t="s">
        <v>2342</v>
      </c>
      <c r="D526" s="22" t="s">
        <v>12</v>
      </c>
      <c r="E526" s="23">
        <v>5</v>
      </c>
      <c r="F526" s="23">
        <v>263.64</v>
      </c>
      <c r="G526" s="23">
        <v>1318.2</v>
      </c>
      <c r="H526" s="22" t="s">
        <v>1004</v>
      </c>
      <c r="I526" s="22"/>
    </row>
    <row r="527" spans="1:9" x14ac:dyDescent="0.35">
      <c r="A527" s="22" t="s">
        <v>1005</v>
      </c>
      <c r="B527" s="22" t="s">
        <v>2436</v>
      </c>
      <c r="C527" s="22" t="s">
        <v>2346</v>
      </c>
      <c r="D527" s="22" t="s">
        <v>2343</v>
      </c>
      <c r="E527" s="23">
        <v>11</v>
      </c>
      <c r="F527" s="23">
        <v>293.16000000000003</v>
      </c>
      <c r="G527" s="23">
        <v>3224.76</v>
      </c>
      <c r="H527" s="22" t="s">
        <v>1006</v>
      </c>
      <c r="I527" s="22" t="s">
        <v>2344</v>
      </c>
    </row>
    <row r="528" spans="1:9" x14ac:dyDescent="0.35">
      <c r="A528" s="22" t="s">
        <v>1007</v>
      </c>
      <c r="B528" s="22" t="s">
        <v>2755</v>
      </c>
      <c r="C528" s="22" t="s">
        <v>11</v>
      </c>
      <c r="D528" s="22" t="s">
        <v>12</v>
      </c>
      <c r="E528" s="23">
        <v>7</v>
      </c>
      <c r="F528" s="23">
        <v>377.16</v>
      </c>
      <c r="G528" s="23">
        <v>2640.12</v>
      </c>
      <c r="H528" s="22" t="s">
        <v>1008</v>
      </c>
      <c r="I528" s="22" t="s">
        <v>50</v>
      </c>
    </row>
    <row r="529" spans="1:9" x14ac:dyDescent="0.35">
      <c r="A529" s="22" t="s">
        <v>1009</v>
      </c>
      <c r="B529" s="22" t="s">
        <v>2375</v>
      </c>
      <c r="C529" s="22" t="s">
        <v>2358</v>
      </c>
      <c r="D529" s="22" t="s">
        <v>24</v>
      </c>
      <c r="E529" s="23">
        <v>9999</v>
      </c>
      <c r="F529" s="23">
        <v>482.7</v>
      </c>
      <c r="G529" s="23">
        <v>3378.9</v>
      </c>
      <c r="H529" s="22" t="s">
        <v>1010</v>
      </c>
      <c r="I529" s="22" t="s">
        <v>2344</v>
      </c>
    </row>
    <row r="530" spans="1:9" x14ac:dyDescent="0.35">
      <c r="A530" s="22" t="s">
        <v>1011</v>
      </c>
      <c r="B530" s="22" t="s">
        <v>2756</v>
      </c>
      <c r="C530" s="22" t="s">
        <v>23</v>
      </c>
      <c r="D530" s="22" t="s">
        <v>32</v>
      </c>
      <c r="E530" s="23">
        <v>4</v>
      </c>
      <c r="F530" s="23">
        <v>46.05</v>
      </c>
      <c r="G530" s="23">
        <v>184.2</v>
      </c>
      <c r="H530" s="22" t="s">
        <v>1012</v>
      </c>
      <c r="I530" s="22" t="s">
        <v>2340</v>
      </c>
    </row>
    <row r="531" spans="1:9" x14ac:dyDescent="0.35">
      <c r="A531" s="22" t="s">
        <v>1013</v>
      </c>
      <c r="B531" s="22" t="s">
        <v>2757</v>
      </c>
      <c r="C531" s="22" t="s">
        <v>2346</v>
      </c>
      <c r="D531" s="22" t="s">
        <v>24</v>
      </c>
      <c r="E531" s="23">
        <v>1</v>
      </c>
      <c r="F531" s="23">
        <v>36.18</v>
      </c>
      <c r="G531" s="23">
        <v>36.18</v>
      </c>
      <c r="H531" s="22" t="s">
        <v>1014</v>
      </c>
      <c r="I531" s="22" t="s">
        <v>2344</v>
      </c>
    </row>
    <row r="532" spans="1:9" x14ac:dyDescent="0.35">
      <c r="A532" s="22" t="s">
        <v>1015</v>
      </c>
      <c r="B532" s="22" t="s">
        <v>2758</v>
      </c>
      <c r="C532" s="22" t="s">
        <v>2349</v>
      </c>
      <c r="D532" s="22" t="s">
        <v>2347</v>
      </c>
      <c r="E532" s="23">
        <v>4</v>
      </c>
      <c r="F532" s="23">
        <v>469.4</v>
      </c>
      <c r="G532" s="23"/>
      <c r="H532" s="22" t="s">
        <v>1016</v>
      </c>
      <c r="I532" s="22" t="s">
        <v>2298</v>
      </c>
    </row>
    <row r="533" spans="1:9" x14ac:dyDescent="0.35">
      <c r="A533" s="22" t="s">
        <v>1017</v>
      </c>
      <c r="B533" s="22" t="s">
        <v>2759</v>
      </c>
      <c r="C533" s="22" t="s">
        <v>19</v>
      </c>
      <c r="D533" s="22" t="s">
        <v>32</v>
      </c>
      <c r="E533" s="23">
        <v>5</v>
      </c>
      <c r="F533" s="23">
        <v>269.64</v>
      </c>
      <c r="G533" s="23">
        <v>1348.2</v>
      </c>
      <c r="H533" s="22" t="s">
        <v>1018</v>
      </c>
      <c r="I533" s="22" t="s">
        <v>2344</v>
      </c>
    </row>
    <row r="534" spans="1:9" x14ac:dyDescent="0.35">
      <c r="A534" s="22" t="s">
        <v>1019</v>
      </c>
      <c r="B534" s="22" t="s">
        <v>2760</v>
      </c>
      <c r="C534" s="22"/>
      <c r="D534" s="22" t="s">
        <v>2347</v>
      </c>
      <c r="E534" s="23">
        <v>4</v>
      </c>
      <c r="F534" s="23">
        <v>311.3</v>
      </c>
      <c r="G534" s="23">
        <v>1245.2</v>
      </c>
      <c r="H534" s="22" t="s">
        <v>1020</v>
      </c>
      <c r="I534" s="22"/>
    </row>
    <row r="535" spans="1:9" x14ac:dyDescent="0.35">
      <c r="A535" s="22" t="s">
        <v>1021</v>
      </c>
      <c r="B535" s="22" t="s">
        <v>2640</v>
      </c>
      <c r="C535" s="22" t="s">
        <v>16</v>
      </c>
      <c r="D535" s="22" t="s">
        <v>46</v>
      </c>
      <c r="E535" s="23">
        <v>4</v>
      </c>
      <c r="F535" s="23">
        <v>246.39</v>
      </c>
      <c r="G535" s="23">
        <v>985.56</v>
      </c>
      <c r="H535" s="22" t="s">
        <v>1022</v>
      </c>
      <c r="I535" s="22" t="s">
        <v>2378</v>
      </c>
    </row>
    <row r="536" spans="1:9" x14ac:dyDescent="0.35">
      <c r="A536" s="22" t="s">
        <v>1023</v>
      </c>
      <c r="B536" s="22" t="s">
        <v>2761</v>
      </c>
      <c r="C536" s="22" t="s">
        <v>16</v>
      </c>
      <c r="D536" s="22" t="s">
        <v>2347</v>
      </c>
      <c r="E536" s="23">
        <v>7</v>
      </c>
      <c r="F536" s="23">
        <v>55.89</v>
      </c>
      <c r="G536" s="23">
        <v>391.23</v>
      </c>
      <c r="H536" s="22" t="s">
        <v>1024</v>
      </c>
      <c r="I536" s="22" t="s">
        <v>2298</v>
      </c>
    </row>
    <row r="537" spans="1:9" x14ac:dyDescent="0.35">
      <c r="A537" s="22" t="s">
        <v>1025</v>
      </c>
      <c r="B537" s="22" t="s">
        <v>2762</v>
      </c>
      <c r="C537" s="22" t="s">
        <v>2349</v>
      </c>
      <c r="D537" s="22" t="s">
        <v>2347</v>
      </c>
      <c r="E537" s="23">
        <v>6</v>
      </c>
      <c r="F537" s="23">
        <v>386.36</v>
      </c>
      <c r="G537" s="23">
        <v>2760.47</v>
      </c>
      <c r="H537" s="22" t="s">
        <v>1026</v>
      </c>
      <c r="I537" s="22" t="s">
        <v>26</v>
      </c>
    </row>
    <row r="538" spans="1:9" x14ac:dyDescent="0.35">
      <c r="A538" s="22" t="s">
        <v>1027</v>
      </c>
      <c r="B538" s="22" t="s">
        <v>2763</v>
      </c>
      <c r="C538" s="22" t="s">
        <v>19</v>
      </c>
      <c r="D538" s="22" t="s">
        <v>46</v>
      </c>
      <c r="E538" s="23">
        <v>9999</v>
      </c>
      <c r="F538" s="23">
        <v>376.14</v>
      </c>
      <c r="G538" s="23">
        <v>3009.12</v>
      </c>
      <c r="H538" s="22" t="s">
        <v>1028</v>
      </c>
      <c r="I538" s="22" t="s">
        <v>14</v>
      </c>
    </row>
    <row r="539" spans="1:9" x14ac:dyDescent="0.35">
      <c r="A539" s="22" t="s">
        <v>1029</v>
      </c>
      <c r="B539" s="22" t="s">
        <v>2764</v>
      </c>
      <c r="C539" s="22" t="s">
        <v>2358</v>
      </c>
      <c r="D539" s="22" t="s">
        <v>2343</v>
      </c>
      <c r="E539" s="23">
        <v>4</v>
      </c>
      <c r="F539" s="23">
        <v>162.72999999999999</v>
      </c>
      <c r="G539" s="23">
        <v>650.91999999999996</v>
      </c>
      <c r="H539" s="22" t="s">
        <v>1030</v>
      </c>
      <c r="I539" s="22" t="s">
        <v>2378</v>
      </c>
    </row>
    <row r="540" spans="1:9" x14ac:dyDescent="0.35">
      <c r="A540" s="22" t="s">
        <v>1031</v>
      </c>
      <c r="B540" s="22" t="s">
        <v>2765</v>
      </c>
      <c r="C540" s="22" t="s">
        <v>2358</v>
      </c>
      <c r="D540" s="22" t="s">
        <v>46</v>
      </c>
      <c r="E540" s="23"/>
      <c r="F540" s="23">
        <v>160.06</v>
      </c>
      <c r="G540" s="23">
        <v>480.18</v>
      </c>
      <c r="H540" s="22" t="s">
        <v>1032</v>
      </c>
      <c r="I540" s="22" t="s">
        <v>26</v>
      </c>
    </row>
    <row r="541" spans="1:9" x14ac:dyDescent="0.35">
      <c r="A541" s="22" t="s">
        <v>1033</v>
      </c>
      <c r="B541" s="22" t="s">
        <v>2766</v>
      </c>
      <c r="C541" s="22" t="s">
        <v>2349</v>
      </c>
      <c r="D541" s="22" t="s">
        <v>46</v>
      </c>
      <c r="E541" s="23">
        <v>0</v>
      </c>
      <c r="F541" s="23">
        <v>420.54</v>
      </c>
      <c r="G541" s="23">
        <v>0</v>
      </c>
      <c r="H541" s="22" t="s">
        <v>1034</v>
      </c>
      <c r="I541" s="22" t="s">
        <v>2378</v>
      </c>
    </row>
    <row r="542" spans="1:9" x14ac:dyDescent="0.35">
      <c r="A542" s="22" t="s">
        <v>62</v>
      </c>
      <c r="B542" s="22" t="s">
        <v>2767</v>
      </c>
      <c r="C542" s="22" t="s">
        <v>2342</v>
      </c>
      <c r="D542" s="22" t="s">
        <v>46</v>
      </c>
      <c r="E542" s="23">
        <v>4</v>
      </c>
      <c r="F542" s="23">
        <v>45.46</v>
      </c>
      <c r="G542" s="23">
        <v>181.84</v>
      </c>
      <c r="H542" s="22" t="s">
        <v>49</v>
      </c>
      <c r="I542" s="22"/>
    </row>
    <row r="543" spans="1:9" x14ac:dyDescent="0.35">
      <c r="A543" s="22" t="s">
        <v>1035</v>
      </c>
      <c r="B543" s="22" t="s">
        <v>2768</v>
      </c>
      <c r="C543" s="22" t="s">
        <v>2358</v>
      </c>
      <c r="D543" s="22" t="s">
        <v>2350</v>
      </c>
      <c r="E543" s="23">
        <v>1</v>
      </c>
      <c r="F543" s="23"/>
      <c r="G543" s="23">
        <v>441.74</v>
      </c>
      <c r="H543" s="22" t="s">
        <v>1036</v>
      </c>
      <c r="I543" s="22" t="s">
        <v>2378</v>
      </c>
    </row>
    <row r="544" spans="1:9" x14ac:dyDescent="0.35">
      <c r="A544" s="22" t="s">
        <v>1037</v>
      </c>
      <c r="B544" s="22" t="s">
        <v>2769</v>
      </c>
      <c r="C544" s="22" t="s">
        <v>23</v>
      </c>
      <c r="D544" s="22" t="s">
        <v>2343</v>
      </c>
      <c r="E544" s="23">
        <v>4</v>
      </c>
      <c r="F544" s="23">
        <v>135.76</v>
      </c>
      <c r="G544" s="23">
        <v>543.04</v>
      </c>
      <c r="H544" s="22" t="s">
        <v>1038</v>
      </c>
      <c r="I544" s="22" t="s">
        <v>2356</v>
      </c>
    </row>
    <row r="545" spans="1:9" x14ac:dyDescent="0.35">
      <c r="A545" s="22" t="s">
        <v>1039</v>
      </c>
      <c r="B545" s="22" t="s">
        <v>2770</v>
      </c>
      <c r="C545" s="22" t="s">
        <v>11</v>
      </c>
      <c r="D545" s="22" t="s">
        <v>2347</v>
      </c>
      <c r="E545" s="23">
        <v>3</v>
      </c>
      <c r="F545" s="23">
        <v>300.56</v>
      </c>
      <c r="G545" s="23">
        <v>901.68</v>
      </c>
      <c r="H545" s="22" t="s">
        <v>1040</v>
      </c>
      <c r="I545" s="22" t="s">
        <v>2356</v>
      </c>
    </row>
    <row r="546" spans="1:9" x14ac:dyDescent="0.35">
      <c r="A546" s="22" t="s">
        <v>1041</v>
      </c>
      <c r="B546" s="22" t="s">
        <v>2771</v>
      </c>
      <c r="C546" s="22" t="s">
        <v>23</v>
      </c>
      <c r="D546" s="22" t="s">
        <v>12</v>
      </c>
      <c r="E546" s="23">
        <v>5</v>
      </c>
      <c r="F546" s="23">
        <v>468.64</v>
      </c>
      <c r="G546" s="23">
        <v>2343.1999999999998</v>
      </c>
      <c r="H546" s="22" t="s">
        <v>1042</v>
      </c>
      <c r="I546" s="22" t="s">
        <v>50</v>
      </c>
    </row>
    <row r="547" spans="1:9" x14ac:dyDescent="0.35">
      <c r="A547" s="22" t="s">
        <v>1043</v>
      </c>
      <c r="B547" s="22" t="s">
        <v>2397</v>
      </c>
      <c r="C547" s="22" t="s">
        <v>2282</v>
      </c>
      <c r="D547" s="22" t="s">
        <v>2364</v>
      </c>
      <c r="E547" s="23">
        <v>6</v>
      </c>
      <c r="F547" s="23">
        <v>342.28</v>
      </c>
      <c r="G547" s="23">
        <v>2053.6799999999998</v>
      </c>
      <c r="H547" s="22" t="s">
        <v>1044</v>
      </c>
      <c r="I547" s="22" t="s">
        <v>2344</v>
      </c>
    </row>
    <row r="548" spans="1:9" x14ac:dyDescent="0.35">
      <c r="A548" s="22" t="s">
        <v>1045</v>
      </c>
      <c r="B548" s="22" t="s">
        <v>2772</v>
      </c>
      <c r="C548" s="22" t="s">
        <v>16</v>
      </c>
      <c r="D548" s="22" t="s">
        <v>2343</v>
      </c>
      <c r="E548" s="23">
        <v>6</v>
      </c>
      <c r="F548" s="23">
        <v>213.07</v>
      </c>
      <c r="G548" s="23">
        <v>1278.42</v>
      </c>
      <c r="H548" s="22" t="s">
        <v>1046</v>
      </c>
      <c r="I548" s="22" t="s">
        <v>26</v>
      </c>
    </row>
    <row r="549" spans="1:9" x14ac:dyDescent="0.35">
      <c r="A549" s="22" t="s">
        <v>43</v>
      </c>
      <c r="B549" s="22" t="s">
        <v>2773</v>
      </c>
      <c r="C549" s="22" t="s">
        <v>19</v>
      </c>
      <c r="D549" s="22" t="s">
        <v>2347</v>
      </c>
      <c r="E549" s="23">
        <v>4</v>
      </c>
      <c r="F549" s="23">
        <v>347.87</v>
      </c>
      <c r="G549" s="23">
        <v>1391.48</v>
      </c>
      <c r="H549" s="22" t="s">
        <v>2774</v>
      </c>
      <c r="I549" s="22" t="s">
        <v>14</v>
      </c>
    </row>
    <row r="550" spans="1:9" x14ac:dyDescent="0.35">
      <c r="A550" s="22" t="s">
        <v>1047</v>
      </c>
      <c r="B550" s="22" t="s">
        <v>2775</v>
      </c>
      <c r="C550" s="22" t="s">
        <v>11</v>
      </c>
      <c r="D550" s="22" t="s">
        <v>2350</v>
      </c>
      <c r="E550" s="23">
        <v>4</v>
      </c>
      <c r="F550" s="23"/>
      <c r="G550" s="23">
        <v>714.2</v>
      </c>
      <c r="H550" s="22" t="s">
        <v>1048</v>
      </c>
      <c r="I550" s="22" t="s">
        <v>2340</v>
      </c>
    </row>
    <row r="551" spans="1:9" x14ac:dyDescent="0.35">
      <c r="A551" s="22" t="s">
        <v>1049</v>
      </c>
      <c r="B551" s="22"/>
      <c r="C551" s="22" t="s">
        <v>19</v>
      </c>
      <c r="D551" s="22" t="s">
        <v>2350</v>
      </c>
      <c r="E551" s="23">
        <v>5</v>
      </c>
      <c r="F551" s="23">
        <v>145.86000000000001</v>
      </c>
      <c r="G551" s="23">
        <v>729.3</v>
      </c>
      <c r="H551" s="22" t="s">
        <v>1050</v>
      </c>
      <c r="I551" s="22" t="s">
        <v>26</v>
      </c>
    </row>
    <row r="552" spans="1:9" x14ac:dyDescent="0.35">
      <c r="A552" s="22" t="s">
        <v>1051</v>
      </c>
      <c r="B552" s="22" t="s">
        <v>2400</v>
      </c>
      <c r="C552" s="22" t="s">
        <v>2346</v>
      </c>
      <c r="D552" s="22" t="s">
        <v>2343</v>
      </c>
      <c r="E552" s="23">
        <v>1</v>
      </c>
      <c r="F552" s="23">
        <v>498.37</v>
      </c>
      <c r="G552" s="23">
        <v>498.37</v>
      </c>
      <c r="H552" s="22" t="s">
        <v>1052</v>
      </c>
      <c r="I552" s="22"/>
    </row>
    <row r="553" spans="1:9" x14ac:dyDescent="0.35">
      <c r="A553" s="22" t="s">
        <v>1053</v>
      </c>
      <c r="B553" s="22" t="s">
        <v>2776</v>
      </c>
      <c r="C553" s="22" t="s">
        <v>2346</v>
      </c>
      <c r="D553" s="22" t="s">
        <v>12</v>
      </c>
      <c r="E553" s="23">
        <v>9</v>
      </c>
      <c r="F553" s="23">
        <v>377.89</v>
      </c>
      <c r="G553" s="23">
        <v>3401.01</v>
      </c>
      <c r="H553" s="22" t="s">
        <v>1054</v>
      </c>
      <c r="I553" s="22" t="s">
        <v>26</v>
      </c>
    </row>
    <row r="554" spans="1:9" x14ac:dyDescent="0.35">
      <c r="A554" s="22" t="s">
        <v>1055</v>
      </c>
      <c r="B554" s="22" t="s">
        <v>2777</v>
      </c>
      <c r="C554" s="22" t="s">
        <v>11</v>
      </c>
      <c r="D554" s="22" t="s">
        <v>2350</v>
      </c>
      <c r="E554" s="23">
        <v>7</v>
      </c>
      <c r="F554" s="23">
        <v>325.91000000000003</v>
      </c>
      <c r="G554" s="23">
        <v>2281.37</v>
      </c>
      <c r="H554" s="22" t="s">
        <v>49</v>
      </c>
      <c r="I554" s="22" t="s">
        <v>2298</v>
      </c>
    </row>
    <row r="555" spans="1:9" x14ac:dyDescent="0.35">
      <c r="A555" s="22" t="s">
        <v>1056</v>
      </c>
      <c r="B555" s="22" t="s">
        <v>2778</v>
      </c>
      <c r="C555" s="22" t="s">
        <v>2342</v>
      </c>
      <c r="D555" s="22" t="s">
        <v>2364</v>
      </c>
      <c r="E555" s="23">
        <v>5</v>
      </c>
      <c r="F555" s="23">
        <v>184.09</v>
      </c>
      <c r="G555" s="23">
        <v>920.45</v>
      </c>
      <c r="H555" s="22" t="s">
        <v>1057</v>
      </c>
      <c r="I555" s="22" t="s">
        <v>2340</v>
      </c>
    </row>
    <row r="556" spans="1:9" x14ac:dyDescent="0.35">
      <c r="A556" s="22" t="s">
        <v>1058</v>
      </c>
      <c r="B556" s="22" t="s">
        <v>2511</v>
      </c>
      <c r="C556" s="22" t="s">
        <v>2358</v>
      </c>
      <c r="D556" s="22" t="s">
        <v>12</v>
      </c>
      <c r="E556" s="23">
        <v>4</v>
      </c>
      <c r="F556" s="23">
        <v>34.090000000000003</v>
      </c>
      <c r="G556" s="23">
        <v>136.36000000000001</v>
      </c>
      <c r="H556" s="22" t="s">
        <v>1059</v>
      </c>
      <c r="I556" s="22" t="s">
        <v>14</v>
      </c>
    </row>
    <row r="557" spans="1:9" x14ac:dyDescent="0.35">
      <c r="A557" s="22" t="s">
        <v>1060</v>
      </c>
      <c r="B557" s="22" t="s">
        <v>2779</v>
      </c>
      <c r="C557" s="22" t="s">
        <v>2358</v>
      </c>
      <c r="D557" s="22" t="s">
        <v>12</v>
      </c>
      <c r="E557" s="23">
        <v>5</v>
      </c>
      <c r="F557" s="23">
        <v>25.22</v>
      </c>
      <c r="G557" s="23">
        <v>335</v>
      </c>
      <c r="H557" s="22" t="s">
        <v>49</v>
      </c>
      <c r="I557" s="22" t="s">
        <v>2378</v>
      </c>
    </row>
    <row r="558" spans="1:9" x14ac:dyDescent="0.35">
      <c r="A558" s="22" t="s">
        <v>1061</v>
      </c>
      <c r="B558" s="22" t="s">
        <v>2780</v>
      </c>
      <c r="C558" s="22"/>
      <c r="D558" s="22" t="s">
        <v>12</v>
      </c>
      <c r="E558" s="23">
        <v>4</v>
      </c>
      <c r="F558" s="23">
        <v>281.55</v>
      </c>
      <c r="G558" s="23">
        <v>1126.2</v>
      </c>
      <c r="H558" s="22" t="s">
        <v>1062</v>
      </c>
      <c r="I558" s="22" t="s">
        <v>2344</v>
      </c>
    </row>
    <row r="559" spans="1:9" x14ac:dyDescent="0.35">
      <c r="A559" s="22" t="s">
        <v>86</v>
      </c>
      <c r="B559" s="22" t="s">
        <v>2781</v>
      </c>
      <c r="C559" s="22" t="s">
        <v>2358</v>
      </c>
      <c r="D559" s="22" t="s">
        <v>12</v>
      </c>
      <c r="E559" s="23">
        <v>-2</v>
      </c>
      <c r="F559" s="23">
        <v>383.4</v>
      </c>
      <c r="G559" s="23">
        <v>383.4</v>
      </c>
      <c r="H559" s="22"/>
      <c r="I559" s="22" t="s">
        <v>2344</v>
      </c>
    </row>
    <row r="560" spans="1:9" x14ac:dyDescent="0.35">
      <c r="A560" s="22" t="s">
        <v>1063</v>
      </c>
      <c r="B560" s="22" t="s">
        <v>2782</v>
      </c>
      <c r="C560" s="22" t="s">
        <v>2342</v>
      </c>
      <c r="D560" s="22" t="s">
        <v>2343</v>
      </c>
      <c r="E560" s="23">
        <v>3</v>
      </c>
      <c r="F560" s="23">
        <v>273.32</v>
      </c>
      <c r="G560" s="23"/>
      <c r="H560" s="22" t="s">
        <v>1064</v>
      </c>
      <c r="I560" s="22" t="s">
        <v>2356</v>
      </c>
    </row>
    <row r="561" spans="1:9" x14ac:dyDescent="0.35">
      <c r="A561" s="22" t="s">
        <v>1065</v>
      </c>
      <c r="B561" s="22"/>
      <c r="C561" s="22" t="s">
        <v>2358</v>
      </c>
      <c r="D561" s="22" t="s">
        <v>2343</v>
      </c>
      <c r="E561" s="23">
        <v>7</v>
      </c>
      <c r="F561" s="23">
        <v>421.98</v>
      </c>
      <c r="G561" s="23">
        <v>2953.86</v>
      </c>
      <c r="H561" s="22" t="s">
        <v>1066</v>
      </c>
      <c r="I561" s="22" t="s">
        <v>2344</v>
      </c>
    </row>
    <row r="562" spans="1:9" x14ac:dyDescent="0.35">
      <c r="A562" s="22" t="s">
        <v>1067</v>
      </c>
      <c r="B562" s="22" t="s">
        <v>2783</v>
      </c>
      <c r="C562" s="22" t="s">
        <v>2358</v>
      </c>
      <c r="D562" s="22" t="s">
        <v>12</v>
      </c>
      <c r="E562" s="23">
        <v>6</v>
      </c>
      <c r="F562" s="23">
        <v>26.38</v>
      </c>
      <c r="G562" s="23">
        <v>158.28</v>
      </c>
      <c r="H562" s="22" t="s">
        <v>1068</v>
      </c>
      <c r="I562" s="22" t="s">
        <v>2298</v>
      </c>
    </row>
    <row r="563" spans="1:9" x14ac:dyDescent="0.35">
      <c r="A563" s="22" t="s">
        <v>1069</v>
      </c>
      <c r="B563" s="22" t="s">
        <v>2784</v>
      </c>
      <c r="C563" s="22" t="s">
        <v>23</v>
      </c>
      <c r="D563" s="22" t="s">
        <v>46</v>
      </c>
      <c r="E563" s="23">
        <v>10</v>
      </c>
      <c r="F563" s="23">
        <v>189.71</v>
      </c>
      <c r="G563" s="23">
        <v>1897.1</v>
      </c>
      <c r="H563" s="22" t="s">
        <v>1070</v>
      </c>
      <c r="I563" s="22" t="s">
        <v>2378</v>
      </c>
    </row>
    <row r="564" spans="1:9" x14ac:dyDescent="0.35">
      <c r="A564" s="22" t="s">
        <v>1071</v>
      </c>
      <c r="B564" s="22" t="s">
        <v>2785</v>
      </c>
      <c r="C564" s="22" t="s">
        <v>2342</v>
      </c>
      <c r="D564" s="22" t="s">
        <v>46</v>
      </c>
      <c r="E564" s="23">
        <v>4</v>
      </c>
      <c r="F564" s="23">
        <v>126.16</v>
      </c>
      <c r="G564" s="23">
        <v>504.64</v>
      </c>
      <c r="H564" s="22" t="s">
        <v>49</v>
      </c>
      <c r="I564" s="22" t="s">
        <v>2344</v>
      </c>
    </row>
    <row r="565" spans="1:9" x14ac:dyDescent="0.35">
      <c r="A565" s="22" t="s">
        <v>1072</v>
      </c>
      <c r="B565" s="22" t="s">
        <v>2674</v>
      </c>
      <c r="C565" s="22" t="s">
        <v>2358</v>
      </c>
      <c r="D565" s="22" t="s">
        <v>2343</v>
      </c>
      <c r="E565" s="23">
        <v>5</v>
      </c>
      <c r="F565" s="23">
        <v>229.16</v>
      </c>
      <c r="G565" s="23">
        <v>1145.8</v>
      </c>
      <c r="H565" s="22" t="s">
        <v>1073</v>
      </c>
      <c r="I565" s="22" t="s">
        <v>2378</v>
      </c>
    </row>
    <row r="566" spans="1:9" x14ac:dyDescent="0.35">
      <c r="A566" s="22" t="s">
        <v>1074</v>
      </c>
      <c r="B566" s="22"/>
      <c r="C566" s="22" t="s">
        <v>16</v>
      </c>
      <c r="D566" s="22" t="s">
        <v>32</v>
      </c>
      <c r="E566" s="23">
        <v>6</v>
      </c>
      <c r="F566" s="23">
        <v>-115.65</v>
      </c>
      <c r="G566" s="23">
        <v>272.76</v>
      </c>
      <c r="H566" s="22" t="s">
        <v>1075</v>
      </c>
      <c r="I566" s="22" t="s">
        <v>2378</v>
      </c>
    </row>
    <row r="567" spans="1:9" x14ac:dyDescent="0.35">
      <c r="A567" s="22" t="s">
        <v>1076</v>
      </c>
      <c r="B567" s="22" t="s">
        <v>2786</v>
      </c>
      <c r="C567" s="22" t="s">
        <v>2342</v>
      </c>
      <c r="D567" s="22" t="s">
        <v>12</v>
      </c>
      <c r="E567" s="23">
        <v>6</v>
      </c>
      <c r="F567" s="23">
        <v>477.52</v>
      </c>
      <c r="G567" s="23">
        <v>2865.12</v>
      </c>
      <c r="H567" s="22" t="s">
        <v>49</v>
      </c>
      <c r="I567" s="22" t="s">
        <v>2298</v>
      </c>
    </row>
    <row r="568" spans="1:9" x14ac:dyDescent="0.35">
      <c r="A568" s="22" t="s">
        <v>1077</v>
      </c>
      <c r="B568" s="22" t="s">
        <v>2741</v>
      </c>
      <c r="C568" s="22" t="s">
        <v>2346</v>
      </c>
      <c r="D568" s="22" t="s">
        <v>2364</v>
      </c>
      <c r="E568" s="23">
        <v>8</v>
      </c>
      <c r="F568" s="23">
        <v>119.4</v>
      </c>
      <c r="G568" s="23">
        <v>955.2</v>
      </c>
      <c r="H568" s="22" t="s">
        <v>1078</v>
      </c>
      <c r="I568" s="22" t="s">
        <v>2298</v>
      </c>
    </row>
    <row r="569" spans="1:9" x14ac:dyDescent="0.35">
      <c r="A569" s="22" t="s">
        <v>1079</v>
      </c>
      <c r="B569" s="22" t="s">
        <v>2787</v>
      </c>
      <c r="C569" s="22" t="s">
        <v>2346</v>
      </c>
      <c r="D569" s="22" t="s">
        <v>2364</v>
      </c>
      <c r="E569" s="23">
        <v>4</v>
      </c>
      <c r="F569" s="23">
        <v>461.93</v>
      </c>
      <c r="G569" s="23">
        <v>2040.2</v>
      </c>
      <c r="H569" s="22" t="s">
        <v>1080</v>
      </c>
      <c r="I569" s="22" t="s">
        <v>50</v>
      </c>
    </row>
    <row r="570" spans="1:9" x14ac:dyDescent="0.35">
      <c r="A570" s="22" t="s">
        <v>1081</v>
      </c>
      <c r="B570" s="22" t="s">
        <v>2593</v>
      </c>
      <c r="C570" s="22" t="s">
        <v>16</v>
      </c>
      <c r="D570" s="22" t="s">
        <v>2343</v>
      </c>
      <c r="E570" s="23">
        <v>3</v>
      </c>
      <c r="F570" s="23">
        <v>218.69</v>
      </c>
      <c r="G570" s="23">
        <v>656.07</v>
      </c>
      <c r="H570" s="22" t="s">
        <v>1082</v>
      </c>
      <c r="I570" s="22" t="s">
        <v>2340</v>
      </c>
    </row>
    <row r="571" spans="1:9" x14ac:dyDescent="0.35">
      <c r="A571" s="22" t="s">
        <v>1083</v>
      </c>
      <c r="B571" s="22" t="s">
        <v>2788</v>
      </c>
      <c r="C571" s="22" t="s">
        <v>19</v>
      </c>
      <c r="D571" s="22" t="s">
        <v>24</v>
      </c>
      <c r="E571" s="23">
        <v>3</v>
      </c>
      <c r="F571" s="23">
        <v>492.91</v>
      </c>
      <c r="G571" s="23">
        <v>1478.73</v>
      </c>
      <c r="H571" s="22" t="s">
        <v>1084</v>
      </c>
      <c r="I571" s="22" t="s">
        <v>2298</v>
      </c>
    </row>
    <row r="572" spans="1:9" x14ac:dyDescent="0.35">
      <c r="A572" s="22" t="s">
        <v>1085</v>
      </c>
      <c r="B572" s="22" t="s">
        <v>2789</v>
      </c>
      <c r="C572" s="22" t="s">
        <v>19</v>
      </c>
      <c r="D572" s="22" t="s">
        <v>24</v>
      </c>
      <c r="E572" s="23">
        <v>9</v>
      </c>
      <c r="F572" s="23">
        <v>281.49</v>
      </c>
      <c r="G572" s="23">
        <v>2533.41</v>
      </c>
      <c r="H572" s="22" t="s">
        <v>1086</v>
      </c>
      <c r="I572" s="22" t="s">
        <v>26</v>
      </c>
    </row>
    <row r="573" spans="1:9" x14ac:dyDescent="0.35">
      <c r="A573" s="22" t="s">
        <v>1087</v>
      </c>
      <c r="B573" s="22" t="s">
        <v>2790</v>
      </c>
      <c r="C573" s="22" t="s">
        <v>16</v>
      </c>
      <c r="D573" s="22" t="s">
        <v>32</v>
      </c>
      <c r="E573" s="23">
        <v>7</v>
      </c>
      <c r="F573" s="23">
        <v>466.11</v>
      </c>
      <c r="G573" s="23">
        <v>3262.77</v>
      </c>
      <c r="H573" s="22" t="s">
        <v>1088</v>
      </c>
      <c r="I573" s="22" t="s">
        <v>2344</v>
      </c>
    </row>
    <row r="574" spans="1:9" x14ac:dyDescent="0.35">
      <c r="A574" s="22" t="s">
        <v>1089</v>
      </c>
      <c r="B574" s="22" t="s">
        <v>2791</v>
      </c>
      <c r="C574" s="22" t="s">
        <v>2342</v>
      </c>
      <c r="D574" s="22" t="s">
        <v>24</v>
      </c>
      <c r="E574" s="23">
        <v>9999</v>
      </c>
      <c r="F574" s="23">
        <v>12.62</v>
      </c>
      <c r="G574" s="23">
        <v>217.86</v>
      </c>
      <c r="H574" s="22" t="s">
        <v>1090</v>
      </c>
      <c r="I574" s="22" t="s">
        <v>2378</v>
      </c>
    </row>
    <row r="575" spans="1:9" x14ac:dyDescent="0.35">
      <c r="A575" s="22" t="s">
        <v>1091</v>
      </c>
      <c r="B575" s="22" t="s">
        <v>2792</v>
      </c>
      <c r="C575" s="22"/>
      <c r="D575" s="22" t="s">
        <v>2350</v>
      </c>
      <c r="E575" s="23">
        <v>2</v>
      </c>
      <c r="F575" s="23">
        <v>376.64</v>
      </c>
      <c r="G575" s="23">
        <v>753.28</v>
      </c>
      <c r="H575" s="22" t="s">
        <v>1092</v>
      </c>
      <c r="I575" s="22" t="s">
        <v>2340</v>
      </c>
    </row>
    <row r="576" spans="1:9" x14ac:dyDescent="0.35">
      <c r="A576" s="22" t="s">
        <v>1093</v>
      </c>
      <c r="B576" s="22" t="s">
        <v>2793</v>
      </c>
      <c r="C576" s="22"/>
      <c r="D576" s="22" t="s">
        <v>32</v>
      </c>
      <c r="E576" s="23">
        <v>4</v>
      </c>
      <c r="F576" s="23">
        <v>-67.11</v>
      </c>
      <c r="G576" s="23">
        <v>1809.96</v>
      </c>
      <c r="H576" s="22" t="s">
        <v>1094</v>
      </c>
      <c r="I576" s="22" t="s">
        <v>2344</v>
      </c>
    </row>
    <row r="577" spans="1:9" x14ac:dyDescent="0.35">
      <c r="A577" s="22" t="s">
        <v>1095</v>
      </c>
      <c r="B577" s="22" t="s">
        <v>2794</v>
      </c>
      <c r="C577" s="22" t="s">
        <v>2282</v>
      </c>
      <c r="D577" s="22" t="s">
        <v>24</v>
      </c>
      <c r="E577" s="23">
        <v>6</v>
      </c>
      <c r="F577" s="23">
        <v>78.459999999999994</v>
      </c>
      <c r="G577" s="23">
        <v>470.76</v>
      </c>
      <c r="H577" s="22" t="s">
        <v>1096</v>
      </c>
      <c r="I577" s="22" t="s">
        <v>2298</v>
      </c>
    </row>
    <row r="578" spans="1:9" x14ac:dyDescent="0.35">
      <c r="A578" s="22" t="s">
        <v>1097</v>
      </c>
      <c r="B578" s="22" t="s">
        <v>2795</v>
      </c>
      <c r="C578" s="22" t="s">
        <v>19</v>
      </c>
      <c r="D578" s="22" t="s">
        <v>32</v>
      </c>
      <c r="E578" s="23">
        <v>9</v>
      </c>
      <c r="F578" s="23">
        <v>57.1</v>
      </c>
      <c r="G578" s="23">
        <v>513.9</v>
      </c>
      <c r="H578" s="22" t="s">
        <v>1098</v>
      </c>
      <c r="I578" s="22" t="s">
        <v>2356</v>
      </c>
    </row>
    <row r="579" spans="1:9" x14ac:dyDescent="0.35">
      <c r="A579" s="22" t="s">
        <v>1099</v>
      </c>
      <c r="B579" s="22" t="s">
        <v>2796</v>
      </c>
      <c r="C579" s="22" t="s">
        <v>19</v>
      </c>
      <c r="D579" s="22" t="s">
        <v>46</v>
      </c>
      <c r="E579" s="23">
        <v>11</v>
      </c>
      <c r="F579" s="23">
        <v>218.04</v>
      </c>
      <c r="G579" s="23">
        <v>2398.44</v>
      </c>
      <c r="H579" s="22" t="s">
        <v>1100</v>
      </c>
      <c r="I579" s="22" t="s">
        <v>2344</v>
      </c>
    </row>
    <row r="580" spans="1:9" x14ac:dyDescent="0.35">
      <c r="A580" s="22" t="s">
        <v>1101</v>
      </c>
      <c r="B580" s="22" t="s">
        <v>2797</v>
      </c>
      <c r="C580" s="22" t="s">
        <v>11</v>
      </c>
      <c r="D580" s="22" t="s">
        <v>46</v>
      </c>
      <c r="E580" s="23">
        <v>4</v>
      </c>
      <c r="F580" s="23">
        <v>467.5</v>
      </c>
      <c r="G580" s="23">
        <v>1870</v>
      </c>
      <c r="H580" s="22" t="s">
        <v>1102</v>
      </c>
      <c r="I580" s="22" t="s">
        <v>26</v>
      </c>
    </row>
    <row r="581" spans="1:9" x14ac:dyDescent="0.35">
      <c r="A581" s="22" t="s">
        <v>1103</v>
      </c>
      <c r="B581" s="22" t="s">
        <v>2798</v>
      </c>
      <c r="C581" s="22" t="s">
        <v>2358</v>
      </c>
      <c r="D581" s="22" t="s">
        <v>12</v>
      </c>
      <c r="E581" s="23">
        <v>7</v>
      </c>
      <c r="F581" s="23">
        <v>275.77</v>
      </c>
      <c r="G581" s="23">
        <v>1930.39</v>
      </c>
      <c r="H581" s="22" t="s">
        <v>1104</v>
      </c>
      <c r="I581" s="22" t="s">
        <v>50</v>
      </c>
    </row>
    <row r="582" spans="1:9" x14ac:dyDescent="0.35">
      <c r="A582" s="22" t="s">
        <v>1105</v>
      </c>
      <c r="B582" s="22"/>
      <c r="C582" s="22" t="s">
        <v>23</v>
      </c>
      <c r="D582" s="22" t="s">
        <v>24</v>
      </c>
      <c r="E582" s="23">
        <v>7</v>
      </c>
      <c r="F582" s="23">
        <v>268.45</v>
      </c>
      <c r="G582" s="23">
        <v>1879.15</v>
      </c>
      <c r="H582" s="22" t="s">
        <v>49</v>
      </c>
      <c r="I582" s="22" t="s">
        <v>14</v>
      </c>
    </row>
    <row r="583" spans="1:9" x14ac:dyDescent="0.35">
      <c r="A583" s="22" t="s">
        <v>1106</v>
      </c>
      <c r="B583" s="22" t="s">
        <v>2799</v>
      </c>
      <c r="C583" s="22" t="s">
        <v>23</v>
      </c>
      <c r="D583" s="22" t="s">
        <v>32</v>
      </c>
      <c r="E583" s="23">
        <v>3</v>
      </c>
      <c r="F583" s="23">
        <v>79.150000000000006</v>
      </c>
      <c r="G583" s="23">
        <v>237.45</v>
      </c>
      <c r="H583" s="22" t="s">
        <v>49</v>
      </c>
      <c r="I583" s="22" t="s">
        <v>2340</v>
      </c>
    </row>
    <row r="584" spans="1:9" x14ac:dyDescent="0.35">
      <c r="A584" s="22" t="s">
        <v>1107</v>
      </c>
      <c r="B584" s="22" t="s">
        <v>2418</v>
      </c>
      <c r="C584" s="22" t="s">
        <v>16</v>
      </c>
      <c r="D584" s="22" t="s">
        <v>2350</v>
      </c>
      <c r="E584" s="23">
        <v>7</v>
      </c>
      <c r="F584" s="23">
        <v>10.39</v>
      </c>
      <c r="G584" s="23">
        <v>72.73</v>
      </c>
      <c r="H584" s="22" t="s">
        <v>1108</v>
      </c>
      <c r="I584" s="22"/>
    </row>
    <row r="585" spans="1:9" x14ac:dyDescent="0.35">
      <c r="A585" s="22" t="s">
        <v>1109</v>
      </c>
      <c r="B585" s="22" t="s">
        <v>2800</v>
      </c>
      <c r="C585" s="22" t="s">
        <v>11</v>
      </c>
      <c r="D585" s="22" t="s">
        <v>2347</v>
      </c>
      <c r="E585" s="23">
        <v>5</v>
      </c>
      <c r="F585" s="23">
        <v>406.97</v>
      </c>
      <c r="G585" s="23">
        <v>2034.85</v>
      </c>
      <c r="H585" s="22" t="s">
        <v>1110</v>
      </c>
      <c r="I585" s="22" t="s">
        <v>26</v>
      </c>
    </row>
    <row r="586" spans="1:9" x14ac:dyDescent="0.35">
      <c r="A586" s="22" t="s">
        <v>1111</v>
      </c>
      <c r="B586" s="22" t="s">
        <v>2801</v>
      </c>
      <c r="C586" s="22" t="s">
        <v>2358</v>
      </c>
      <c r="D586" s="22" t="s">
        <v>24</v>
      </c>
      <c r="E586" s="23">
        <v>2</v>
      </c>
      <c r="F586" s="23">
        <v>52.91</v>
      </c>
      <c r="G586" s="23">
        <v>488.14</v>
      </c>
      <c r="H586" s="22" t="s">
        <v>1112</v>
      </c>
      <c r="I586" s="22"/>
    </row>
    <row r="587" spans="1:9" x14ac:dyDescent="0.35">
      <c r="A587" s="22" t="s">
        <v>1113</v>
      </c>
      <c r="B587" s="22" t="s">
        <v>2802</v>
      </c>
      <c r="C587" s="22" t="s">
        <v>23</v>
      </c>
      <c r="D587" s="22" t="s">
        <v>2364</v>
      </c>
      <c r="E587" s="23">
        <v>9</v>
      </c>
      <c r="F587" s="23">
        <v>320.58999999999997</v>
      </c>
      <c r="G587" s="23">
        <v>2885.31</v>
      </c>
      <c r="H587" s="22" t="s">
        <v>1114</v>
      </c>
      <c r="I587" s="22" t="s">
        <v>2340</v>
      </c>
    </row>
    <row r="588" spans="1:9" x14ac:dyDescent="0.35">
      <c r="A588" s="22" t="s">
        <v>1115</v>
      </c>
      <c r="B588" s="22"/>
      <c r="C588" s="22" t="s">
        <v>19</v>
      </c>
      <c r="D588" s="22" t="s">
        <v>12</v>
      </c>
      <c r="E588" s="23"/>
      <c r="F588" s="23">
        <v>458.16</v>
      </c>
      <c r="G588" s="23">
        <v>2748.96</v>
      </c>
      <c r="H588" s="22" t="s">
        <v>1116</v>
      </c>
      <c r="I588" s="22" t="s">
        <v>2356</v>
      </c>
    </row>
    <row r="589" spans="1:9" x14ac:dyDescent="0.35">
      <c r="A589" s="22" t="s">
        <v>1117</v>
      </c>
      <c r="B589" s="22" t="s">
        <v>2397</v>
      </c>
      <c r="C589" s="22"/>
      <c r="D589" s="22" t="s">
        <v>2350</v>
      </c>
      <c r="E589" s="23">
        <v>3</v>
      </c>
      <c r="F589" s="23">
        <v>112.24</v>
      </c>
      <c r="G589" s="23">
        <v>336.72</v>
      </c>
      <c r="H589" s="22" t="s">
        <v>1118</v>
      </c>
      <c r="I589" s="22" t="s">
        <v>2298</v>
      </c>
    </row>
    <row r="590" spans="1:9" x14ac:dyDescent="0.35">
      <c r="A590" s="22" t="s">
        <v>1119</v>
      </c>
      <c r="B590" s="22" t="s">
        <v>2803</v>
      </c>
      <c r="C590" s="22"/>
      <c r="D590" s="22" t="s">
        <v>2350</v>
      </c>
      <c r="E590" s="23">
        <v>6</v>
      </c>
      <c r="F590" s="23">
        <v>335.98</v>
      </c>
      <c r="G590" s="23">
        <v>2015.88</v>
      </c>
      <c r="H590" s="22" t="s">
        <v>1120</v>
      </c>
      <c r="I590" s="22" t="s">
        <v>2356</v>
      </c>
    </row>
    <row r="591" spans="1:9" x14ac:dyDescent="0.35">
      <c r="A591" s="22" t="s">
        <v>1121</v>
      </c>
      <c r="B591" s="22" t="s">
        <v>2804</v>
      </c>
      <c r="C591" s="22" t="s">
        <v>2358</v>
      </c>
      <c r="D591" s="22" t="s">
        <v>32</v>
      </c>
      <c r="E591" s="23">
        <v>3</v>
      </c>
      <c r="F591" s="23">
        <v>48.56</v>
      </c>
      <c r="G591" s="23">
        <v>145.68</v>
      </c>
      <c r="H591" s="22" t="s">
        <v>84</v>
      </c>
      <c r="I591" s="22" t="s">
        <v>26</v>
      </c>
    </row>
    <row r="592" spans="1:9" x14ac:dyDescent="0.35">
      <c r="A592" s="22" t="s">
        <v>1122</v>
      </c>
      <c r="B592" s="22" t="s">
        <v>2805</v>
      </c>
      <c r="C592" s="22" t="s">
        <v>23</v>
      </c>
      <c r="D592" s="22" t="s">
        <v>12</v>
      </c>
      <c r="E592" s="23">
        <v>2</v>
      </c>
      <c r="F592" s="23">
        <v>-124.69</v>
      </c>
      <c r="G592" s="23">
        <v>611.67999999999995</v>
      </c>
      <c r="H592" s="22" t="s">
        <v>1123</v>
      </c>
      <c r="I592" s="22" t="s">
        <v>2340</v>
      </c>
    </row>
    <row r="593" spans="1:9" x14ac:dyDescent="0.35">
      <c r="A593" s="22" t="s">
        <v>1124</v>
      </c>
      <c r="B593" s="22" t="s">
        <v>2806</v>
      </c>
      <c r="C593" s="22" t="s">
        <v>2358</v>
      </c>
      <c r="D593" s="22" t="s">
        <v>46</v>
      </c>
      <c r="E593" s="23">
        <v>8</v>
      </c>
      <c r="F593" s="23">
        <v>90.33</v>
      </c>
      <c r="G593" s="23">
        <v>722.64</v>
      </c>
      <c r="H593" s="22" t="s">
        <v>84</v>
      </c>
      <c r="I593" s="22"/>
    </row>
    <row r="594" spans="1:9" x14ac:dyDescent="0.35">
      <c r="A594" s="22" t="s">
        <v>1125</v>
      </c>
      <c r="B594" s="22" t="s">
        <v>2807</v>
      </c>
      <c r="C594" s="22" t="s">
        <v>2342</v>
      </c>
      <c r="D594" s="22" t="s">
        <v>46</v>
      </c>
      <c r="E594" s="23"/>
      <c r="F594" s="23">
        <v>370.62</v>
      </c>
      <c r="G594" s="23">
        <v>1482.48</v>
      </c>
      <c r="H594" s="22"/>
      <c r="I594" s="22" t="s">
        <v>2356</v>
      </c>
    </row>
    <row r="595" spans="1:9" x14ac:dyDescent="0.35">
      <c r="A595" s="22" t="s">
        <v>1126</v>
      </c>
      <c r="B595" s="22" t="s">
        <v>2808</v>
      </c>
      <c r="C595" s="22" t="s">
        <v>2342</v>
      </c>
      <c r="D595" s="22" t="s">
        <v>32</v>
      </c>
      <c r="E595" s="23">
        <v>5</v>
      </c>
      <c r="F595" s="23">
        <v>157.6</v>
      </c>
      <c r="G595" s="23">
        <v>788</v>
      </c>
      <c r="H595" s="22" t="s">
        <v>1127</v>
      </c>
      <c r="I595" s="22" t="s">
        <v>2344</v>
      </c>
    </row>
    <row r="596" spans="1:9" x14ac:dyDescent="0.35">
      <c r="A596" s="22" t="s">
        <v>1128</v>
      </c>
      <c r="B596" s="22" t="s">
        <v>2446</v>
      </c>
      <c r="C596" s="22" t="s">
        <v>11</v>
      </c>
      <c r="D596" s="22" t="s">
        <v>32</v>
      </c>
      <c r="E596" s="23">
        <v>4</v>
      </c>
      <c r="F596" s="23">
        <v>-81.66</v>
      </c>
      <c r="G596" s="23">
        <v>948.24</v>
      </c>
      <c r="H596" s="22" t="s">
        <v>1129</v>
      </c>
      <c r="I596" s="22" t="s">
        <v>2340</v>
      </c>
    </row>
    <row r="597" spans="1:9" x14ac:dyDescent="0.35">
      <c r="A597" s="22" t="s">
        <v>1130</v>
      </c>
      <c r="B597" s="22"/>
      <c r="C597" s="22" t="s">
        <v>16</v>
      </c>
      <c r="D597" s="22" t="s">
        <v>2347</v>
      </c>
      <c r="E597" s="23">
        <v>3</v>
      </c>
      <c r="F597" s="23">
        <v>303.72000000000003</v>
      </c>
      <c r="G597" s="23">
        <v>911.16</v>
      </c>
      <c r="H597" s="22" t="s">
        <v>1131</v>
      </c>
      <c r="I597" s="22" t="s">
        <v>50</v>
      </c>
    </row>
    <row r="598" spans="1:9" x14ac:dyDescent="0.35">
      <c r="A598" s="22" t="s">
        <v>1132</v>
      </c>
      <c r="B598" s="22" t="s">
        <v>2809</v>
      </c>
      <c r="C598" s="22" t="s">
        <v>23</v>
      </c>
      <c r="D598" s="22" t="s">
        <v>2343</v>
      </c>
      <c r="E598" s="23">
        <v>4</v>
      </c>
      <c r="F598" s="23">
        <v>93.92</v>
      </c>
      <c r="G598" s="23">
        <v>375.68</v>
      </c>
      <c r="H598" s="22" t="s">
        <v>1133</v>
      </c>
      <c r="I598" s="22" t="s">
        <v>26</v>
      </c>
    </row>
    <row r="599" spans="1:9" x14ac:dyDescent="0.35">
      <c r="A599" s="22" t="s">
        <v>1134</v>
      </c>
      <c r="B599" s="22" t="s">
        <v>2810</v>
      </c>
      <c r="C599" s="22" t="s">
        <v>23</v>
      </c>
      <c r="D599" s="22" t="s">
        <v>46</v>
      </c>
      <c r="E599" s="23">
        <v>3</v>
      </c>
      <c r="F599" s="23">
        <v>373.4</v>
      </c>
      <c r="G599" s="23">
        <v>1120.2</v>
      </c>
      <c r="H599" s="22" t="s">
        <v>49</v>
      </c>
      <c r="I599" s="22" t="s">
        <v>14</v>
      </c>
    </row>
    <row r="600" spans="1:9" x14ac:dyDescent="0.35">
      <c r="A600" s="22" t="s">
        <v>1135</v>
      </c>
      <c r="B600" s="22" t="s">
        <v>2811</v>
      </c>
      <c r="C600" s="22" t="s">
        <v>2282</v>
      </c>
      <c r="D600" s="22" t="s">
        <v>2347</v>
      </c>
      <c r="E600" s="23">
        <v>11</v>
      </c>
      <c r="F600" s="23">
        <v>158.29</v>
      </c>
      <c r="G600" s="23">
        <v>1741.19</v>
      </c>
      <c r="H600" s="22" t="s">
        <v>1136</v>
      </c>
      <c r="I600" s="22" t="s">
        <v>2378</v>
      </c>
    </row>
    <row r="601" spans="1:9" x14ac:dyDescent="0.35">
      <c r="A601" s="22" t="s">
        <v>1137</v>
      </c>
      <c r="B601" s="22" t="s">
        <v>2812</v>
      </c>
      <c r="C601" s="22" t="s">
        <v>19</v>
      </c>
      <c r="D601" s="22" t="s">
        <v>12</v>
      </c>
      <c r="E601" s="23">
        <v>6</v>
      </c>
      <c r="F601" s="23">
        <v>334.56</v>
      </c>
      <c r="G601" s="23">
        <v>2007.36</v>
      </c>
      <c r="H601" s="22" t="s">
        <v>1138</v>
      </c>
      <c r="I601" s="22" t="s">
        <v>26</v>
      </c>
    </row>
    <row r="602" spans="1:9" x14ac:dyDescent="0.35">
      <c r="A602" s="22" t="s">
        <v>1139</v>
      </c>
      <c r="B602" s="22" t="s">
        <v>2813</v>
      </c>
      <c r="C602" s="22" t="s">
        <v>19</v>
      </c>
      <c r="D602" s="22" t="s">
        <v>2364</v>
      </c>
      <c r="E602" s="23">
        <v>5</v>
      </c>
      <c r="F602" s="23">
        <v>87.56</v>
      </c>
      <c r="G602" s="23">
        <v>437.8</v>
      </c>
      <c r="H602" s="22" t="s">
        <v>1140</v>
      </c>
      <c r="I602" s="22" t="s">
        <v>2340</v>
      </c>
    </row>
    <row r="603" spans="1:9" x14ac:dyDescent="0.35">
      <c r="A603" s="22" t="s">
        <v>1141</v>
      </c>
      <c r="B603" s="22" t="s">
        <v>2814</v>
      </c>
      <c r="C603" s="22" t="s">
        <v>23</v>
      </c>
      <c r="D603" s="22" t="s">
        <v>2350</v>
      </c>
      <c r="E603" s="23">
        <v>5</v>
      </c>
      <c r="F603" s="23">
        <v>347.18</v>
      </c>
      <c r="G603" s="23">
        <v>1735.9</v>
      </c>
      <c r="H603" s="22" t="s">
        <v>1142</v>
      </c>
      <c r="I603" s="22" t="s">
        <v>2356</v>
      </c>
    </row>
    <row r="604" spans="1:9" x14ac:dyDescent="0.35">
      <c r="A604" s="22" t="s">
        <v>1143</v>
      </c>
      <c r="B604" s="22" t="s">
        <v>2815</v>
      </c>
      <c r="C604" s="22" t="s">
        <v>2342</v>
      </c>
      <c r="D604" s="22" t="s">
        <v>2364</v>
      </c>
      <c r="E604" s="23">
        <v>5</v>
      </c>
      <c r="F604" s="23">
        <v>72.81</v>
      </c>
      <c r="G604" s="23">
        <v>364.05</v>
      </c>
      <c r="H604" s="22" t="s">
        <v>1144</v>
      </c>
      <c r="I604" s="22" t="s">
        <v>2378</v>
      </c>
    </row>
    <row r="605" spans="1:9" x14ac:dyDescent="0.35">
      <c r="A605" s="22" t="s">
        <v>1145</v>
      </c>
      <c r="B605" s="22" t="s">
        <v>2816</v>
      </c>
      <c r="C605" s="22" t="s">
        <v>16</v>
      </c>
      <c r="D605" s="22" t="s">
        <v>2347</v>
      </c>
      <c r="E605" s="23">
        <v>3</v>
      </c>
      <c r="F605" s="23">
        <v>-107.58</v>
      </c>
      <c r="G605" s="23">
        <v>655.26</v>
      </c>
      <c r="H605" s="22" t="s">
        <v>1146</v>
      </c>
      <c r="I605" s="22" t="s">
        <v>2344</v>
      </c>
    </row>
    <row r="606" spans="1:9" x14ac:dyDescent="0.35">
      <c r="A606" s="22" t="s">
        <v>1147</v>
      </c>
      <c r="B606" s="22" t="s">
        <v>2817</v>
      </c>
      <c r="C606" s="22" t="s">
        <v>2349</v>
      </c>
      <c r="D606" s="22" t="s">
        <v>32</v>
      </c>
      <c r="E606" s="23">
        <v>6</v>
      </c>
      <c r="F606" s="23">
        <v>131.13</v>
      </c>
      <c r="G606" s="23">
        <v>786.78</v>
      </c>
      <c r="H606" s="22" t="s">
        <v>1148</v>
      </c>
      <c r="I606" s="22" t="s">
        <v>2356</v>
      </c>
    </row>
    <row r="607" spans="1:9" x14ac:dyDescent="0.35">
      <c r="A607" s="22" t="s">
        <v>1149</v>
      </c>
      <c r="B607" s="22" t="s">
        <v>2710</v>
      </c>
      <c r="C607" s="22" t="s">
        <v>2358</v>
      </c>
      <c r="D607" s="22" t="s">
        <v>24</v>
      </c>
      <c r="E607" s="23" t="s">
        <v>2351</v>
      </c>
      <c r="F607" s="23">
        <v>376.7</v>
      </c>
      <c r="G607" s="23">
        <v>1506.8</v>
      </c>
      <c r="H607" s="22" t="s">
        <v>1150</v>
      </c>
      <c r="I607" s="22" t="s">
        <v>26</v>
      </c>
    </row>
    <row r="608" spans="1:9" x14ac:dyDescent="0.35">
      <c r="A608" s="22" t="s">
        <v>1151</v>
      </c>
      <c r="B608" s="22" t="s">
        <v>2818</v>
      </c>
      <c r="C608" s="22" t="s">
        <v>2349</v>
      </c>
      <c r="D608" s="22" t="s">
        <v>2343</v>
      </c>
      <c r="E608" s="23">
        <v>5</v>
      </c>
      <c r="F608" s="23">
        <v>138.4</v>
      </c>
      <c r="G608" s="23">
        <v>766.77</v>
      </c>
      <c r="H608" s="22" t="s">
        <v>1152</v>
      </c>
      <c r="I608" s="22" t="s">
        <v>2298</v>
      </c>
    </row>
    <row r="609" spans="1:9" x14ac:dyDescent="0.35">
      <c r="A609" s="22" t="s">
        <v>1153</v>
      </c>
      <c r="B609" s="22" t="s">
        <v>2819</v>
      </c>
      <c r="C609" s="22" t="s">
        <v>2346</v>
      </c>
      <c r="D609" s="22" t="s">
        <v>2347</v>
      </c>
      <c r="E609" s="23">
        <v>3</v>
      </c>
      <c r="F609" s="23">
        <v>442.04</v>
      </c>
      <c r="G609" s="23">
        <v>1326.12</v>
      </c>
      <c r="H609" s="22" t="s">
        <v>1154</v>
      </c>
      <c r="I609" s="22"/>
    </row>
    <row r="610" spans="1:9" x14ac:dyDescent="0.35">
      <c r="A610" s="22" t="s">
        <v>1155</v>
      </c>
      <c r="B610" s="22" t="s">
        <v>2820</v>
      </c>
      <c r="C610" s="22" t="s">
        <v>2342</v>
      </c>
      <c r="D610" s="22" t="s">
        <v>24</v>
      </c>
      <c r="E610" s="23">
        <v>7</v>
      </c>
      <c r="F610" s="23">
        <v>446.99</v>
      </c>
      <c r="G610" s="23">
        <v>3128.93</v>
      </c>
      <c r="H610" s="22" t="s">
        <v>1156</v>
      </c>
      <c r="I610" s="22" t="s">
        <v>2340</v>
      </c>
    </row>
    <row r="611" spans="1:9" x14ac:dyDescent="0.35">
      <c r="A611" s="22" t="s">
        <v>1157</v>
      </c>
      <c r="B611" s="22" t="s">
        <v>2821</v>
      </c>
      <c r="C611" s="22" t="s">
        <v>2282</v>
      </c>
      <c r="D611" s="22" t="s">
        <v>12</v>
      </c>
      <c r="E611" s="23">
        <v>3</v>
      </c>
      <c r="F611" s="23">
        <v>106.26</v>
      </c>
      <c r="G611" s="23">
        <v>318.77999999999997</v>
      </c>
      <c r="H611" s="22" t="s">
        <v>1158</v>
      </c>
      <c r="I611" s="22" t="s">
        <v>2340</v>
      </c>
    </row>
    <row r="612" spans="1:9" x14ac:dyDescent="0.35">
      <c r="A612" s="22" t="s">
        <v>1159</v>
      </c>
      <c r="B612" s="22" t="s">
        <v>2822</v>
      </c>
      <c r="C612" s="22"/>
      <c r="D612" s="22" t="s">
        <v>12</v>
      </c>
      <c r="E612" s="23">
        <v>6</v>
      </c>
      <c r="F612" s="23">
        <v>310.77999999999997</v>
      </c>
      <c r="G612" s="23">
        <v>1864.68</v>
      </c>
      <c r="H612" s="22" t="s">
        <v>84</v>
      </c>
      <c r="I612" s="22" t="s">
        <v>50</v>
      </c>
    </row>
    <row r="613" spans="1:9" x14ac:dyDescent="0.35">
      <c r="A613" s="22" t="s">
        <v>1160</v>
      </c>
      <c r="B613" s="22" t="s">
        <v>2596</v>
      </c>
      <c r="C613" s="22" t="s">
        <v>11</v>
      </c>
      <c r="D613" s="22" t="s">
        <v>2343</v>
      </c>
      <c r="E613" s="23">
        <v>7</v>
      </c>
      <c r="F613" s="23">
        <v>52.98</v>
      </c>
      <c r="G613" s="23">
        <v>370.86</v>
      </c>
      <c r="H613" s="22" t="s">
        <v>1161</v>
      </c>
      <c r="I613" s="22" t="s">
        <v>2298</v>
      </c>
    </row>
    <row r="614" spans="1:9" x14ac:dyDescent="0.35">
      <c r="A614" s="22" t="s">
        <v>1162</v>
      </c>
      <c r="B614" s="22" t="s">
        <v>2823</v>
      </c>
      <c r="C614" s="22" t="s">
        <v>11</v>
      </c>
      <c r="D614" s="22" t="s">
        <v>2343</v>
      </c>
      <c r="E614" s="23">
        <v>1</v>
      </c>
      <c r="F614" s="23">
        <v>201.85</v>
      </c>
      <c r="G614" s="23">
        <v>494.14</v>
      </c>
      <c r="H614" s="22" t="s">
        <v>1163</v>
      </c>
      <c r="I614" s="22" t="s">
        <v>2356</v>
      </c>
    </row>
    <row r="615" spans="1:9" x14ac:dyDescent="0.35">
      <c r="A615" s="22" t="s">
        <v>1164</v>
      </c>
      <c r="B615" s="22" t="s">
        <v>2824</v>
      </c>
      <c r="C615" s="22" t="s">
        <v>2342</v>
      </c>
      <c r="D615" s="22" t="s">
        <v>2347</v>
      </c>
      <c r="E615" s="23">
        <v>6</v>
      </c>
      <c r="F615" s="23">
        <v>359.53</v>
      </c>
      <c r="G615" s="23"/>
      <c r="H615" s="22" t="s">
        <v>1165</v>
      </c>
      <c r="I615" s="22" t="s">
        <v>2378</v>
      </c>
    </row>
    <row r="616" spans="1:9" x14ac:dyDescent="0.35">
      <c r="A616" s="22" t="s">
        <v>1166</v>
      </c>
      <c r="B616" s="22" t="s">
        <v>2825</v>
      </c>
      <c r="C616" s="22" t="s">
        <v>2346</v>
      </c>
      <c r="D616" s="22" t="s">
        <v>46</v>
      </c>
      <c r="E616" s="23">
        <v>4</v>
      </c>
      <c r="F616" s="23">
        <v>333.12</v>
      </c>
      <c r="G616" s="23">
        <v>1332.48</v>
      </c>
      <c r="H616" s="22"/>
      <c r="I616" s="22" t="s">
        <v>2378</v>
      </c>
    </row>
    <row r="617" spans="1:9" x14ac:dyDescent="0.35">
      <c r="A617" s="22" t="s">
        <v>1167</v>
      </c>
      <c r="B617" s="22" t="s">
        <v>2826</v>
      </c>
      <c r="C617" s="22" t="s">
        <v>11</v>
      </c>
      <c r="D617" s="22" t="s">
        <v>24</v>
      </c>
      <c r="E617" s="23">
        <v>2</v>
      </c>
      <c r="F617" s="23">
        <v>316.10000000000002</v>
      </c>
      <c r="G617" s="23">
        <v>912.5</v>
      </c>
      <c r="H617" s="22" t="s">
        <v>1168</v>
      </c>
      <c r="I617" s="22" t="s">
        <v>14</v>
      </c>
    </row>
    <row r="618" spans="1:9" x14ac:dyDescent="0.35">
      <c r="A618" s="22" t="s">
        <v>1169</v>
      </c>
      <c r="B618" s="22" t="s">
        <v>2827</v>
      </c>
      <c r="C618" s="22" t="s">
        <v>2358</v>
      </c>
      <c r="D618" s="22" t="s">
        <v>2343</v>
      </c>
      <c r="E618" s="23">
        <v>2</v>
      </c>
      <c r="F618" s="23">
        <v>148.44999999999999</v>
      </c>
      <c r="G618" s="23">
        <v>296.89999999999998</v>
      </c>
      <c r="H618" s="22" t="s">
        <v>1170</v>
      </c>
      <c r="I618" s="22" t="s">
        <v>2340</v>
      </c>
    </row>
    <row r="619" spans="1:9" x14ac:dyDescent="0.35">
      <c r="A619" s="22" t="s">
        <v>1171</v>
      </c>
      <c r="B619" s="22" t="s">
        <v>2596</v>
      </c>
      <c r="C619" s="22" t="s">
        <v>11</v>
      </c>
      <c r="D619" s="22" t="s">
        <v>24</v>
      </c>
      <c r="E619" s="23">
        <v>5</v>
      </c>
      <c r="F619" s="23">
        <v>195.23</v>
      </c>
      <c r="G619" s="23">
        <v>976.15</v>
      </c>
      <c r="H619" s="22" t="s">
        <v>1172</v>
      </c>
      <c r="I619" s="22" t="s">
        <v>26</v>
      </c>
    </row>
    <row r="620" spans="1:9" x14ac:dyDescent="0.35">
      <c r="A620" s="22" t="s">
        <v>1173</v>
      </c>
      <c r="B620" s="22" t="s">
        <v>2828</v>
      </c>
      <c r="C620" s="22" t="s">
        <v>23</v>
      </c>
      <c r="D620" s="22" t="s">
        <v>32</v>
      </c>
      <c r="E620" s="23">
        <v>5</v>
      </c>
      <c r="F620" s="23">
        <v>60.44</v>
      </c>
      <c r="G620" s="23">
        <v>302.2</v>
      </c>
      <c r="H620" s="22" t="s">
        <v>1174</v>
      </c>
      <c r="I620" s="22" t="s">
        <v>26</v>
      </c>
    </row>
    <row r="621" spans="1:9" x14ac:dyDescent="0.35">
      <c r="A621" s="22" t="s">
        <v>1175</v>
      </c>
      <c r="B621" s="22" t="s">
        <v>2829</v>
      </c>
      <c r="C621" s="22" t="s">
        <v>2342</v>
      </c>
      <c r="D621" s="22" t="s">
        <v>24</v>
      </c>
      <c r="E621" s="23">
        <v>3</v>
      </c>
      <c r="F621" s="23">
        <v>362.32</v>
      </c>
      <c r="G621" s="23">
        <v>1086.96</v>
      </c>
      <c r="H621" s="22" t="s">
        <v>1176</v>
      </c>
      <c r="I621" s="22" t="s">
        <v>26</v>
      </c>
    </row>
    <row r="622" spans="1:9" x14ac:dyDescent="0.35">
      <c r="A622" s="22" t="s">
        <v>1177</v>
      </c>
      <c r="B622" s="22" t="s">
        <v>2830</v>
      </c>
      <c r="C622" s="22" t="s">
        <v>2346</v>
      </c>
      <c r="D622" s="22" t="s">
        <v>12</v>
      </c>
      <c r="E622" s="23">
        <v>5</v>
      </c>
      <c r="F622" s="23">
        <v>256.91000000000003</v>
      </c>
      <c r="G622" s="23">
        <v>1284.55</v>
      </c>
      <c r="H622" s="22" t="s">
        <v>1178</v>
      </c>
      <c r="I622" s="22"/>
    </row>
    <row r="623" spans="1:9" x14ac:dyDescent="0.35">
      <c r="A623" s="22" t="s">
        <v>1179</v>
      </c>
      <c r="B623" s="22" t="s">
        <v>2831</v>
      </c>
      <c r="C623" s="22" t="s">
        <v>16</v>
      </c>
      <c r="D623" s="22" t="s">
        <v>2350</v>
      </c>
      <c r="E623" s="23">
        <v>11</v>
      </c>
      <c r="F623" s="23">
        <v>357.3</v>
      </c>
      <c r="G623" s="23">
        <v>3930.3</v>
      </c>
      <c r="H623" s="22" t="s">
        <v>1180</v>
      </c>
      <c r="I623" s="22" t="s">
        <v>50</v>
      </c>
    </row>
    <row r="624" spans="1:9" x14ac:dyDescent="0.35">
      <c r="A624" s="22" t="s">
        <v>1181</v>
      </c>
      <c r="B624" s="22" t="s">
        <v>2832</v>
      </c>
      <c r="C624" s="22"/>
      <c r="D624" s="22" t="s">
        <v>12</v>
      </c>
      <c r="E624" s="23">
        <v>2</v>
      </c>
      <c r="F624" s="23">
        <v>131.97999999999999</v>
      </c>
      <c r="G624" s="23">
        <v>263.95999999999998</v>
      </c>
      <c r="H624" s="22" t="s">
        <v>49</v>
      </c>
      <c r="I624" s="22" t="s">
        <v>2378</v>
      </c>
    </row>
    <row r="625" spans="1:9" x14ac:dyDescent="0.35">
      <c r="A625" s="22" t="s">
        <v>1182</v>
      </c>
      <c r="B625" s="22" t="s">
        <v>2833</v>
      </c>
      <c r="C625" s="22" t="s">
        <v>2342</v>
      </c>
      <c r="D625" s="22" t="s">
        <v>46</v>
      </c>
      <c r="E625" s="23">
        <v>6</v>
      </c>
      <c r="F625" s="23">
        <v>168.97</v>
      </c>
      <c r="G625" s="23">
        <v>1013.82</v>
      </c>
      <c r="H625" s="22" t="s">
        <v>1183</v>
      </c>
      <c r="I625" s="22" t="s">
        <v>26</v>
      </c>
    </row>
    <row r="626" spans="1:9" x14ac:dyDescent="0.35">
      <c r="A626" s="22" t="s">
        <v>1184</v>
      </c>
      <c r="B626" s="22" t="s">
        <v>2834</v>
      </c>
      <c r="C626" s="22" t="s">
        <v>2358</v>
      </c>
      <c r="D626" s="22" t="s">
        <v>2350</v>
      </c>
      <c r="E626" s="23">
        <v>5</v>
      </c>
      <c r="F626" s="23">
        <v>173.77</v>
      </c>
      <c r="G626" s="23">
        <v>868.85</v>
      </c>
      <c r="H626" s="22" t="s">
        <v>1185</v>
      </c>
      <c r="I626" s="22" t="s">
        <v>50</v>
      </c>
    </row>
    <row r="627" spans="1:9" x14ac:dyDescent="0.35">
      <c r="A627" s="22" t="s">
        <v>1186</v>
      </c>
      <c r="B627" s="22" t="s">
        <v>2835</v>
      </c>
      <c r="C627" s="22" t="s">
        <v>2358</v>
      </c>
      <c r="D627" s="22" t="s">
        <v>24</v>
      </c>
      <c r="E627" s="23"/>
      <c r="F627" s="23">
        <v>22.61</v>
      </c>
      <c r="G627" s="23">
        <v>67.83</v>
      </c>
      <c r="H627" s="22" t="s">
        <v>1187</v>
      </c>
      <c r="I627" s="22" t="s">
        <v>2340</v>
      </c>
    </row>
    <row r="628" spans="1:9" x14ac:dyDescent="0.35">
      <c r="A628" s="22" t="s">
        <v>1188</v>
      </c>
      <c r="B628" s="22" t="s">
        <v>2836</v>
      </c>
      <c r="C628" s="22"/>
      <c r="D628" s="22" t="s">
        <v>2343</v>
      </c>
      <c r="E628" s="23">
        <v>4</v>
      </c>
      <c r="F628" s="23">
        <v>177.11</v>
      </c>
      <c r="G628" s="23">
        <v>708.44</v>
      </c>
      <c r="H628" s="22" t="s">
        <v>1189</v>
      </c>
      <c r="I628" s="22" t="s">
        <v>14</v>
      </c>
    </row>
    <row r="629" spans="1:9" x14ac:dyDescent="0.35">
      <c r="A629" s="22" t="s">
        <v>1190</v>
      </c>
      <c r="B629" s="22" t="s">
        <v>2837</v>
      </c>
      <c r="C629" s="22" t="s">
        <v>19</v>
      </c>
      <c r="D629" s="22" t="s">
        <v>2364</v>
      </c>
      <c r="E629" s="23">
        <v>10</v>
      </c>
      <c r="F629" s="23">
        <v>403.62</v>
      </c>
      <c r="G629" s="23">
        <v>4036.2</v>
      </c>
      <c r="H629" s="22" t="s">
        <v>1191</v>
      </c>
      <c r="I629" s="22" t="s">
        <v>2340</v>
      </c>
    </row>
    <row r="630" spans="1:9" x14ac:dyDescent="0.35">
      <c r="A630" s="22" t="s">
        <v>1192</v>
      </c>
      <c r="B630" s="22" t="s">
        <v>2429</v>
      </c>
      <c r="C630" s="22" t="s">
        <v>2349</v>
      </c>
      <c r="D630" s="22" t="s">
        <v>2347</v>
      </c>
      <c r="E630" s="23">
        <v>1</v>
      </c>
      <c r="F630" s="23">
        <v>449.68</v>
      </c>
      <c r="G630" s="23">
        <v>449.68</v>
      </c>
      <c r="H630" s="22" t="s">
        <v>1193</v>
      </c>
      <c r="I630" s="22" t="s">
        <v>2356</v>
      </c>
    </row>
    <row r="631" spans="1:9" x14ac:dyDescent="0.35">
      <c r="A631" s="22" t="s">
        <v>1194</v>
      </c>
      <c r="B631" s="22" t="s">
        <v>2838</v>
      </c>
      <c r="C631" s="22" t="s">
        <v>2358</v>
      </c>
      <c r="D631" s="22" t="s">
        <v>46</v>
      </c>
      <c r="E631" s="23">
        <v>8</v>
      </c>
      <c r="F631" s="23">
        <v>263.93</v>
      </c>
      <c r="G631" s="23">
        <v>2111.44</v>
      </c>
      <c r="H631" s="22" t="s">
        <v>1195</v>
      </c>
      <c r="I631" s="22" t="s">
        <v>2298</v>
      </c>
    </row>
    <row r="632" spans="1:9" x14ac:dyDescent="0.35">
      <c r="A632" s="22" t="s">
        <v>1196</v>
      </c>
      <c r="B632" s="22"/>
      <c r="C632" s="22" t="s">
        <v>16</v>
      </c>
      <c r="D632" s="22" t="s">
        <v>2343</v>
      </c>
      <c r="E632" s="23">
        <v>3</v>
      </c>
      <c r="F632" s="23">
        <v>233.2</v>
      </c>
      <c r="G632" s="23">
        <v>1077.1300000000001</v>
      </c>
      <c r="H632" s="22"/>
      <c r="I632" s="22" t="s">
        <v>2356</v>
      </c>
    </row>
    <row r="633" spans="1:9" x14ac:dyDescent="0.35">
      <c r="A633" s="22" t="s">
        <v>1197</v>
      </c>
      <c r="B633" s="22" t="s">
        <v>2839</v>
      </c>
      <c r="C633" s="22" t="s">
        <v>19</v>
      </c>
      <c r="D633" s="22" t="s">
        <v>32</v>
      </c>
      <c r="E633" s="23">
        <v>5</v>
      </c>
      <c r="F633" s="23">
        <v>25.1</v>
      </c>
      <c r="G633" s="23">
        <v>125.5</v>
      </c>
      <c r="H633" s="22"/>
      <c r="I633" s="22" t="s">
        <v>2298</v>
      </c>
    </row>
    <row r="634" spans="1:9" x14ac:dyDescent="0.35">
      <c r="A634" s="22" t="s">
        <v>1198</v>
      </c>
      <c r="B634" s="22" t="s">
        <v>2400</v>
      </c>
      <c r="C634" s="22" t="s">
        <v>16</v>
      </c>
      <c r="D634" s="22" t="s">
        <v>2343</v>
      </c>
      <c r="E634" s="23">
        <v>4</v>
      </c>
      <c r="F634" s="23">
        <v>440.81</v>
      </c>
      <c r="G634" s="23"/>
      <c r="H634" s="22" t="s">
        <v>1199</v>
      </c>
      <c r="I634" s="22" t="s">
        <v>2378</v>
      </c>
    </row>
    <row r="635" spans="1:9" x14ac:dyDescent="0.35">
      <c r="A635" s="22" t="s">
        <v>1200</v>
      </c>
      <c r="B635" s="22" t="s">
        <v>2840</v>
      </c>
      <c r="C635" s="22" t="s">
        <v>19</v>
      </c>
      <c r="D635" s="22" t="s">
        <v>2350</v>
      </c>
      <c r="E635" s="23">
        <v>11</v>
      </c>
      <c r="F635" s="23">
        <v>16.38</v>
      </c>
      <c r="G635" s="23">
        <v>180.18</v>
      </c>
      <c r="H635" s="22" t="s">
        <v>1201</v>
      </c>
      <c r="I635" s="22" t="s">
        <v>26</v>
      </c>
    </row>
    <row r="636" spans="1:9" x14ac:dyDescent="0.35">
      <c r="A636" s="22" t="s">
        <v>1202</v>
      </c>
      <c r="B636" s="22" t="s">
        <v>2841</v>
      </c>
      <c r="C636" s="22" t="s">
        <v>2346</v>
      </c>
      <c r="D636" s="22" t="s">
        <v>2350</v>
      </c>
      <c r="E636" s="23">
        <v>3</v>
      </c>
      <c r="F636" s="23">
        <v>472.93</v>
      </c>
      <c r="G636" s="23">
        <v>1418.79</v>
      </c>
      <c r="H636" s="22" t="s">
        <v>1203</v>
      </c>
      <c r="I636" s="22" t="s">
        <v>2340</v>
      </c>
    </row>
    <row r="637" spans="1:9" x14ac:dyDescent="0.35">
      <c r="A637" s="22" t="s">
        <v>1204</v>
      </c>
      <c r="B637" s="22" t="s">
        <v>2842</v>
      </c>
      <c r="C637" s="22"/>
      <c r="D637" s="22" t="s">
        <v>12</v>
      </c>
      <c r="E637" s="23">
        <v>4</v>
      </c>
      <c r="F637" s="23">
        <v>-179.14</v>
      </c>
      <c r="G637" s="23">
        <v>998.88</v>
      </c>
      <c r="H637" s="22" t="s">
        <v>1205</v>
      </c>
      <c r="I637" s="22" t="s">
        <v>2356</v>
      </c>
    </row>
    <row r="638" spans="1:9" x14ac:dyDescent="0.35">
      <c r="A638" s="22" t="s">
        <v>1206</v>
      </c>
      <c r="B638" s="22" t="s">
        <v>2784</v>
      </c>
      <c r="C638" s="22" t="s">
        <v>2358</v>
      </c>
      <c r="D638" s="22" t="s">
        <v>2347</v>
      </c>
      <c r="E638" s="23">
        <v>3</v>
      </c>
      <c r="F638" s="23">
        <v>177.55</v>
      </c>
      <c r="G638" s="23">
        <v>532.65</v>
      </c>
      <c r="H638" s="22" t="s">
        <v>1207</v>
      </c>
      <c r="I638" s="22"/>
    </row>
    <row r="639" spans="1:9" x14ac:dyDescent="0.35">
      <c r="A639" s="22" t="s">
        <v>1208</v>
      </c>
      <c r="B639" s="22" t="s">
        <v>2428</v>
      </c>
      <c r="C639" s="22" t="s">
        <v>19</v>
      </c>
      <c r="D639" s="22" t="s">
        <v>2364</v>
      </c>
      <c r="E639" s="23">
        <v>3</v>
      </c>
      <c r="F639" s="23">
        <v>462.87</v>
      </c>
      <c r="G639" s="23">
        <v>1388.61</v>
      </c>
      <c r="H639" s="22" t="s">
        <v>1209</v>
      </c>
      <c r="I639" s="22" t="s">
        <v>2378</v>
      </c>
    </row>
    <row r="640" spans="1:9" x14ac:dyDescent="0.35">
      <c r="A640" s="22" t="s">
        <v>1210</v>
      </c>
      <c r="B640" s="22" t="s">
        <v>2843</v>
      </c>
      <c r="C640" s="22" t="s">
        <v>2349</v>
      </c>
      <c r="D640" s="22" t="s">
        <v>24</v>
      </c>
      <c r="E640" s="23">
        <v>8</v>
      </c>
      <c r="F640" s="23">
        <v>21.95</v>
      </c>
      <c r="G640" s="23">
        <v>175.6</v>
      </c>
      <c r="H640" s="22" t="s">
        <v>1211</v>
      </c>
      <c r="I640" s="22"/>
    </row>
    <row r="641" spans="1:9" x14ac:dyDescent="0.35">
      <c r="A641" s="22" t="s">
        <v>1212</v>
      </c>
      <c r="B641" s="22" t="s">
        <v>2844</v>
      </c>
      <c r="C641" s="22"/>
      <c r="D641" s="22" t="s">
        <v>2343</v>
      </c>
      <c r="E641" s="23">
        <v>1</v>
      </c>
      <c r="F641" s="23">
        <v>294.89999999999998</v>
      </c>
      <c r="G641" s="23">
        <v>294.89999999999998</v>
      </c>
      <c r="H641" s="22" t="s">
        <v>1213</v>
      </c>
      <c r="I641" s="22" t="s">
        <v>2378</v>
      </c>
    </row>
    <row r="642" spans="1:9" x14ac:dyDescent="0.35">
      <c r="A642" s="22" t="s">
        <v>1214</v>
      </c>
      <c r="B642" s="22" t="s">
        <v>2845</v>
      </c>
      <c r="C642" s="22" t="s">
        <v>2349</v>
      </c>
      <c r="D642" s="22" t="s">
        <v>32</v>
      </c>
      <c r="E642" s="23">
        <v>5</v>
      </c>
      <c r="F642" s="23">
        <v>278.98</v>
      </c>
      <c r="G642" s="23">
        <v>1394.9</v>
      </c>
      <c r="H642" s="22"/>
      <c r="I642" s="22" t="s">
        <v>14</v>
      </c>
    </row>
    <row r="643" spans="1:9" x14ac:dyDescent="0.35">
      <c r="A643" s="22" t="s">
        <v>176</v>
      </c>
      <c r="B643" s="22" t="s">
        <v>2846</v>
      </c>
      <c r="C643" s="22" t="s">
        <v>2349</v>
      </c>
      <c r="D643" s="22" t="s">
        <v>2347</v>
      </c>
      <c r="E643" s="23">
        <v>7</v>
      </c>
      <c r="F643" s="23">
        <v>117.47</v>
      </c>
      <c r="G643" s="23">
        <v>965.79</v>
      </c>
      <c r="H643" s="22" t="s">
        <v>2847</v>
      </c>
      <c r="I643" s="22" t="s">
        <v>2340</v>
      </c>
    </row>
    <row r="644" spans="1:9" x14ac:dyDescent="0.35">
      <c r="A644" s="22" t="s">
        <v>1215</v>
      </c>
      <c r="B644" s="22" t="s">
        <v>2381</v>
      </c>
      <c r="C644" s="22" t="s">
        <v>2342</v>
      </c>
      <c r="D644" s="22" t="s">
        <v>2343</v>
      </c>
      <c r="E644" s="23">
        <v>3</v>
      </c>
      <c r="F644" s="23">
        <v>220.15</v>
      </c>
      <c r="G644" s="23">
        <v>660.45</v>
      </c>
      <c r="H644" s="22" t="s">
        <v>1216</v>
      </c>
      <c r="I644" s="22" t="s">
        <v>2340</v>
      </c>
    </row>
    <row r="645" spans="1:9" x14ac:dyDescent="0.35">
      <c r="A645" s="22" t="s">
        <v>1217</v>
      </c>
      <c r="B645" s="22" t="s">
        <v>2848</v>
      </c>
      <c r="C645" s="22" t="s">
        <v>2346</v>
      </c>
      <c r="D645" s="22" t="s">
        <v>2343</v>
      </c>
      <c r="E645" s="23">
        <v>7</v>
      </c>
      <c r="F645" s="23">
        <v>329.61</v>
      </c>
      <c r="G645" s="23">
        <v>2307.27</v>
      </c>
      <c r="H645" s="22" t="s">
        <v>1218</v>
      </c>
      <c r="I645" s="22" t="s">
        <v>2340</v>
      </c>
    </row>
    <row r="646" spans="1:9" x14ac:dyDescent="0.35">
      <c r="A646" s="22" t="s">
        <v>1219</v>
      </c>
      <c r="B646" s="22" t="s">
        <v>2849</v>
      </c>
      <c r="C646" s="22"/>
      <c r="D646" s="22" t="s">
        <v>2350</v>
      </c>
      <c r="E646" s="23">
        <v>5</v>
      </c>
      <c r="F646" s="23">
        <v>366.29</v>
      </c>
      <c r="G646" s="23"/>
      <c r="H646" s="22" t="s">
        <v>1220</v>
      </c>
      <c r="I646" s="22" t="s">
        <v>2340</v>
      </c>
    </row>
    <row r="647" spans="1:9" x14ac:dyDescent="0.35">
      <c r="A647" s="22" t="s">
        <v>1221</v>
      </c>
      <c r="B647" s="22"/>
      <c r="C647" s="22"/>
      <c r="D647" s="22" t="s">
        <v>2350</v>
      </c>
      <c r="E647" s="23">
        <v>7</v>
      </c>
      <c r="F647" s="23">
        <v>10.35</v>
      </c>
      <c r="G647" s="23">
        <v>554.49</v>
      </c>
      <c r="H647" s="22" t="s">
        <v>1222</v>
      </c>
      <c r="I647" s="22" t="s">
        <v>2298</v>
      </c>
    </row>
    <row r="648" spans="1:9" x14ac:dyDescent="0.35">
      <c r="A648" s="22" t="s">
        <v>1223</v>
      </c>
      <c r="B648" s="22" t="s">
        <v>2850</v>
      </c>
      <c r="C648" s="22" t="s">
        <v>23</v>
      </c>
      <c r="D648" s="22" t="s">
        <v>2364</v>
      </c>
      <c r="E648" s="23">
        <v>5</v>
      </c>
      <c r="F648" s="23">
        <v>469.06</v>
      </c>
      <c r="G648" s="23">
        <v>2345.3000000000002</v>
      </c>
      <c r="H648" s="22" t="s">
        <v>1224</v>
      </c>
      <c r="I648" s="22" t="s">
        <v>50</v>
      </c>
    </row>
    <row r="649" spans="1:9" x14ac:dyDescent="0.35">
      <c r="A649" s="22" t="s">
        <v>1225</v>
      </c>
      <c r="B649" s="22" t="s">
        <v>2851</v>
      </c>
      <c r="C649" s="22" t="s">
        <v>19</v>
      </c>
      <c r="D649" s="22" t="s">
        <v>46</v>
      </c>
      <c r="E649" s="23">
        <v>7</v>
      </c>
      <c r="F649" s="23">
        <v>90.62</v>
      </c>
      <c r="G649" s="23">
        <v>868.6</v>
      </c>
      <c r="H649" s="22" t="s">
        <v>1226</v>
      </c>
      <c r="I649" s="22" t="s">
        <v>2378</v>
      </c>
    </row>
    <row r="650" spans="1:9" x14ac:dyDescent="0.35">
      <c r="A650" s="22" t="s">
        <v>1227</v>
      </c>
      <c r="B650" s="22" t="s">
        <v>2852</v>
      </c>
      <c r="C650" s="22" t="s">
        <v>2346</v>
      </c>
      <c r="D650" s="22" t="s">
        <v>2364</v>
      </c>
      <c r="E650" s="23">
        <v>5</v>
      </c>
      <c r="F650" s="23">
        <v>124.45</v>
      </c>
      <c r="G650" s="23">
        <v>622.25</v>
      </c>
      <c r="H650" s="22" t="s">
        <v>1228</v>
      </c>
      <c r="I650" s="22" t="s">
        <v>2378</v>
      </c>
    </row>
    <row r="651" spans="1:9" x14ac:dyDescent="0.35">
      <c r="A651" s="22" t="s">
        <v>1229</v>
      </c>
      <c r="B651" s="22" t="s">
        <v>2365</v>
      </c>
      <c r="C651" s="22" t="s">
        <v>2346</v>
      </c>
      <c r="D651" s="22" t="s">
        <v>2343</v>
      </c>
      <c r="E651" s="23">
        <v>4</v>
      </c>
      <c r="F651" s="23">
        <v>139.1</v>
      </c>
      <c r="G651" s="23">
        <v>556.4</v>
      </c>
      <c r="H651" s="22" t="s">
        <v>84</v>
      </c>
      <c r="I651" s="22" t="s">
        <v>14</v>
      </c>
    </row>
    <row r="652" spans="1:9" x14ac:dyDescent="0.35">
      <c r="A652" s="22" t="s">
        <v>1230</v>
      </c>
      <c r="B652" s="22" t="s">
        <v>2853</v>
      </c>
      <c r="C652" s="22"/>
      <c r="D652" s="22" t="s">
        <v>46</v>
      </c>
      <c r="E652" s="23">
        <v>5</v>
      </c>
      <c r="F652" s="23">
        <v>28.53</v>
      </c>
      <c r="G652" s="23">
        <v>142.65</v>
      </c>
      <c r="H652" s="22" t="s">
        <v>1231</v>
      </c>
      <c r="I652" s="22" t="s">
        <v>50</v>
      </c>
    </row>
    <row r="653" spans="1:9" x14ac:dyDescent="0.35">
      <c r="A653" s="22" t="s">
        <v>1232</v>
      </c>
      <c r="B653" s="22"/>
      <c r="C653" s="22" t="s">
        <v>11</v>
      </c>
      <c r="D653" s="22" t="s">
        <v>46</v>
      </c>
      <c r="E653" s="23">
        <v>11</v>
      </c>
      <c r="F653" s="23">
        <v>70.3</v>
      </c>
      <c r="G653" s="23">
        <v>773.3</v>
      </c>
      <c r="H653" s="22" t="s">
        <v>1233</v>
      </c>
      <c r="I653" s="22" t="s">
        <v>2356</v>
      </c>
    </row>
    <row r="654" spans="1:9" x14ac:dyDescent="0.35">
      <c r="A654" s="22" t="s">
        <v>1234</v>
      </c>
      <c r="B654" s="22" t="s">
        <v>2854</v>
      </c>
      <c r="C654" s="22" t="s">
        <v>2282</v>
      </c>
      <c r="D654" s="22" t="s">
        <v>46</v>
      </c>
      <c r="E654" s="23">
        <v>9999</v>
      </c>
      <c r="F654" s="23">
        <v>493.31</v>
      </c>
      <c r="G654" s="23">
        <v>3453.17</v>
      </c>
      <c r="H654" s="22" t="s">
        <v>1235</v>
      </c>
      <c r="I654" s="22" t="s">
        <v>2356</v>
      </c>
    </row>
    <row r="655" spans="1:9" x14ac:dyDescent="0.35">
      <c r="A655" s="22" t="s">
        <v>1236</v>
      </c>
      <c r="B655" s="22" t="s">
        <v>2855</v>
      </c>
      <c r="C655" s="22" t="s">
        <v>2346</v>
      </c>
      <c r="D655" s="22" t="s">
        <v>2347</v>
      </c>
      <c r="E655" s="23">
        <v>6</v>
      </c>
      <c r="F655" s="23">
        <v>164.46</v>
      </c>
      <c r="G655" s="23">
        <v>986.76</v>
      </c>
      <c r="H655" s="22" t="s">
        <v>1237</v>
      </c>
      <c r="I655" s="22"/>
    </row>
    <row r="656" spans="1:9" x14ac:dyDescent="0.35">
      <c r="A656" s="22" t="s">
        <v>1238</v>
      </c>
      <c r="B656" s="22"/>
      <c r="C656" s="22" t="s">
        <v>23</v>
      </c>
      <c r="D656" s="22" t="s">
        <v>32</v>
      </c>
      <c r="E656" s="23">
        <v>3</v>
      </c>
      <c r="F656" s="23">
        <v>66.5</v>
      </c>
      <c r="G656" s="23">
        <v>199.5</v>
      </c>
      <c r="H656" s="22" t="s">
        <v>1239</v>
      </c>
      <c r="I656" s="22" t="s">
        <v>14</v>
      </c>
    </row>
    <row r="657" spans="1:9" x14ac:dyDescent="0.35">
      <c r="A657" s="22" t="s">
        <v>1240</v>
      </c>
      <c r="B657" s="22" t="s">
        <v>2374</v>
      </c>
      <c r="C657" s="22" t="s">
        <v>2282</v>
      </c>
      <c r="D657" s="22" t="s">
        <v>2343</v>
      </c>
      <c r="E657" s="23">
        <v>0</v>
      </c>
      <c r="F657" s="23">
        <v>62.43</v>
      </c>
      <c r="G657" s="23">
        <v>0</v>
      </c>
      <c r="H657" s="22" t="s">
        <v>1241</v>
      </c>
      <c r="I657" s="22" t="s">
        <v>2378</v>
      </c>
    </row>
    <row r="658" spans="1:9" x14ac:dyDescent="0.35">
      <c r="A658" s="22" t="s">
        <v>1242</v>
      </c>
      <c r="B658" s="22" t="s">
        <v>2856</v>
      </c>
      <c r="C658" s="22" t="s">
        <v>2358</v>
      </c>
      <c r="D658" s="22" t="s">
        <v>12</v>
      </c>
      <c r="E658" s="23">
        <v>10</v>
      </c>
      <c r="F658" s="23">
        <v>362.54</v>
      </c>
      <c r="G658" s="23">
        <v>3625.4</v>
      </c>
      <c r="H658" s="22" t="s">
        <v>1243</v>
      </c>
      <c r="I658" s="22" t="s">
        <v>2378</v>
      </c>
    </row>
    <row r="659" spans="1:9" x14ac:dyDescent="0.35">
      <c r="A659" s="22" t="s">
        <v>1244</v>
      </c>
      <c r="B659" s="22" t="s">
        <v>2614</v>
      </c>
      <c r="C659" s="22" t="s">
        <v>2349</v>
      </c>
      <c r="D659" s="22" t="s">
        <v>2347</v>
      </c>
      <c r="E659" s="23">
        <v>5</v>
      </c>
      <c r="F659" s="23">
        <v>428.74</v>
      </c>
      <c r="G659" s="23">
        <v>2565.5100000000002</v>
      </c>
      <c r="H659" s="22" t="s">
        <v>1245</v>
      </c>
      <c r="I659" s="22" t="s">
        <v>14</v>
      </c>
    </row>
    <row r="660" spans="1:9" x14ac:dyDescent="0.35">
      <c r="A660" s="22" t="s">
        <v>1246</v>
      </c>
      <c r="B660" s="22" t="s">
        <v>2857</v>
      </c>
      <c r="C660" s="22" t="s">
        <v>2349</v>
      </c>
      <c r="D660" s="22" t="s">
        <v>2347</v>
      </c>
      <c r="E660" s="23">
        <v>5</v>
      </c>
      <c r="F660" s="23">
        <v>135.91</v>
      </c>
      <c r="G660" s="23">
        <v>679.55</v>
      </c>
      <c r="H660" s="22" t="s">
        <v>1247</v>
      </c>
      <c r="I660" s="22" t="s">
        <v>2298</v>
      </c>
    </row>
    <row r="661" spans="1:9" x14ac:dyDescent="0.35">
      <c r="A661" s="22" t="s">
        <v>1248</v>
      </c>
      <c r="B661" s="22" t="s">
        <v>2422</v>
      </c>
      <c r="C661" s="22" t="s">
        <v>2346</v>
      </c>
      <c r="D661" s="22" t="s">
        <v>2343</v>
      </c>
      <c r="E661" s="23">
        <v>3</v>
      </c>
      <c r="F661" s="23">
        <v>20.25</v>
      </c>
      <c r="G661" s="23">
        <v>60.75</v>
      </c>
      <c r="H661" s="22" t="s">
        <v>1249</v>
      </c>
      <c r="I661" s="22" t="s">
        <v>2344</v>
      </c>
    </row>
    <row r="662" spans="1:9" x14ac:dyDescent="0.35">
      <c r="A662" s="22" t="s">
        <v>1250</v>
      </c>
      <c r="B662" s="22" t="s">
        <v>2858</v>
      </c>
      <c r="C662" s="22"/>
      <c r="D662" s="22" t="s">
        <v>2343</v>
      </c>
      <c r="E662" s="23">
        <v>4</v>
      </c>
      <c r="F662" s="23">
        <v>119.31</v>
      </c>
      <c r="G662" s="23">
        <v>477.24</v>
      </c>
      <c r="H662" s="22" t="s">
        <v>1251</v>
      </c>
      <c r="I662" s="22" t="s">
        <v>14</v>
      </c>
    </row>
    <row r="663" spans="1:9" x14ac:dyDescent="0.35">
      <c r="A663" s="22" t="s">
        <v>1252</v>
      </c>
      <c r="B663" s="22" t="s">
        <v>2859</v>
      </c>
      <c r="C663" s="22" t="s">
        <v>19</v>
      </c>
      <c r="D663" s="22" t="s">
        <v>12</v>
      </c>
      <c r="E663" s="23">
        <v>2</v>
      </c>
      <c r="F663" s="23">
        <v>37.69</v>
      </c>
      <c r="G663" s="23">
        <v>75.38</v>
      </c>
      <c r="H663" s="22" t="s">
        <v>1253</v>
      </c>
      <c r="I663" s="22" t="s">
        <v>50</v>
      </c>
    </row>
    <row r="664" spans="1:9" x14ac:dyDescent="0.35">
      <c r="A664" s="22" t="s">
        <v>1254</v>
      </c>
      <c r="B664" s="22" t="s">
        <v>2860</v>
      </c>
      <c r="C664" s="22" t="s">
        <v>2282</v>
      </c>
      <c r="D664" s="22" t="s">
        <v>12</v>
      </c>
      <c r="E664" s="23">
        <v>2</v>
      </c>
      <c r="F664" s="23">
        <v>60.66</v>
      </c>
      <c r="G664" s="23">
        <v>172.42</v>
      </c>
      <c r="H664" s="22" t="s">
        <v>1255</v>
      </c>
      <c r="I664" s="22" t="s">
        <v>2340</v>
      </c>
    </row>
    <row r="665" spans="1:9" x14ac:dyDescent="0.35">
      <c r="A665" s="22" t="s">
        <v>22</v>
      </c>
      <c r="B665" s="22" t="s">
        <v>2402</v>
      </c>
      <c r="C665" s="22" t="s">
        <v>19</v>
      </c>
      <c r="D665" s="22" t="s">
        <v>46</v>
      </c>
      <c r="E665" s="23">
        <v>9999</v>
      </c>
      <c r="F665" s="23">
        <v>221.44</v>
      </c>
      <c r="G665" s="23">
        <v>1550.08</v>
      </c>
      <c r="H665" s="22" t="s">
        <v>2861</v>
      </c>
      <c r="I665" s="22" t="s">
        <v>26</v>
      </c>
    </row>
    <row r="666" spans="1:9" x14ac:dyDescent="0.35">
      <c r="A666" s="22" t="s">
        <v>1256</v>
      </c>
      <c r="B666" s="22" t="s">
        <v>2862</v>
      </c>
      <c r="C666" s="22" t="s">
        <v>23</v>
      </c>
      <c r="D666" s="22" t="s">
        <v>12</v>
      </c>
      <c r="E666" s="23">
        <v>3</v>
      </c>
      <c r="F666" s="23">
        <v>122.66</v>
      </c>
      <c r="G666" s="23">
        <v>367.98</v>
      </c>
      <c r="H666" s="22" t="s">
        <v>1257</v>
      </c>
      <c r="I666" s="22" t="s">
        <v>2378</v>
      </c>
    </row>
    <row r="667" spans="1:9" x14ac:dyDescent="0.35">
      <c r="A667" s="22" t="s">
        <v>1258</v>
      </c>
      <c r="B667" s="22" t="s">
        <v>2863</v>
      </c>
      <c r="C667" s="22" t="s">
        <v>19</v>
      </c>
      <c r="D667" s="22" t="s">
        <v>12</v>
      </c>
      <c r="E667" s="23" t="s">
        <v>2351</v>
      </c>
      <c r="F667" s="23">
        <v>262.81</v>
      </c>
      <c r="G667" s="23">
        <v>262.81</v>
      </c>
      <c r="H667" s="22" t="s">
        <v>1259</v>
      </c>
      <c r="I667" s="22" t="s">
        <v>14</v>
      </c>
    </row>
    <row r="668" spans="1:9" x14ac:dyDescent="0.35">
      <c r="A668" s="22" t="s">
        <v>1260</v>
      </c>
      <c r="B668" s="22" t="s">
        <v>2864</v>
      </c>
      <c r="C668" s="22" t="s">
        <v>11</v>
      </c>
      <c r="D668" s="22" t="s">
        <v>24</v>
      </c>
      <c r="E668" s="23">
        <v>3</v>
      </c>
      <c r="F668" s="23">
        <v>134.21</v>
      </c>
      <c r="G668" s="23">
        <v>402.63</v>
      </c>
      <c r="H668" s="22" t="s">
        <v>1261</v>
      </c>
      <c r="I668" s="22" t="s">
        <v>2356</v>
      </c>
    </row>
    <row r="669" spans="1:9" x14ac:dyDescent="0.35">
      <c r="A669" s="22" t="s">
        <v>1262</v>
      </c>
      <c r="B669" s="22" t="s">
        <v>2450</v>
      </c>
      <c r="C669" s="22" t="s">
        <v>11</v>
      </c>
      <c r="D669" s="22" t="s">
        <v>32</v>
      </c>
      <c r="E669" s="23">
        <v>7</v>
      </c>
      <c r="F669" s="23">
        <v>470.86</v>
      </c>
      <c r="G669" s="23">
        <v>3296.02</v>
      </c>
      <c r="H669" s="22" t="s">
        <v>1263</v>
      </c>
      <c r="I669" s="22" t="s">
        <v>26</v>
      </c>
    </row>
    <row r="670" spans="1:9" x14ac:dyDescent="0.35">
      <c r="A670" s="22" t="s">
        <v>1264</v>
      </c>
      <c r="B670" s="22" t="s">
        <v>2865</v>
      </c>
      <c r="C670" s="22" t="s">
        <v>11</v>
      </c>
      <c r="D670" s="22" t="s">
        <v>2350</v>
      </c>
      <c r="E670" s="23">
        <v>5</v>
      </c>
      <c r="F670" s="23">
        <v>453.91</v>
      </c>
      <c r="G670" s="23">
        <v>2269.5500000000002</v>
      </c>
      <c r="H670" s="22" t="s">
        <v>49</v>
      </c>
      <c r="I670" s="22" t="s">
        <v>50</v>
      </c>
    </row>
    <row r="671" spans="1:9" x14ac:dyDescent="0.35">
      <c r="A671" s="22" t="s">
        <v>108</v>
      </c>
      <c r="B671" s="22" t="s">
        <v>2812</v>
      </c>
      <c r="C671" s="22"/>
      <c r="D671" s="22" t="s">
        <v>12</v>
      </c>
      <c r="E671" s="23">
        <v>5</v>
      </c>
      <c r="F671" s="23">
        <v>287.73</v>
      </c>
      <c r="G671" s="23">
        <v>1438.65</v>
      </c>
      <c r="H671" s="22" t="s">
        <v>2866</v>
      </c>
      <c r="I671" s="22" t="s">
        <v>50</v>
      </c>
    </row>
    <row r="672" spans="1:9" x14ac:dyDescent="0.35">
      <c r="A672" s="22" t="s">
        <v>1265</v>
      </c>
      <c r="B672" s="22" t="s">
        <v>2867</v>
      </c>
      <c r="C672" s="22" t="s">
        <v>2282</v>
      </c>
      <c r="D672" s="22" t="s">
        <v>2364</v>
      </c>
      <c r="E672" s="23" t="s">
        <v>2351</v>
      </c>
      <c r="F672" s="23" t="s">
        <v>332</v>
      </c>
      <c r="G672" s="23"/>
      <c r="H672" s="22" t="s">
        <v>1266</v>
      </c>
      <c r="I672" s="22" t="s">
        <v>50</v>
      </c>
    </row>
    <row r="673" spans="1:9" x14ac:dyDescent="0.35">
      <c r="A673" s="22" t="s">
        <v>1267</v>
      </c>
      <c r="B673" s="22" t="s">
        <v>2731</v>
      </c>
      <c r="C673" s="22" t="s">
        <v>23</v>
      </c>
      <c r="D673" s="22" t="s">
        <v>2350</v>
      </c>
      <c r="E673" s="23">
        <v>5</v>
      </c>
      <c r="F673" s="23">
        <v>196.76</v>
      </c>
      <c r="G673" s="23">
        <v>983.8</v>
      </c>
      <c r="H673" s="22" t="s">
        <v>1268</v>
      </c>
      <c r="I673" s="22" t="s">
        <v>2298</v>
      </c>
    </row>
    <row r="674" spans="1:9" x14ac:dyDescent="0.35">
      <c r="A674" s="22" t="s">
        <v>1269</v>
      </c>
      <c r="B674" s="22" t="s">
        <v>2427</v>
      </c>
      <c r="C674" s="22" t="s">
        <v>2349</v>
      </c>
      <c r="D674" s="22" t="s">
        <v>2364</v>
      </c>
      <c r="E674" s="23">
        <v>5</v>
      </c>
      <c r="F674" s="23">
        <v>211.81</v>
      </c>
      <c r="G674" s="23">
        <v>1059.05</v>
      </c>
      <c r="H674" s="22" t="s">
        <v>1270</v>
      </c>
      <c r="I674" s="22" t="s">
        <v>26</v>
      </c>
    </row>
    <row r="675" spans="1:9" x14ac:dyDescent="0.35">
      <c r="A675" s="22" t="s">
        <v>1271</v>
      </c>
      <c r="B675" s="22" t="s">
        <v>2792</v>
      </c>
      <c r="C675" s="22" t="s">
        <v>2349</v>
      </c>
      <c r="D675" s="22" t="s">
        <v>24</v>
      </c>
      <c r="E675" s="23">
        <v>3</v>
      </c>
      <c r="F675" s="23">
        <v>366.51</v>
      </c>
      <c r="G675" s="23">
        <v>1099.53</v>
      </c>
      <c r="H675" s="22" t="s">
        <v>1272</v>
      </c>
      <c r="I675" s="22" t="s">
        <v>2356</v>
      </c>
    </row>
    <row r="676" spans="1:9" x14ac:dyDescent="0.35">
      <c r="A676" s="22" t="s">
        <v>1273</v>
      </c>
      <c r="B676" s="22" t="s">
        <v>2868</v>
      </c>
      <c r="C676" s="22" t="s">
        <v>19</v>
      </c>
      <c r="D676" s="22" t="s">
        <v>46</v>
      </c>
      <c r="E676" s="23">
        <v>3</v>
      </c>
      <c r="F676" s="23">
        <v>-114.84</v>
      </c>
      <c r="G676" s="23">
        <v>693.9</v>
      </c>
      <c r="H676" s="22" t="s">
        <v>1274</v>
      </c>
      <c r="I676" s="22" t="s">
        <v>14</v>
      </c>
    </row>
    <row r="677" spans="1:9" x14ac:dyDescent="0.35">
      <c r="A677" s="22" t="s">
        <v>1275</v>
      </c>
      <c r="B677" s="22" t="s">
        <v>2869</v>
      </c>
      <c r="C677" s="22" t="s">
        <v>19</v>
      </c>
      <c r="D677" s="22" t="s">
        <v>46</v>
      </c>
      <c r="E677" s="23">
        <v>6</v>
      </c>
      <c r="F677" s="23">
        <v>429.8</v>
      </c>
      <c r="G677" s="23">
        <v>2578.8000000000002</v>
      </c>
      <c r="H677" s="22" t="s">
        <v>1276</v>
      </c>
      <c r="I677" s="22" t="s">
        <v>50</v>
      </c>
    </row>
    <row r="678" spans="1:9" x14ac:dyDescent="0.35">
      <c r="A678" s="22" t="s">
        <v>1277</v>
      </c>
      <c r="B678" s="22" t="s">
        <v>2430</v>
      </c>
      <c r="C678" s="22" t="s">
        <v>23</v>
      </c>
      <c r="D678" s="22" t="s">
        <v>12</v>
      </c>
      <c r="E678" s="23">
        <v>6</v>
      </c>
      <c r="F678" s="23">
        <v>472.61</v>
      </c>
      <c r="G678" s="23">
        <v>3221.16</v>
      </c>
      <c r="H678" s="22" t="s">
        <v>1278</v>
      </c>
      <c r="I678" s="22" t="s">
        <v>2356</v>
      </c>
    </row>
    <row r="679" spans="1:9" x14ac:dyDescent="0.35">
      <c r="A679" s="22" t="s">
        <v>1279</v>
      </c>
      <c r="B679" s="22" t="s">
        <v>2870</v>
      </c>
      <c r="C679" s="22" t="s">
        <v>2342</v>
      </c>
      <c r="D679" s="22" t="s">
        <v>2350</v>
      </c>
      <c r="E679" s="23">
        <v>4</v>
      </c>
      <c r="F679" s="23">
        <v>174.61</v>
      </c>
      <c r="G679" s="23">
        <v>698.44</v>
      </c>
      <c r="H679" s="22" t="s">
        <v>1280</v>
      </c>
      <c r="I679" s="22" t="s">
        <v>26</v>
      </c>
    </row>
    <row r="680" spans="1:9" x14ac:dyDescent="0.35">
      <c r="A680" s="22" t="s">
        <v>1281</v>
      </c>
      <c r="B680" s="22" t="s">
        <v>2871</v>
      </c>
      <c r="C680" s="22" t="s">
        <v>23</v>
      </c>
      <c r="D680" s="22" t="s">
        <v>2347</v>
      </c>
      <c r="E680" s="23">
        <v>9</v>
      </c>
      <c r="F680" s="23">
        <v>284.74</v>
      </c>
      <c r="G680" s="23">
        <v>2562.66</v>
      </c>
      <c r="H680" s="22" t="s">
        <v>1282</v>
      </c>
      <c r="I680" s="22" t="s">
        <v>2344</v>
      </c>
    </row>
    <row r="681" spans="1:9" x14ac:dyDescent="0.35">
      <c r="A681" s="22" t="s">
        <v>1283</v>
      </c>
      <c r="B681" s="22" t="s">
        <v>2872</v>
      </c>
      <c r="C681" s="22" t="s">
        <v>19</v>
      </c>
      <c r="D681" s="22" t="s">
        <v>2347</v>
      </c>
      <c r="E681" s="23">
        <v>6</v>
      </c>
      <c r="F681" s="23">
        <v>56.58</v>
      </c>
      <c r="G681" s="23">
        <v>339.48</v>
      </c>
      <c r="H681" s="22" t="s">
        <v>1284</v>
      </c>
      <c r="I681" s="22" t="s">
        <v>2298</v>
      </c>
    </row>
    <row r="682" spans="1:9" x14ac:dyDescent="0.35">
      <c r="A682" s="22" t="s">
        <v>1285</v>
      </c>
      <c r="B682" s="22"/>
      <c r="C682" s="22" t="s">
        <v>2358</v>
      </c>
      <c r="D682" s="22" t="s">
        <v>24</v>
      </c>
      <c r="E682" s="23">
        <v>5</v>
      </c>
      <c r="F682" s="23">
        <v>108.23</v>
      </c>
      <c r="G682" s="23">
        <v>541.15</v>
      </c>
      <c r="H682" s="22" t="s">
        <v>1286</v>
      </c>
      <c r="I682" s="22"/>
    </row>
    <row r="683" spans="1:9" x14ac:dyDescent="0.35">
      <c r="A683" s="22" t="s">
        <v>1287</v>
      </c>
      <c r="B683" s="22" t="s">
        <v>2873</v>
      </c>
      <c r="C683" s="22"/>
      <c r="D683" s="22" t="s">
        <v>46</v>
      </c>
      <c r="E683" s="23">
        <v>5</v>
      </c>
      <c r="F683" s="23">
        <v>212.6</v>
      </c>
      <c r="G683" s="23">
        <v>1063</v>
      </c>
      <c r="H683" s="22" t="s">
        <v>1288</v>
      </c>
      <c r="I683" s="22"/>
    </row>
    <row r="684" spans="1:9" x14ac:dyDescent="0.35">
      <c r="A684" s="22" t="s">
        <v>1289</v>
      </c>
      <c r="B684" s="22"/>
      <c r="C684" s="22"/>
      <c r="D684" s="22" t="s">
        <v>2350</v>
      </c>
      <c r="E684" s="23">
        <v>4</v>
      </c>
      <c r="F684" s="23">
        <v>111.04</v>
      </c>
      <c r="G684" s="23">
        <v>444.16</v>
      </c>
      <c r="H684" s="22"/>
      <c r="I684" s="22" t="s">
        <v>50</v>
      </c>
    </row>
    <row r="685" spans="1:9" x14ac:dyDescent="0.35">
      <c r="A685" s="22" t="s">
        <v>1290</v>
      </c>
      <c r="B685" s="22" t="s">
        <v>2874</v>
      </c>
      <c r="C685" s="22" t="s">
        <v>2346</v>
      </c>
      <c r="D685" s="22" t="s">
        <v>32</v>
      </c>
      <c r="E685" s="23">
        <v>10</v>
      </c>
      <c r="F685" s="23">
        <v>439.51</v>
      </c>
      <c r="G685" s="23"/>
      <c r="H685" s="22" t="s">
        <v>1291</v>
      </c>
      <c r="I685" s="22" t="s">
        <v>2378</v>
      </c>
    </row>
    <row r="686" spans="1:9" x14ac:dyDescent="0.35">
      <c r="A686" s="22" t="s">
        <v>1292</v>
      </c>
      <c r="B686" s="22" t="s">
        <v>2403</v>
      </c>
      <c r="C686" s="22" t="s">
        <v>19</v>
      </c>
      <c r="D686" s="22" t="s">
        <v>24</v>
      </c>
      <c r="E686" s="23">
        <v>6</v>
      </c>
      <c r="F686" s="23">
        <v>87.56</v>
      </c>
      <c r="G686" s="23">
        <v>525.36</v>
      </c>
      <c r="H686" s="22" t="s">
        <v>1293</v>
      </c>
      <c r="I686" s="22" t="s">
        <v>50</v>
      </c>
    </row>
    <row r="687" spans="1:9" x14ac:dyDescent="0.35">
      <c r="A687" s="22" t="s">
        <v>1294</v>
      </c>
      <c r="B687" s="22" t="s">
        <v>2875</v>
      </c>
      <c r="C687" s="22" t="s">
        <v>2282</v>
      </c>
      <c r="D687" s="22" t="s">
        <v>12</v>
      </c>
      <c r="E687" s="23">
        <v>2</v>
      </c>
      <c r="F687" s="23">
        <v>233.27</v>
      </c>
      <c r="G687" s="23">
        <v>466.54</v>
      </c>
      <c r="H687" s="22" t="s">
        <v>1295</v>
      </c>
      <c r="I687" s="22" t="s">
        <v>2344</v>
      </c>
    </row>
    <row r="688" spans="1:9" x14ac:dyDescent="0.35">
      <c r="A688" s="22" t="s">
        <v>1296</v>
      </c>
      <c r="B688" s="22" t="s">
        <v>2657</v>
      </c>
      <c r="C688" s="22" t="s">
        <v>2346</v>
      </c>
      <c r="D688" s="22" t="s">
        <v>2347</v>
      </c>
      <c r="E688" s="23">
        <v>4</v>
      </c>
      <c r="F688" s="23">
        <v>306.79000000000002</v>
      </c>
      <c r="G688" s="23">
        <v>1227.1600000000001</v>
      </c>
      <c r="H688" s="22" t="s">
        <v>49</v>
      </c>
      <c r="I688" s="22" t="s">
        <v>2356</v>
      </c>
    </row>
    <row r="689" spans="1:9" x14ac:dyDescent="0.35">
      <c r="A689" s="22" t="s">
        <v>1297</v>
      </c>
      <c r="B689" s="22" t="s">
        <v>2876</v>
      </c>
      <c r="C689" s="22" t="s">
        <v>16</v>
      </c>
      <c r="D689" s="22" t="s">
        <v>32</v>
      </c>
      <c r="E689" s="23">
        <v>3</v>
      </c>
      <c r="F689" s="23">
        <v>349.01</v>
      </c>
      <c r="G689" s="23">
        <v>1047.03</v>
      </c>
      <c r="H689" s="22"/>
      <c r="I689" s="22" t="s">
        <v>2340</v>
      </c>
    </row>
    <row r="690" spans="1:9" x14ac:dyDescent="0.35">
      <c r="A690" s="22" t="s">
        <v>1298</v>
      </c>
      <c r="B690" s="22" t="s">
        <v>2877</v>
      </c>
      <c r="C690" s="22" t="s">
        <v>19</v>
      </c>
      <c r="D690" s="22" t="s">
        <v>2364</v>
      </c>
      <c r="E690" s="23">
        <v>2</v>
      </c>
      <c r="F690" s="23">
        <v>197.7</v>
      </c>
      <c r="G690" s="23">
        <v>589.26</v>
      </c>
      <c r="H690" s="22" t="s">
        <v>1299</v>
      </c>
      <c r="I690" s="22" t="s">
        <v>50</v>
      </c>
    </row>
    <row r="691" spans="1:9" x14ac:dyDescent="0.35">
      <c r="A691" s="22" t="s">
        <v>1300</v>
      </c>
      <c r="B691" s="22" t="s">
        <v>2878</v>
      </c>
      <c r="C691" s="22" t="s">
        <v>2342</v>
      </c>
      <c r="D691" s="22" t="s">
        <v>2364</v>
      </c>
      <c r="E691" s="23">
        <v>9999</v>
      </c>
      <c r="F691" s="23">
        <v>435.86</v>
      </c>
      <c r="G691" s="23">
        <v>2179.3000000000002</v>
      </c>
      <c r="H691" s="22" t="s">
        <v>1301</v>
      </c>
      <c r="I691" s="22" t="s">
        <v>50</v>
      </c>
    </row>
    <row r="692" spans="1:9" x14ac:dyDescent="0.35">
      <c r="A692" s="22" t="s">
        <v>1302</v>
      </c>
      <c r="B692" s="22" t="s">
        <v>2827</v>
      </c>
      <c r="C692" s="22" t="s">
        <v>16</v>
      </c>
      <c r="D692" s="22" t="s">
        <v>24</v>
      </c>
      <c r="E692" s="23">
        <v>6</v>
      </c>
      <c r="F692" s="23" t="s">
        <v>332</v>
      </c>
      <c r="G692" s="23">
        <v>1730.88</v>
      </c>
      <c r="H692" s="22" t="s">
        <v>1303</v>
      </c>
      <c r="I692" s="22"/>
    </row>
    <row r="693" spans="1:9" x14ac:dyDescent="0.35">
      <c r="A693" s="22" t="s">
        <v>1304</v>
      </c>
      <c r="B693" s="22" t="s">
        <v>2879</v>
      </c>
      <c r="C693" s="22" t="s">
        <v>2346</v>
      </c>
      <c r="D693" s="22" t="s">
        <v>12</v>
      </c>
      <c r="E693" s="23">
        <v>5</v>
      </c>
      <c r="F693" s="23">
        <v>225.36</v>
      </c>
      <c r="G693" s="23">
        <v>1126.8</v>
      </c>
      <c r="H693" s="22" t="s">
        <v>1305</v>
      </c>
      <c r="I693" s="22" t="s">
        <v>2298</v>
      </c>
    </row>
    <row r="694" spans="1:9" x14ac:dyDescent="0.35">
      <c r="A694" s="22" t="s">
        <v>1306</v>
      </c>
      <c r="B694" s="22" t="s">
        <v>2880</v>
      </c>
      <c r="C694" s="22" t="s">
        <v>2349</v>
      </c>
      <c r="D694" s="22" t="s">
        <v>46</v>
      </c>
      <c r="E694" s="23">
        <v>10</v>
      </c>
      <c r="F694" s="23">
        <v>42.95</v>
      </c>
      <c r="G694" s="23">
        <v>429.5</v>
      </c>
      <c r="H694" s="22" t="s">
        <v>1307</v>
      </c>
      <c r="I694" s="22" t="s">
        <v>50</v>
      </c>
    </row>
    <row r="695" spans="1:9" x14ac:dyDescent="0.35">
      <c r="A695" s="22" t="s">
        <v>1308</v>
      </c>
      <c r="B695" s="22" t="s">
        <v>2881</v>
      </c>
      <c r="C695" s="22" t="s">
        <v>16</v>
      </c>
      <c r="D695" s="22" t="s">
        <v>46</v>
      </c>
      <c r="E695" s="23">
        <v>5</v>
      </c>
      <c r="F695" s="23">
        <v>237.7</v>
      </c>
      <c r="G695" s="23">
        <v>1188.5</v>
      </c>
      <c r="H695" s="22" t="s">
        <v>1309</v>
      </c>
      <c r="I695" s="22" t="s">
        <v>26</v>
      </c>
    </row>
    <row r="696" spans="1:9" x14ac:dyDescent="0.35">
      <c r="A696" s="22" t="s">
        <v>1310</v>
      </c>
      <c r="B696" s="22" t="s">
        <v>2882</v>
      </c>
      <c r="C696" s="22" t="s">
        <v>16</v>
      </c>
      <c r="D696" s="22" t="s">
        <v>46</v>
      </c>
      <c r="E696" s="23">
        <v>5</v>
      </c>
      <c r="F696" s="23">
        <v>412.16</v>
      </c>
      <c r="G696" s="23">
        <v>2060.8000000000002</v>
      </c>
      <c r="H696" s="22" t="s">
        <v>1311</v>
      </c>
      <c r="I696" s="22" t="s">
        <v>2340</v>
      </c>
    </row>
    <row r="697" spans="1:9" x14ac:dyDescent="0.35">
      <c r="A697" s="22" t="s">
        <v>1312</v>
      </c>
      <c r="B697" s="22" t="s">
        <v>2718</v>
      </c>
      <c r="C697" s="22" t="s">
        <v>11</v>
      </c>
      <c r="D697" s="22" t="s">
        <v>32</v>
      </c>
      <c r="E697" s="23">
        <v>4</v>
      </c>
      <c r="F697" s="23">
        <v>311.13</v>
      </c>
      <c r="G697" s="23">
        <v>1244.52</v>
      </c>
      <c r="H697" s="22" t="s">
        <v>49</v>
      </c>
      <c r="I697" s="22" t="s">
        <v>2340</v>
      </c>
    </row>
    <row r="698" spans="1:9" x14ac:dyDescent="0.35">
      <c r="A698" s="22" t="s">
        <v>1313</v>
      </c>
      <c r="B698" s="22" t="s">
        <v>2883</v>
      </c>
      <c r="C698" s="22" t="s">
        <v>2282</v>
      </c>
      <c r="D698" s="22" t="s">
        <v>2364</v>
      </c>
      <c r="E698" s="23">
        <v>4</v>
      </c>
      <c r="F698" s="23">
        <v>417.76</v>
      </c>
      <c r="G698" s="23">
        <v>1671.04</v>
      </c>
      <c r="H698" s="22" t="s">
        <v>1314</v>
      </c>
      <c r="I698" s="22" t="s">
        <v>2378</v>
      </c>
    </row>
    <row r="699" spans="1:9" x14ac:dyDescent="0.35">
      <c r="A699" s="22" t="s">
        <v>1315</v>
      </c>
      <c r="B699" s="22" t="s">
        <v>2640</v>
      </c>
      <c r="C699" s="22" t="s">
        <v>2349</v>
      </c>
      <c r="D699" s="22" t="s">
        <v>2350</v>
      </c>
      <c r="E699" s="23">
        <v>3</v>
      </c>
      <c r="F699" s="23">
        <v>252.07</v>
      </c>
      <c r="G699" s="23">
        <v>756.21</v>
      </c>
      <c r="H699" s="22" t="s">
        <v>1316</v>
      </c>
      <c r="I699" s="22" t="s">
        <v>50</v>
      </c>
    </row>
    <row r="700" spans="1:9" x14ac:dyDescent="0.35">
      <c r="A700" s="22" t="s">
        <v>1317</v>
      </c>
      <c r="B700" s="22" t="s">
        <v>2720</v>
      </c>
      <c r="C700" s="22" t="s">
        <v>2282</v>
      </c>
      <c r="D700" s="22" t="s">
        <v>24</v>
      </c>
      <c r="E700" s="23">
        <v>6</v>
      </c>
      <c r="F700" s="23">
        <v>68.05</v>
      </c>
      <c r="G700" s="23">
        <v>408.3</v>
      </c>
      <c r="H700" s="22" t="s">
        <v>1318</v>
      </c>
      <c r="I700" s="22" t="s">
        <v>2356</v>
      </c>
    </row>
    <row r="701" spans="1:9" x14ac:dyDescent="0.35">
      <c r="A701" s="22" t="s">
        <v>1319</v>
      </c>
      <c r="B701" s="22"/>
      <c r="C701" s="22" t="s">
        <v>2282</v>
      </c>
      <c r="D701" s="22" t="s">
        <v>2343</v>
      </c>
      <c r="E701" s="23">
        <v>4</v>
      </c>
      <c r="F701" s="23">
        <v>16.68</v>
      </c>
      <c r="G701" s="23">
        <v>66.72</v>
      </c>
      <c r="H701" s="22" t="s">
        <v>49</v>
      </c>
      <c r="I701" s="22" t="s">
        <v>2344</v>
      </c>
    </row>
    <row r="702" spans="1:9" x14ac:dyDescent="0.35">
      <c r="A702" s="22" t="s">
        <v>1320</v>
      </c>
      <c r="B702" s="22" t="s">
        <v>2795</v>
      </c>
      <c r="C702" s="22" t="s">
        <v>2349</v>
      </c>
      <c r="D702" s="22" t="s">
        <v>24</v>
      </c>
      <c r="E702" s="23" t="s">
        <v>2351</v>
      </c>
      <c r="F702" s="23">
        <v>158.58000000000001</v>
      </c>
      <c r="G702" s="23"/>
      <c r="H702" s="22" t="s">
        <v>1321</v>
      </c>
      <c r="I702" s="22" t="s">
        <v>2378</v>
      </c>
    </row>
    <row r="703" spans="1:9" x14ac:dyDescent="0.35">
      <c r="A703" s="22" t="s">
        <v>1322</v>
      </c>
      <c r="B703" s="22" t="s">
        <v>2884</v>
      </c>
      <c r="C703" s="22" t="s">
        <v>16</v>
      </c>
      <c r="D703" s="22" t="s">
        <v>32</v>
      </c>
      <c r="E703" s="23">
        <v>9</v>
      </c>
      <c r="F703" s="23">
        <v>352.02</v>
      </c>
      <c r="G703" s="23">
        <v>3168.18</v>
      </c>
      <c r="H703" s="22" t="s">
        <v>1323</v>
      </c>
      <c r="I703" s="22" t="s">
        <v>2298</v>
      </c>
    </row>
    <row r="704" spans="1:9" x14ac:dyDescent="0.35">
      <c r="A704" s="22" t="s">
        <v>1324</v>
      </c>
      <c r="B704" s="22" t="s">
        <v>2885</v>
      </c>
      <c r="C704" s="22" t="s">
        <v>2282</v>
      </c>
      <c r="D704" s="22" t="s">
        <v>2350</v>
      </c>
      <c r="E704" s="23">
        <v>5</v>
      </c>
      <c r="F704" s="23">
        <v>397.23</v>
      </c>
      <c r="G704" s="23">
        <v>2374.83</v>
      </c>
      <c r="H704" s="22" t="s">
        <v>1325</v>
      </c>
      <c r="I704" s="22" t="s">
        <v>26</v>
      </c>
    </row>
    <row r="705" spans="1:9" x14ac:dyDescent="0.35">
      <c r="A705" s="22" t="s">
        <v>1326</v>
      </c>
      <c r="B705" s="22" t="s">
        <v>2886</v>
      </c>
      <c r="C705" s="22" t="s">
        <v>11</v>
      </c>
      <c r="D705" s="22" t="s">
        <v>24</v>
      </c>
      <c r="E705" s="23">
        <v>9</v>
      </c>
      <c r="F705" s="23">
        <v>154.91999999999999</v>
      </c>
      <c r="G705" s="23">
        <v>1394.28</v>
      </c>
      <c r="H705" s="22"/>
      <c r="I705" s="22" t="s">
        <v>2356</v>
      </c>
    </row>
    <row r="706" spans="1:9" x14ac:dyDescent="0.35">
      <c r="A706" s="22" t="s">
        <v>1327</v>
      </c>
      <c r="B706" s="22" t="s">
        <v>2887</v>
      </c>
      <c r="C706" s="22" t="s">
        <v>19</v>
      </c>
      <c r="D706" s="22" t="s">
        <v>32</v>
      </c>
      <c r="E706" s="23">
        <v>-6</v>
      </c>
      <c r="F706" s="23">
        <v>252.87</v>
      </c>
      <c r="G706" s="23">
        <v>1264.3499999999999</v>
      </c>
      <c r="H706" s="22" t="s">
        <v>1328</v>
      </c>
      <c r="I706" s="22" t="s">
        <v>50</v>
      </c>
    </row>
    <row r="707" spans="1:9" x14ac:dyDescent="0.35">
      <c r="A707" s="22" t="s">
        <v>1329</v>
      </c>
      <c r="B707" s="22" t="s">
        <v>2888</v>
      </c>
      <c r="C707" s="22" t="s">
        <v>16</v>
      </c>
      <c r="D707" s="22" t="s">
        <v>46</v>
      </c>
      <c r="E707" s="23">
        <v>5</v>
      </c>
      <c r="F707" s="23">
        <v>216.35</v>
      </c>
      <c r="G707" s="23">
        <v>1081.75</v>
      </c>
      <c r="H707" s="22" t="s">
        <v>1330</v>
      </c>
      <c r="I707" s="22" t="s">
        <v>50</v>
      </c>
    </row>
    <row r="708" spans="1:9" x14ac:dyDescent="0.35">
      <c r="A708" s="22" t="s">
        <v>1331</v>
      </c>
      <c r="B708" s="22" t="s">
        <v>2889</v>
      </c>
      <c r="C708" s="22" t="s">
        <v>23</v>
      </c>
      <c r="D708" s="22" t="s">
        <v>32</v>
      </c>
      <c r="E708" s="23">
        <v>1</v>
      </c>
      <c r="F708" s="23">
        <v>211.16</v>
      </c>
      <c r="G708" s="23">
        <v>211.16</v>
      </c>
      <c r="H708" s="22" t="s">
        <v>1332</v>
      </c>
      <c r="I708" s="22" t="s">
        <v>2356</v>
      </c>
    </row>
    <row r="709" spans="1:9" x14ac:dyDescent="0.35">
      <c r="A709" s="22" t="s">
        <v>1333</v>
      </c>
      <c r="B709" s="22" t="s">
        <v>2890</v>
      </c>
      <c r="C709" s="22" t="s">
        <v>2358</v>
      </c>
      <c r="D709" s="22" t="s">
        <v>24</v>
      </c>
      <c r="E709" s="23">
        <v>5</v>
      </c>
      <c r="F709" s="23">
        <v>123.36</v>
      </c>
      <c r="G709" s="23">
        <v>616.79999999999995</v>
      </c>
      <c r="H709" s="22" t="s">
        <v>1334</v>
      </c>
      <c r="I709" s="22" t="s">
        <v>50</v>
      </c>
    </row>
    <row r="710" spans="1:9" x14ac:dyDescent="0.35">
      <c r="A710" s="22" t="s">
        <v>1335</v>
      </c>
      <c r="B710" s="22" t="s">
        <v>2764</v>
      </c>
      <c r="C710" s="22" t="s">
        <v>2342</v>
      </c>
      <c r="D710" s="22" t="s">
        <v>2364</v>
      </c>
      <c r="E710" s="23">
        <v>-6</v>
      </c>
      <c r="F710" s="23">
        <v>76.819999999999993</v>
      </c>
      <c r="G710" s="23">
        <v>614.55999999999995</v>
      </c>
      <c r="H710" s="22" t="s">
        <v>49</v>
      </c>
      <c r="I710" s="22" t="s">
        <v>2344</v>
      </c>
    </row>
    <row r="711" spans="1:9" x14ac:dyDescent="0.35">
      <c r="A711" s="22" t="s">
        <v>1336</v>
      </c>
      <c r="B711" s="22" t="s">
        <v>2379</v>
      </c>
      <c r="C711" s="22"/>
      <c r="D711" s="22" t="s">
        <v>24</v>
      </c>
      <c r="E711" s="23">
        <v>6</v>
      </c>
      <c r="F711" s="23">
        <v>106.38</v>
      </c>
      <c r="G711" s="23">
        <v>638.28</v>
      </c>
      <c r="H711" s="22" t="s">
        <v>1337</v>
      </c>
      <c r="I711" s="22" t="s">
        <v>2344</v>
      </c>
    </row>
    <row r="712" spans="1:9" x14ac:dyDescent="0.35">
      <c r="A712" s="22" t="s">
        <v>1338</v>
      </c>
      <c r="B712" s="22" t="s">
        <v>2489</v>
      </c>
      <c r="C712" s="22" t="s">
        <v>19</v>
      </c>
      <c r="D712" s="22" t="s">
        <v>2347</v>
      </c>
      <c r="E712" s="23">
        <v>2</v>
      </c>
      <c r="F712" s="23">
        <v>37.11</v>
      </c>
      <c r="G712" s="23">
        <v>385.24</v>
      </c>
      <c r="H712" s="22" t="s">
        <v>1339</v>
      </c>
      <c r="I712" s="22" t="s">
        <v>50</v>
      </c>
    </row>
    <row r="713" spans="1:9" x14ac:dyDescent="0.35">
      <c r="A713" s="22" t="s">
        <v>1340</v>
      </c>
      <c r="B713" s="22" t="s">
        <v>2891</v>
      </c>
      <c r="C713" s="22" t="s">
        <v>11</v>
      </c>
      <c r="D713" s="22" t="s">
        <v>2343</v>
      </c>
      <c r="E713" s="23">
        <v>5</v>
      </c>
      <c r="F713" s="23">
        <v>107.08</v>
      </c>
      <c r="G713" s="23">
        <v>535.4</v>
      </c>
      <c r="H713" s="22" t="s">
        <v>1341</v>
      </c>
      <c r="I713" s="22" t="s">
        <v>14</v>
      </c>
    </row>
    <row r="714" spans="1:9" x14ac:dyDescent="0.35">
      <c r="A714" s="22" t="s">
        <v>1342</v>
      </c>
      <c r="B714" s="22" t="s">
        <v>2892</v>
      </c>
      <c r="C714" s="22" t="s">
        <v>19</v>
      </c>
      <c r="D714" s="22" t="s">
        <v>32</v>
      </c>
      <c r="E714" s="23">
        <v>5</v>
      </c>
      <c r="F714" s="23">
        <v>14.51</v>
      </c>
      <c r="G714" s="23">
        <v>355.73</v>
      </c>
      <c r="H714" s="22" t="s">
        <v>1343</v>
      </c>
      <c r="I714" s="22" t="s">
        <v>2340</v>
      </c>
    </row>
    <row r="715" spans="1:9" x14ac:dyDescent="0.35">
      <c r="A715" s="22" t="s">
        <v>1344</v>
      </c>
      <c r="B715" s="22" t="s">
        <v>2544</v>
      </c>
      <c r="C715" s="22" t="s">
        <v>2346</v>
      </c>
      <c r="D715" s="22" t="s">
        <v>12</v>
      </c>
      <c r="E715" s="23">
        <v>4</v>
      </c>
      <c r="F715" s="23">
        <v>317.36</v>
      </c>
      <c r="G715" s="23">
        <v>1269.44</v>
      </c>
      <c r="H715" s="22" t="s">
        <v>1345</v>
      </c>
      <c r="I715" s="22" t="s">
        <v>2298</v>
      </c>
    </row>
    <row r="716" spans="1:9" x14ac:dyDescent="0.35">
      <c r="A716" s="22" t="s">
        <v>1346</v>
      </c>
      <c r="B716" s="22" t="s">
        <v>2576</v>
      </c>
      <c r="C716" s="22" t="s">
        <v>11</v>
      </c>
      <c r="D716" s="22" t="s">
        <v>2347</v>
      </c>
      <c r="E716" s="23">
        <v>6</v>
      </c>
      <c r="F716" s="23">
        <v>165.02</v>
      </c>
      <c r="G716" s="23">
        <v>990.12</v>
      </c>
      <c r="H716" s="22" t="s">
        <v>1347</v>
      </c>
      <c r="I716" s="22" t="s">
        <v>26</v>
      </c>
    </row>
    <row r="717" spans="1:9" x14ac:dyDescent="0.35">
      <c r="A717" s="22" t="s">
        <v>1348</v>
      </c>
      <c r="B717" s="22" t="s">
        <v>2893</v>
      </c>
      <c r="C717" s="22" t="s">
        <v>19</v>
      </c>
      <c r="D717" s="22" t="s">
        <v>24</v>
      </c>
      <c r="E717" s="23">
        <v>5</v>
      </c>
      <c r="F717" s="23">
        <v>486.84</v>
      </c>
      <c r="G717" s="23">
        <v>2434.1999999999998</v>
      </c>
      <c r="H717" s="22" t="s">
        <v>1349</v>
      </c>
      <c r="I717" s="22"/>
    </row>
    <row r="718" spans="1:9" x14ac:dyDescent="0.35">
      <c r="A718" s="22" t="s">
        <v>1350</v>
      </c>
      <c r="B718" s="22" t="s">
        <v>2894</v>
      </c>
      <c r="C718" s="22" t="s">
        <v>2282</v>
      </c>
      <c r="D718" s="22" t="s">
        <v>32</v>
      </c>
      <c r="E718" s="23">
        <v>6</v>
      </c>
      <c r="F718" s="23">
        <v>104.92</v>
      </c>
      <c r="G718" s="23">
        <v>629.52</v>
      </c>
      <c r="H718" s="22" t="s">
        <v>1351</v>
      </c>
      <c r="I718" s="22"/>
    </row>
    <row r="719" spans="1:9" x14ac:dyDescent="0.35">
      <c r="A719" s="22" t="s">
        <v>1352</v>
      </c>
      <c r="B719" s="22" t="s">
        <v>2348</v>
      </c>
      <c r="C719" s="22" t="s">
        <v>16</v>
      </c>
      <c r="D719" s="22" t="s">
        <v>2343</v>
      </c>
      <c r="E719" s="23">
        <v>5</v>
      </c>
      <c r="F719" s="23">
        <v>179.46</v>
      </c>
      <c r="G719" s="23">
        <v>897.3</v>
      </c>
      <c r="H719" s="22" t="s">
        <v>1353</v>
      </c>
      <c r="I719" s="22" t="s">
        <v>26</v>
      </c>
    </row>
    <row r="720" spans="1:9" x14ac:dyDescent="0.35">
      <c r="A720" s="22" t="s">
        <v>1354</v>
      </c>
      <c r="B720" s="22"/>
      <c r="C720" s="22" t="s">
        <v>2346</v>
      </c>
      <c r="D720" s="22" t="s">
        <v>46</v>
      </c>
      <c r="E720" s="23">
        <v>4</v>
      </c>
      <c r="F720" s="23">
        <v>185.34</v>
      </c>
      <c r="G720" s="23">
        <v>741.36</v>
      </c>
      <c r="H720" s="22" t="s">
        <v>1355</v>
      </c>
      <c r="I720" s="22"/>
    </row>
    <row r="721" spans="1:9" x14ac:dyDescent="0.35">
      <c r="A721" s="22" t="s">
        <v>1356</v>
      </c>
      <c r="B721" s="22" t="s">
        <v>2381</v>
      </c>
      <c r="C721" s="22" t="s">
        <v>2346</v>
      </c>
      <c r="D721" s="22" t="s">
        <v>2343</v>
      </c>
      <c r="E721" s="23">
        <v>7</v>
      </c>
      <c r="F721" s="23">
        <v>14.14</v>
      </c>
      <c r="G721" s="23"/>
      <c r="H721" s="22" t="s">
        <v>1357</v>
      </c>
      <c r="I721" s="22"/>
    </row>
    <row r="722" spans="1:9" x14ac:dyDescent="0.35">
      <c r="A722" s="22" t="s">
        <v>1358</v>
      </c>
      <c r="B722" s="22" t="s">
        <v>2895</v>
      </c>
      <c r="C722" s="22" t="s">
        <v>2346</v>
      </c>
      <c r="D722" s="22" t="s">
        <v>2347</v>
      </c>
      <c r="E722" s="23">
        <v>5</v>
      </c>
      <c r="F722" s="23">
        <v>421.21</v>
      </c>
      <c r="G722" s="23">
        <v>2106.0500000000002</v>
      </c>
      <c r="H722" s="22" t="s">
        <v>1359</v>
      </c>
      <c r="I722" s="22" t="s">
        <v>2344</v>
      </c>
    </row>
    <row r="723" spans="1:9" x14ac:dyDescent="0.35">
      <c r="A723" s="22" t="s">
        <v>1360</v>
      </c>
      <c r="B723" s="22" t="s">
        <v>2896</v>
      </c>
      <c r="C723" s="22" t="s">
        <v>23</v>
      </c>
      <c r="D723" s="22" t="s">
        <v>12</v>
      </c>
      <c r="E723" s="23">
        <v>7</v>
      </c>
      <c r="F723" s="23"/>
      <c r="G723" s="23">
        <v>179.76</v>
      </c>
      <c r="H723" s="22" t="s">
        <v>1361</v>
      </c>
      <c r="I723" s="22" t="s">
        <v>2378</v>
      </c>
    </row>
    <row r="724" spans="1:9" x14ac:dyDescent="0.35">
      <c r="A724" s="22" t="s">
        <v>1362</v>
      </c>
      <c r="B724" s="22" t="s">
        <v>2897</v>
      </c>
      <c r="C724" s="22" t="s">
        <v>19</v>
      </c>
      <c r="D724" s="22" t="s">
        <v>2364</v>
      </c>
      <c r="E724" s="23">
        <v>6</v>
      </c>
      <c r="F724" s="23">
        <v>470.69</v>
      </c>
      <c r="G724" s="23">
        <v>2824.14</v>
      </c>
      <c r="H724" s="22" t="s">
        <v>1363</v>
      </c>
      <c r="I724" s="22" t="s">
        <v>2340</v>
      </c>
    </row>
    <row r="725" spans="1:9" x14ac:dyDescent="0.35">
      <c r="A725" s="22" t="s">
        <v>1364</v>
      </c>
      <c r="B725" s="22" t="s">
        <v>2898</v>
      </c>
      <c r="C725" s="22" t="s">
        <v>16</v>
      </c>
      <c r="D725" s="22" t="s">
        <v>2347</v>
      </c>
      <c r="E725" s="23">
        <v>4</v>
      </c>
      <c r="F725" s="23">
        <v>447.12</v>
      </c>
      <c r="G725" s="23">
        <v>1788.48</v>
      </c>
      <c r="H725" s="22" t="s">
        <v>1365</v>
      </c>
      <c r="I725" s="22" t="s">
        <v>2298</v>
      </c>
    </row>
    <row r="726" spans="1:9" x14ac:dyDescent="0.35">
      <c r="A726" s="22" t="s">
        <v>1366</v>
      </c>
      <c r="B726" s="22" t="s">
        <v>2899</v>
      </c>
      <c r="C726" s="22" t="s">
        <v>16</v>
      </c>
      <c r="D726" s="22" t="s">
        <v>2350</v>
      </c>
      <c r="E726" s="23">
        <v>8</v>
      </c>
      <c r="F726" s="23">
        <v>272.41000000000003</v>
      </c>
      <c r="G726" s="23">
        <v>2179.2800000000002</v>
      </c>
      <c r="H726" s="22" t="s">
        <v>1367</v>
      </c>
      <c r="I726" s="22" t="s">
        <v>2340</v>
      </c>
    </row>
    <row r="727" spans="1:9" x14ac:dyDescent="0.35">
      <c r="A727" s="22" t="s">
        <v>1368</v>
      </c>
      <c r="B727" s="22" t="s">
        <v>2900</v>
      </c>
      <c r="C727" s="22" t="s">
        <v>2282</v>
      </c>
      <c r="D727" s="22" t="s">
        <v>46</v>
      </c>
      <c r="E727" s="23">
        <v>9999</v>
      </c>
      <c r="F727" s="23">
        <v>276.36</v>
      </c>
      <c r="G727" s="23">
        <v>1105.44</v>
      </c>
      <c r="H727" s="22" t="s">
        <v>1369</v>
      </c>
      <c r="I727" s="22" t="s">
        <v>2340</v>
      </c>
    </row>
    <row r="728" spans="1:9" x14ac:dyDescent="0.35">
      <c r="A728" s="22" t="s">
        <v>1370</v>
      </c>
      <c r="B728" s="22" t="s">
        <v>2901</v>
      </c>
      <c r="C728" s="22" t="s">
        <v>11</v>
      </c>
      <c r="D728" s="22" t="s">
        <v>2364</v>
      </c>
      <c r="E728" s="23">
        <v>3</v>
      </c>
      <c r="F728" s="23" t="s">
        <v>332</v>
      </c>
      <c r="G728" s="23">
        <v>991.05</v>
      </c>
      <c r="H728" s="22" t="s">
        <v>1371</v>
      </c>
      <c r="I728" s="22" t="s">
        <v>2378</v>
      </c>
    </row>
    <row r="729" spans="1:9" x14ac:dyDescent="0.35">
      <c r="A729" s="22" t="s">
        <v>1372</v>
      </c>
      <c r="B729" s="22" t="s">
        <v>2902</v>
      </c>
      <c r="C729" s="22"/>
      <c r="D729" s="22" t="s">
        <v>24</v>
      </c>
      <c r="E729" s="23">
        <v>5</v>
      </c>
      <c r="F729" s="23">
        <v>199.65</v>
      </c>
      <c r="G729" s="23">
        <v>998.25</v>
      </c>
      <c r="H729" s="22" t="s">
        <v>1373</v>
      </c>
      <c r="I729" s="22" t="s">
        <v>26</v>
      </c>
    </row>
    <row r="730" spans="1:9" x14ac:dyDescent="0.35">
      <c r="A730" s="22" t="s">
        <v>1374</v>
      </c>
      <c r="B730" s="22" t="s">
        <v>2371</v>
      </c>
      <c r="C730" s="22" t="s">
        <v>2358</v>
      </c>
      <c r="D730" s="22" t="s">
        <v>24</v>
      </c>
      <c r="E730" s="23">
        <v>-1</v>
      </c>
      <c r="F730" s="23">
        <v>327.14</v>
      </c>
      <c r="G730" s="23">
        <v>3271.4</v>
      </c>
      <c r="H730" s="22" t="s">
        <v>1375</v>
      </c>
      <c r="I730" s="22" t="s">
        <v>2344</v>
      </c>
    </row>
    <row r="731" spans="1:9" x14ac:dyDescent="0.35">
      <c r="A731" s="22" t="s">
        <v>1376</v>
      </c>
      <c r="B731" s="22" t="s">
        <v>2903</v>
      </c>
      <c r="C731" s="22" t="s">
        <v>11</v>
      </c>
      <c r="D731" s="22" t="s">
        <v>46</v>
      </c>
      <c r="E731" s="23">
        <v>6</v>
      </c>
      <c r="F731" s="23">
        <v>31.94</v>
      </c>
      <c r="G731" s="23">
        <v>191.64</v>
      </c>
      <c r="H731" s="22" t="s">
        <v>49</v>
      </c>
      <c r="I731" s="22" t="s">
        <v>50</v>
      </c>
    </row>
    <row r="732" spans="1:9" x14ac:dyDescent="0.35">
      <c r="A732" s="22" t="s">
        <v>1377</v>
      </c>
      <c r="B732" s="22" t="s">
        <v>2446</v>
      </c>
      <c r="C732" s="22" t="s">
        <v>23</v>
      </c>
      <c r="D732" s="22" t="s">
        <v>32</v>
      </c>
      <c r="E732" s="23">
        <v>4</v>
      </c>
      <c r="F732" s="23">
        <v>36.479999999999997</v>
      </c>
      <c r="G732" s="23">
        <v>564.4</v>
      </c>
      <c r="H732" s="22" t="s">
        <v>1378</v>
      </c>
      <c r="I732" s="22"/>
    </row>
    <row r="733" spans="1:9" x14ac:dyDescent="0.35">
      <c r="A733" s="22" t="s">
        <v>1379</v>
      </c>
      <c r="B733" s="22" t="s">
        <v>2904</v>
      </c>
      <c r="C733" s="22"/>
      <c r="D733" s="22" t="s">
        <v>12</v>
      </c>
      <c r="E733" s="23">
        <v>3</v>
      </c>
      <c r="F733" s="23">
        <v>234.04</v>
      </c>
      <c r="G733" s="23">
        <v>702.12</v>
      </c>
      <c r="H733" s="22" t="s">
        <v>1380</v>
      </c>
      <c r="I733" s="22" t="s">
        <v>50</v>
      </c>
    </row>
    <row r="734" spans="1:9" x14ac:dyDescent="0.35">
      <c r="A734" s="22" t="s">
        <v>1381</v>
      </c>
      <c r="B734" s="22" t="s">
        <v>2455</v>
      </c>
      <c r="C734" s="22" t="s">
        <v>19</v>
      </c>
      <c r="D734" s="22" t="s">
        <v>2364</v>
      </c>
      <c r="E734" s="23">
        <v>3</v>
      </c>
      <c r="F734" s="23"/>
      <c r="G734" s="23">
        <v>837.93</v>
      </c>
      <c r="H734" s="22" t="s">
        <v>1382</v>
      </c>
      <c r="I734" s="22" t="s">
        <v>2378</v>
      </c>
    </row>
    <row r="735" spans="1:9" x14ac:dyDescent="0.35">
      <c r="A735" s="22" t="s">
        <v>1383</v>
      </c>
      <c r="B735" s="22" t="s">
        <v>2905</v>
      </c>
      <c r="C735" s="22"/>
      <c r="D735" s="22" t="s">
        <v>2343</v>
      </c>
      <c r="E735" s="23">
        <v>5</v>
      </c>
      <c r="F735" s="23">
        <v>445.03</v>
      </c>
      <c r="G735" s="23">
        <v>2225.15</v>
      </c>
      <c r="H735" s="22" t="s">
        <v>1384</v>
      </c>
      <c r="I735" s="22" t="s">
        <v>2344</v>
      </c>
    </row>
    <row r="736" spans="1:9" x14ac:dyDescent="0.35">
      <c r="A736" s="22" t="s">
        <v>1385</v>
      </c>
      <c r="B736" s="22" t="s">
        <v>2906</v>
      </c>
      <c r="C736" s="22" t="s">
        <v>11</v>
      </c>
      <c r="D736" s="22" t="s">
        <v>2350</v>
      </c>
      <c r="E736" s="23">
        <v>2</v>
      </c>
      <c r="F736" s="23">
        <v>61.28</v>
      </c>
      <c r="G736" s="23">
        <v>122.56</v>
      </c>
      <c r="H736" s="22" t="s">
        <v>1386</v>
      </c>
      <c r="I736" s="22" t="s">
        <v>2378</v>
      </c>
    </row>
    <row r="737" spans="1:9" x14ac:dyDescent="0.35">
      <c r="A737" s="22" t="s">
        <v>1387</v>
      </c>
      <c r="B737" s="22" t="s">
        <v>2397</v>
      </c>
      <c r="C737" s="22" t="s">
        <v>11</v>
      </c>
      <c r="D737" s="22" t="s">
        <v>24</v>
      </c>
      <c r="E737" s="23">
        <v>6</v>
      </c>
      <c r="F737" s="23">
        <v>413.1</v>
      </c>
      <c r="G737" s="23">
        <v>2478.6</v>
      </c>
      <c r="H737" s="22" t="s">
        <v>1388</v>
      </c>
      <c r="I737" s="22" t="s">
        <v>2340</v>
      </c>
    </row>
    <row r="738" spans="1:9" x14ac:dyDescent="0.35">
      <c r="A738" s="22" t="s">
        <v>1389</v>
      </c>
      <c r="B738" s="22" t="s">
        <v>2907</v>
      </c>
      <c r="C738" s="22" t="s">
        <v>2282</v>
      </c>
      <c r="D738" s="22" t="s">
        <v>12</v>
      </c>
      <c r="E738" s="23">
        <v>9999</v>
      </c>
      <c r="F738" s="23">
        <v>112.92</v>
      </c>
      <c r="G738" s="23">
        <v>225.84</v>
      </c>
      <c r="H738" s="22" t="s">
        <v>1390</v>
      </c>
      <c r="I738" s="22" t="s">
        <v>26</v>
      </c>
    </row>
    <row r="739" spans="1:9" x14ac:dyDescent="0.35">
      <c r="A739" s="22" t="s">
        <v>1391</v>
      </c>
      <c r="B739" s="22" t="s">
        <v>2908</v>
      </c>
      <c r="C739" s="22" t="s">
        <v>2358</v>
      </c>
      <c r="D739" s="22" t="s">
        <v>12</v>
      </c>
      <c r="E739" s="23">
        <v>5</v>
      </c>
      <c r="F739" s="23">
        <v>203.1</v>
      </c>
      <c r="G739" s="23">
        <v>1015.5</v>
      </c>
      <c r="H739" s="22" t="s">
        <v>1392</v>
      </c>
      <c r="I739" s="22" t="s">
        <v>2340</v>
      </c>
    </row>
    <row r="740" spans="1:9" x14ac:dyDescent="0.35">
      <c r="A740" s="22" t="s">
        <v>1393</v>
      </c>
      <c r="B740" s="22" t="s">
        <v>2909</v>
      </c>
      <c r="C740" s="22" t="s">
        <v>2349</v>
      </c>
      <c r="D740" s="22" t="s">
        <v>12</v>
      </c>
      <c r="E740" s="23">
        <v>2</v>
      </c>
      <c r="F740" s="23">
        <v>165.14</v>
      </c>
      <c r="G740" s="23">
        <v>330.28</v>
      </c>
      <c r="H740" s="22" t="s">
        <v>1394</v>
      </c>
      <c r="I740" s="22" t="s">
        <v>50</v>
      </c>
    </row>
    <row r="741" spans="1:9" x14ac:dyDescent="0.35">
      <c r="A741" s="22" t="s">
        <v>1395</v>
      </c>
      <c r="B741" s="22" t="s">
        <v>2910</v>
      </c>
      <c r="C741" s="22" t="s">
        <v>2342</v>
      </c>
      <c r="D741" s="22" t="s">
        <v>32</v>
      </c>
      <c r="E741" s="23">
        <v>6</v>
      </c>
      <c r="F741" s="23">
        <v>206.08</v>
      </c>
      <c r="G741" s="23">
        <v>1236.48</v>
      </c>
      <c r="H741" s="22" t="s">
        <v>1396</v>
      </c>
      <c r="I741" s="22" t="s">
        <v>2298</v>
      </c>
    </row>
    <row r="742" spans="1:9" x14ac:dyDescent="0.35">
      <c r="A742" s="22" t="s">
        <v>1397</v>
      </c>
      <c r="B742" s="22" t="s">
        <v>2911</v>
      </c>
      <c r="C742" s="22" t="s">
        <v>2349</v>
      </c>
      <c r="D742" s="22" t="s">
        <v>46</v>
      </c>
      <c r="E742" s="23">
        <v>3</v>
      </c>
      <c r="F742" s="23">
        <v>83.74</v>
      </c>
      <c r="G742" s="23">
        <v>251.22</v>
      </c>
      <c r="H742" s="22" t="s">
        <v>1398</v>
      </c>
      <c r="I742" s="22" t="s">
        <v>2356</v>
      </c>
    </row>
    <row r="743" spans="1:9" x14ac:dyDescent="0.35">
      <c r="A743" s="22" t="s">
        <v>1399</v>
      </c>
      <c r="B743" s="22" t="s">
        <v>2912</v>
      </c>
      <c r="C743" s="22" t="s">
        <v>2349</v>
      </c>
      <c r="D743" s="22" t="s">
        <v>32</v>
      </c>
      <c r="E743" s="23">
        <v>5</v>
      </c>
      <c r="F743" s="23">
        <v>256.75</v>
      </c>
      <c r="G743" s="23">
        <v>1700.31</v>
      </c>
      <c r="H743" s="22" t="s">
        <v>1400</v>
      </c>
      <c r="I743" s="22" t="s">
        <v>14</v>
      </c>
    </row>
    <row r="744" spans="1:9" x14ac:dyDescent="0.35">
      <c r="A744" s="22" t="s">
        <v>1401</v>
      </c>
      <c r="B744" s="22" t="s">
        <v>2913</v>
      </c>
      <c r="C744" s="22" t="s">
        <v>19</v>
      </c>
      <c r="D744" s="22" t="s">
        <v>24</v>
      </c>
      <c r="E744" s="23">
        <v>2</v>
      </c>
      <c r="F744" s="23">
        <v>402.8</v>
      </c>
      <c r="G744" s="23">
        <v>805.6</v>
      </c>
      <c r="H744" s="22" t="s">
        <v>1402</v>
      </c>
      <c r="I744" s="22" t="s">
        <v>2298</v>
      </c>
    </row>
    <row r="745" spans="1:9" x14ac:dyDescent="0.35">
      <c r="A745" s="22" t="s">
        <v>1403</v>
      </c>
      <c r="B745" s="22" t="s">
        <v>2914</v>
      </c>
      <c r="C745" s="22" t="s">
        <v>2342</v>
      </c>
      <c r="D745" s="22" t="s">
        <v>32</v>
      </c>
      <c r="E745" s="23">
        <v>6</v>
      </c>
      <c r="F745" s="23">
        <v>226.35</v>
      </c>
      <c r="G745" s="23">
        <v>1358.1</v>
      </c>
      <c r="H745" s="22" t="s">
        <v>1404</v>
      </c>
      <c r="I745" s="22"/>
    </row>
    <row r="746" spans="1:9" x14ac:dyDescent="0.35">
      <c r="A746" s="22" t="s">
        <v>1405</v>
      </c>
      <c r="B746" s="22" t="s">
        <v>2915</v>
      </c>
      <c r="C746" s="22" t="s">
        <v>2346</v>
      </c>
      <c r="D746" s="22" t="s">
        <v>2343</v>
      </c>
      <c r="E746" s="23">
        <v>6</v>
      </c>
      <c r="F746" s="23">
        <v>250.4</v>
      </c>
      <c r="G746" s="23">
        <v>1502.4</v>
      </c>
      <c r="H746" s="22" t="s">
        <v>1406</v>
      </c>
      <c r="I746" s="22" t="s">
        <v>2344</v>
      </c>
    </row>
    <row r="747" spans="1:9" x14ac:dyDescent="0.35">
      <c r="A747" s="22" t="s">
        <v>1407</v>
      </c>
      <c r="B747" s="22" t="s">
        <v>2916</v>
      </c>
      <c r="C747" s="22" t="s">
        <v>16</v>
      </c>
      <c r="D747" s="22" t="s">
        <v>24</v>
      </c>
      <c r="E747" s="23">
        <v>7</v>
      </c>
      <c r="F747" s="23">
        <v>425.9</v>
      </c>
      <c r="G747" s="23">
        <v>2981.3</v>
      </c>
      <c r="H747" s="22" t="s">
        <v>1408</v>
      </c>
      <c r="I747" s="22" t="s">
        <v>26</v>
      </c>
    </row>
    <row r="748" spans="1:9" x14ac:dyDescent="0.35">
      <c r="A748" s="22" t="s">
        <v>1409</v>
      </c>
      <c r="B748" s="22" t="s">
        <v>2397</v>
      </c>
      <c r="C748" s="22" t="s">
        <v>2346</v>
      </c>
      <c r="D748" s="22" t="s">
        <v>32</v>
      </c>
      <c r="E748" s="23">
        <v>6</v>
      </c>
      <c r="F748" s="23">
        <v>355.97</v>
      </c>
      <c r="G748" s="23">
        <v>2135.8200000000002</v>
      </c>
      <c r="H748" s="22" t="s">
        <v>1410</v>
      </c>
      <c r="I748" s="22" t="s">
        <v>14</v>
      </c>
    </row>
    <row r="749" spans="1:9" x14ac:dyDescent="0.35">
      <c r="A749" s="22" t="s">
        <v>1411</v>
      </c>
      <c r="B749" s="22" t="s">
        <v>2875</v>
      </c>
      <c r="C749" s="22" t="s">
        <v>2282</v>
      </c>
      <c r="D749" s="22" t="s">
        <v>46</v>
      </c>
      <c r="E749" s="23">
        <v>6</v>
      </c>
      <c r="F749" s="23">
        <v>250.32</v>
      </c>
      <c r="G749" s="23">
        <v>1501.92</v>
      </c>
      <c r="H749" s="22" t="s">
        <v>49</v>
      </c>
      <c r="I749" s="22" t="s">
        <v>2356</v>
      </c>
    </row>
    <row r="750" spans="1:9" x14ac:dyDescent="0.35">
      <c r="A750" s="22" t="s">
        <v>1412</v>
      </c>
      <c r="B750" s="22" t="s">
        <v>2865</v>
      </c>
      <c r="C750" s="22" t="s">
        <v>19</v>
      </c>
      <c r="D750" s="22" t="s">
        <v>2350</v>
      </c>
      <c r="E750" s="23"/>
      <c r="F750" s="23">
        <v>-187.29</v>
      </c>
      <c r="G750" s="23">
        <v>905.95</v>
      </c>
      <c r="H750" s="22" t="s">
        <v>1413</v>
      </c>
      <c r="I750" s="22" t="s">
        <v>2298</v>
      </c>
    </row>
    <row r="751" spans="1:9" x14ac:dyDescent="0.35">
      <c r="A751" s="22" t="s">
        <v>1414</v>
      </c>
      <c r="B751" s="22" t="s">
        <v>2492</v>
      </c>
      <c r="C751" s="22" t="s">
        <v>2282</v>
      </c>
      <c r="D751" s="22" t="s">
        <v>12</v>
      </c>
      <c r="E751" s="23">
        <v>4</v>
      </c>
      <c r="F751" s="23">
        <v>443.61</v>
      </c>
      <c r="G751" s="23">
        <v>1774.44</v>
      </c>
      <c r="H751" s="22" t="s">
        <v>1415</v>
      </c>
      <c r="I751" s="22" t="s">
        <v>2298</v>
      </c>
    </row>
    <row r="752" spans="1:9" x14ac:dyDescent="0.35">
      <c r="A752" s="22" t="s">
        <v>1416</v>
      </c>
      <c r="B752" s="22" t="s">
        <v>2499</v>
      </c>
      <c r="C752" s="22" t="s">
        <v>2349</v>
      </c>
      <c r="D752" s="22" t="s">
        <v>2343</v>
      </c>
      <c r="E752" s="23">
        <v>7</v>
      </c>
      <c r="F752" s="23">
        <v>292.74</v>
      </c>
      <c r="G752" s="23">
        <v>2447.79</v>
      </c>
      <c r="H752" s="22" t="s">
        <v>1417</v>
      </c>
      <c r="I752" s="22" t="s">
        <v>2298</v>
      </c>
    </row>
    <row r="753" spans="1:9" x14ac:dyDescent="0.35">
      <c r="A753" s="22" t="s">
        <v>1418</v>
      </c>
      <c r="B753" s="22" t="s">
        <v>2371</v>
      </c>
      <c r="C753" s="22" t="s">
        <v>2349</v>
      </c>
      <c r="D753" s="22" t="s">
        <v>2350</v>
      </c>
      <c r="E753" s="23"/>
      <c r="F753" s="23">
        <v>118.36</v>
      </c>
      <c r="G753" s="23">
        <v>591.79999999999995</v>
      </c>
      <c r="H753" s="22"/>
      <c r="I753" s="22" t="s">
        <v>2298</v>
      </c>
    </row>
    <row r="754" spans="1:9" x14ac:dyDescent="0.35">
      <c r="A754" s="22" t="s">
        <v>1419</v>
      </c>
      <c r="B754" s="22" t="s">
        <v>2917</v>
      </c>
      <c r="C754" s="22"/>
      <c r="D754" s="22" t="s">
        <v>2347</v>
      </c>
      <c r="E754" s="23">
        <v>5</v>
      </c>
      <c r="F754" s="23">
        <v>141.87</v>
      </c>
      <c r="G754" s="23">
        <v>807.87</v>
      </c>
      <c r="H754" s="22" t="s">
        <v>1420</v>
      </c>
      <c r="I754" s="22" t="s">
        <v>2356</v>
      </c>
    </row>
    <row r="755" spans="1:9" x14ac:dyDescent="0.35">
      <c r="A755" s="22" t="s">
        <v>1421</v>
      </c>
      <c r="B755" s="22" t="s">
        <v>2843</v>
      </c>
      <c r="C755" s="22" t="s">
        <v>2282</v>
      </c>
      <c r="D755" s="22" t="s">
        <v>2343</v>
      </c>
      <c r="E755" s="23">
        <v>8</v>
      </c>
      <c r="F755" s="23">
        <v>403.54</v>
      </c>
      <c r="G755" s="23">
        <v>3228.32</v>
      </c>
      <c r="H755" s="22" t="s">
        <v>1422</v>
      </c>
      <c r="I755" s="22" t="s">
        <v>2298</v>
      </c>
    </row>
    <row r="756" spans="1:9" x14ac:dyDescent="0.35">
      <c r="A756" s="22" t="s">
        <v>1423</v>
      </c>
      <c r="B756" s="22" t="s">
        <v>2447</v>
      </c>
      <c r="C756" s="22" t="s">
        <v>16</v>
      </c>
      <c r="D756" s="22" t="s">
        <v>46</v>
      </c>
      <c r="E756" s="23">
        <v>4</v>
      </c>
      <c r="F756" s="23">
        <v>31.63</v>
      </c>
      <c r="G756" s="23">
        <v>126.52</v>
      </c>
      <c r="H756" s="22"/>
      <c r="I756" s="22" t="s">
        <v>2344</v>
      </c>
    </row>
    <row r="757" spans="1:9" x14ac:dyDescent="0.35">
      <c r="A757" s="22" t="s">
        <v>1424</v>
      </c>
      <c r="B757" s="22" t="s">
        <v>2708</v>
      </c>
      <c r="C757" s="22" t="s">
        <v>23</v>
      </c>
      <c r="D757" s="22" t="s">
        <v>2343</v>
      </c>
      <c r="E757" s="23">
        <v>2</v>
      </c>
      <c r="F757" s="23">
        <v>496.13</v>
      </c>
      <c r="G757" s="23">
        <v>1095.77</v>
      </c>
      <c r="H757" s="22" t="s">
        <v>1425</v>
      </c>
      <c r="I757" s="22" t="s">
        <v>14</v>
      </c>
    </row>
    <row r="758" spans="1:9" x14ac:dyDescent="0.35">
      <c r="A758" s="22" t="s">
        <v>1426</v>
      </c>
      <c r="B758" s="22" t="s">
        <v>2918</v>
      </c>
      <c r="C758" s="22" t="s">
        <v>2358</v>
      </c>
      <c r="D758" s="22" t="s">
        <v>46</v>
      </c>
      <c r="E758" s="23">
        <v>3</v>
      </c>
      <c r="F758" s="23">
        <v>73.87</v>
      </c>
      <c r="G758" s="23">
        <v>221.61</v>
      </c>
      <c r="H758" s="22" t="s">
        <v>1427</v>
      </c>
      <c r="I758" s="22" t="s">
        <v>26</v>
      </c>
    </row>
    <row r="759" spans="1:9" x14ac:dyDescent="0.35">
      <c r="A759" s="22" t="s">
        <v>1428</v>
      </c>
      <c r="B759" s="22" t="s">
        <v>2919</v>
      </c>
      <c r="C759" s="22" t="s">
        <v>2349</v>
      </c>
      <c r="D759" s="22" t="s">
        <v>2350</v>
      </c>
      <c r="E759" s="23">
        <v>4</v>
      </c>
      <c r="F759" s="23">
        <v>400.07</v>
      </c>
      <c r="G759" s="23">
        <v>1950.69</v>
      </c>
      <c r="H759" s="22" t="s">
        <v>1429</v>
      </c>
      <c r="I759" s="22" t="s">
        <v>2298</v>
      </c>
    </row>
    <row r="760" spans="1:9" x14ac:dyDescent="0.35">
      <c r="A760" s="22" t="s">
        <v>1430</v>
      </c>
      <c r="B760" s="22" t="s">
        <v>2920</v>
      </c>
      <c r="C760" s="22" t="s">
        <v>16</v>
      </c>
      <c r="D760" s="22" t="s">
        <v>2343</v>
      </c>
      <c r="E760" s="23">
        <v>6</v>
      </c>
      <c r="F760" s="23">
        <v>203.44</v>
      </c>
      <c r="G760" s="23">
        <v>1220.6400000000001</v>
      </c>
      <c r="H760" s="22" t="s">
        <v>1431</v>
      </c>
      <c r="I760" s="22" t="s">
        <v>14</v>
      </c>
    </row>
    <row r="761" spans="1:9" x14ac:dyDescent="0.35">
      <c r="A761" s="22" t="s">
        <v>1432</v>
      </c>
      <c r="B761" s="22" t="s">
        <v>2921</v>
      </c>
      <c r="C761" s="22" t="s">
        <v>2349</v>
      </c>
      <c r="D761" s="22" t="s">
        <v>32</v>
      </c>
      <c r="E761" s="23">
        <v>9</v>
      </c>
      <c r="F761" s="23">
        <v>251.19</v>
      </c>
      <c r="G761" s="23">
        <v>2260.71</v>
      </c>
      <c r="H761" s="22" t="s">
        <v>1433</v>
      </c>
      <c r="I761" s="22" t="s">
        <v>2356</v>
      </c>
    </row>
    <row r="762" spans="1:9" x14ac:dyDescent="0.35">
      <c r="A762" s="22" t="s">
        <v>1434</v>
      </c>
      <c r="B762" s="22"/>
      <c r="C762" s="22" t="s">
        <v>23</v>
      </c>
      <c r="D762" s="22" t="s">
        <v>12</v>
      </c>
      <c r="E762" s="23">
        <v>3</v>
      </c>
      <c r="F762" s="23">
        <v>441.52</v>
      </c>
      <c r="G762" s="23">
        <v>1324.56</v>
      </c>
      <c r="H762" s="22" t="s">
        <v>1435</v>
      </c>
      <c r="I762" s="22" t="s">
        <v>2356</v>
      </c>
    </row>
    <row r="763" spans="1:9" x14ac:dyDescent="0.35">
      <c r="A763" s="22" t="s">
        <v>1436</v>
      </c>
      <c r="B763" s="22" t="s">
        <v>2922</v>
      </c>
      <c r="C763" s="22"/>
      <c r="D763" s="22" t="s">
        <v>2364</v>
      </c>
      <c r="E763" s="23">
        <v>-1</v>
      </c>
      <c r="F763" s="23">
        <v>212.33</v>
      </c>
      <c r="G763" s="23">
        <v>1061.6500000000001</v>
      </c>
      <c r="H763" s="22" t="s">
        <v>1437</v>
      </c>
      <c r="I763" s="22" t="s">
        <v>2378</v>
      </c>
    </row>
    <row r="764" spans="1:9" x14ac:dyDescent="0.35">
      <c r="A764" s="22" t="s">
        <v>1438</v>
      </c>
      <c r="B764" s="22" t="s">
        <v>2923</v>
      </c>
      <c r="C764" s="22" t="s">
        <v>16</v>
      </c>
      <c r="D764" s="22" t="s">
        <v>2350</v>
      </c>
      <c r="E764" s="23">
        <v>3</v>
      </c>
      <c r="F764" s="23">
        <v>273.37</v>
      </c>
      <c r="G764" s="23">
        <v>820.11</v>
      </c>
      <c r="H764" s="22" t="s">
        <v>1439</v>
      </c>
      <c r="I764" s="22"/>
    </row>
    <row r="765" spans="1:9" x14ac:dyDescent="0.35">
      <c r="A765" s="22" t="s">
        <v>1440</v>
      </c>
      <c r="B765" s="22" t="s">
        <v>2924</v>
      </c>
      <c r="C765" s="22"/>
      <c r="D765" s="22" t="s">
        <v>46</v>
      </c>
      <c r="E765" s="23">
        <v>2</v>
      </c>
      <c r="F765" s="23">
        <v>34.159999999999997</v>
      </c>
      <c r="G765" s="23">
        <v>68.319999999999993</v>
      </c>
      <c r="H765" s="22" t="s">
        <v>1441</v>
      </c>
      <c r="I765" s="22"/>
    </row>
    <row r="766" spans="1:9" x14ac:dyDescent="0.35">
      <c r="A766" s="22" t="s">
        <v>1442</v>
      </c>
      <c r="B766" s="22" t="s">
        <v>2371</v>
      </c>
      <c r="C766" s="22" t="s">
        <v>2282</v>
      </c>
      <c r="D766" s="22" t="s">
        <v>2350</v>
      </c>
      <c r="E766" s="23">
        <v>4</v>
      </c>
      <c r="F766" s="23">
        <v>11.15</v>
      </c>
      <c r="G766" s="23">
        <v>44.6</v>
      </c>
      <c r="H766" s="22" t="s">
        <v>1443</v>
      </c>
      <c r="I766" s="22" t="s">
        <v>2298</v>
      </c>
    </row>
    <row r="767" spans="1:9" x14ac:dyDescent="0.35">
      <c r="A767" s="22" t="s">
        <v>1444</v>
      </c>
      <c r="B767" s="22" t="s">
        <v>2390</v>
      </c>
      <c r="C767" s="22" t="s">
        <v>2358</v>
      </c>
      <c r="D767" s="22" t="s">
        <v>46</v>
      </c>
      <c r="E767" s="23">
        <v>9</v>
      </c>
      <c r="F767" s="23">
        <v>129.94999999999999</v>
      </c>
      <c r="G767" s="23">
        <v>1600.19</v>
      </c>
      <c r="H767" s="22" t="s">
        <v>1445</v>
      </c>
      <c r="I767" s="22" t="s">
        <v>2378</v>
      </c>
    </row>
    <row r="768" spans="1:9" x14ac:dyDescent="0.35">
      <c r="A768" s="22" t="s">
        <v>1446</v>
      </c>
      <c r="B768" s="22" t="s">
        <v>2760</v>
      </c>
      <c r="C768" s="22"/>
      <c r="D768" s="22" t="s">
        <v>2350</v>
      </c>
      <c r="E768" s="23">
        <v>4</v>
      </c>
      <c r="F768" s="23">
        <v>343.49</v>
      </c>
      <c r="G768" s="23">
        <v>1373.96</v>
      </c>
      <c r="H768" s="22" t="s">
        <v>1447</v>
      </c>
      <c r="I768" s="22" t="s">
        <v>2344</v>
      </c>
    </row>
    <row r="769" spans="1:9" x14ac:dyDescent="0.35">
      <c r="A769" s="22" t="s">
        <v>1448</v>
      </c>
      <c r="B769" s="22" t="s">
        <v>2529</v>
      </c>
      <c r="C769" s="22" t="s">
        <v>19</v>
      </c>
      <c r="D769" s="22" t="s">
        <v>32</v>
      </c>
      <c r="E769" s="23">
        <v>5</v>
      </c>
      <c r="F769" s="23">
        <v>69.42</v>
      </c>
      <c r="G769" s="23">
        <v>347.1</v>
      </c>
      <c r="H769" s="22" t="s">
        <v>1449</v>
      </c>
      <c r="I769" s="22"/>
    </row>
    <row r="770" spans="1:9" x14ac:dyDescent="0.35">
      <c r="A770" s="22" t="s">
        <v>1450</v>
      </c>
      <c r="B770" s="22" t="s">
        <v>2925</v>
      </c>
      <c r="C770" s="22" t="s">
        <v>23</v>
      </c>
      <c r="D770" s="22" t="s">
        <v>2350</v>
      </c>
      <c r="E770" s="23">
        <v>8</v>
      </c>
      <c r="F770" s="23">
        <v>65.739999999999995</v>
      </c>
      <c r="G770" s="23">
        <v>525.91999999999996</v>
      </c>
      <c r="H770" s="22" t="s">
        <v>1451</v>
      </c>
      <c r="I770" s="22" t="s">
        <v>2378</v>
      </c>
    </row>
    <row r="771" spans="1:9" x14ac:dyDescent="0.35">
      <c r="A771" s="22" t="s">
        <v>1452</v>
      </c>
      <c r="B771" s="22" t="s">
        <v>2561</v>
      </c>
      <c r="C771" s="22" t="s">
        <v>2342</v>
      </c>
      <c r="D771" s="22" t="s">
        <v>2343</v>
      </c>
      <c r="E771" s="23" t="s">
        <v>2351</v>
      </c>
      <c r="F771" s="23">
        <v>211.37</v>
      </c>
      <c r="G771" s="23">
        <v>1690.96</v>
      </c>
      <c r="H771" s="22"/>
      <c r="I771" s="22" t="s">
        <v>2378</v>
      </c>
    </row>
    <row r="772" spans="1:9" x14ac:dyDescent="0.35">
      <c r="A772" s="22" t="s">
        <v>1453</v>
      </c>
      <c r="B772" s="22" t="s">
        <v>2787</v>
      </c>
      <c r="C772" s="22" t="s">
        <v>23</v>
      </c>
      <c r="D772" s="22" t="s">
        <v>2350</v>
      </c>
      <c r="E772" s="23">
        <v>5</v>
      </c>
      <c r="F772" s="23">
        <v>327.44</v>
      </c>
      <c r="G772" s="23">
        <v>1637.2</v>
      </c>
      <c r="H772" s="22" t="s">
        <v>1454</v>
      </c>
      <c r="I772" s="22" t="s">
        <v>26</v>
      </c>
    </row>
    <row r="773" spans="1:9" x14ac:dyDescent="0.35">
      <c r="A773" s="22" t="s">
        <v>1455</v>
      </c>
      <c r="B773" s="22" t="s">
        <v>2926</v>
      </c>
      <c r="C773" s="22" t="s">
        <v>19</v>
      </c>
      <c r="D773" s="22" t="s">
        <v>2350</v>
      </c>
      <c r="E773" s="23">
        <v>3</v>
      </c>
      <c r="F773" s="23">
        <v>358.92</v>
      </c>
      <c r="G773" s="23">
        <v>1076.76</v>
      </c>
      <c r="H773" s="22" t="s">
        <v>1456</v>
      </c>
      <c r="I773" s="22" t="s">
        <v>50</v>
      </c>
    </row>
    <row r="774" spans="1:9" x14ac:dyDescent="0.35">
      <c r="A774" s="22" t="s">
        <v>1457</v>
      </c>
      <c r="B774" s="22" t="s">
        <v>2927</v>
      </c>
      <c r="C774" s="22" t="s">
        <v>11</v>
      </c>
      <c r="D774" s="22" t="s">
        <v>12</v>
      </c>
      <c r="E774" s="23">
        <v>-7</v>
      </c>
      <c r="F774" s="23">
        <v>97.44</v>
      </c>
      <c r="G774" s="23">
        <v>876.96</v>
      </c>
      <c r="H774" s="22" t="s">
        <v>1458</v>
      </c>
      <c r="I774" s="22" t="s">
        <v>26</v>
      </c>
    </row>
    <row r="775" spans="1:9" x14ac:dyDescent="0.35">
      <c r="A775" s="22" t="s">
        <v>1459</v>
      </c>
      <c r="B775" s="22" t="s">
        <v>2441</v>
      </c>
      <c r="C775" s="22" t="s">
        <v>2349</v>
      </c>
      <c r="D775" s="22" t="s">
        <v>2347</v>
      </c>
      <c r="E775" s="23">
        <v>2</v>
      </c>
      <c r="F775" s="23">
        <v>49</v>
      </c>
      <c r="G775" s="23">
        <v>98</v>
      </c>
      <c r="H775" s="22" t="s">
        <v>1460</v>
      </c>
      <c r="I775" s="22" t="s">
        <v>2378</v>
      </c>
    </row>
    <row r="776" spans="1:9" x14ac:dyDescent="0.35">
      <c r="A776" s="22" t="s">
        <v>1461</v>
      </c>
      <c r="B776" s="22" t="s">
        <v>2928</v>
      </c>
      <c r="C776" s="22" t="s">
        <v>19</v>
      </c>
      <c r="D776" s="22" t="s">
        <v>2347</v>
      </c>
      <c r="E776" s="23">
        <v>8</v>
      </c>
      <c r="F776" s="23">
        <v>470.79</v>
      </c>
      <c r="G776" s="23">
        <v>4076.48</v>
      </c>
      <c r="H776" s="22" t="s">
        <v>1462</v>
      </c>
      <c r="I776" s="22" t="s">
        <v>50</v>
      </c>
    </row>
    <row r="777" spans="1:9" x14ac:dyDescent="0.35">
      <c r="A777" s="22" t="s">
        <v>1463</v>
      </c>
      <c r="B777" s="22" t="s">
        <v>2929</v>
      </c>
      <c r="C777" s="22" t="s">
        <v>2342</v>
      </c>
      <c r="D777" s="22" t="s">
        <v>2350</v>
      </c>
      <c r="E777" s="23">
        <v>7</v>
      </c>
      <c r="F777" s="23">
        <v>137.72999999999999</v>
      </c>
      <c r="G777" s="23">
        <v>1111.76</v>
      </c>
      <c r="H777" s="22" t="s">
        <v>1464</v>
      </c>
      <c r="I777" s="22" t="s">
        <v>50</v>
      </c>
    </row>
    <row r="778" spans="1:9" x14ac:dyDescent="0.35">
      <c r="A778" s="22" t="s">
        <v>1465</v>
      </c>
      <c r="B778" s="22" t="s">
        <v>2930</v>
      </c>
      <c r="C778" s="22" t="s">
        <v>19</v>
      </c>
      <c r="D778" s="22" t="s">
        <v>12</v>
      </c>
      <c r="E778" s="23">
        <v>6</v>
      </c>
      <c r="F778" s="23">
        <v>428.14</v>
      </c>
      <c r="G778" s="23"/>
      <c r="H778" s="22" t="s">
        <v>1466</v>
      </c>
      <c r="I778" s="22" t="s">
        <v>2298</v>
      </c>
    </row>
    <row r="779" spans="1:9" x14ac:dyDescent="0.35">
      <c r="A779" s="22" t="s">
        <v>1467</v>
      </c>
      <c r="B779" s="22" t="s">
        <v>2752</v>
      </c>
      <c r="C779" s="22" t="s">
        <v>2349</v>
      </c>
      <c r="D779" s="22" t="s">
        <v>2350</v>
      </c>
      <c r="E779" s="23">
        <v>9</v>
      </c>
      <c r="F779" s="23">
        <v>433.11</v>
      </c>
      <c r="G779" s="23"/>
      <c r="H779" s="22" t="s">
        <v>1468</v>
      </c>
      <c r="I779" s="22" t="s">
        <v>50</v>
      </c>
    </row>
    <row r="780" spans="1:9" x14ac:dyDescent="0.35">
      <c r="A780" s="22" t="s">
        <v>1469</v>
      </c>
      <c r="B780" s="22" t="s">
        <v>2390</v>
      </c>
      <c r="C780" s="22" t="s">
        <v>2346</v>
      </c>
      <c r="D780" s="22" t="s">
        <v>24</v>
      </c>
      <c r="E780" s="23">
        <v>3</v>
      </c>
      <c r="F780" s="23">
        <v>388.54</v>
      </c>
      <c r="G780" s="23">
        <v>1165.6199999999999</v>
      </c>
      <c r="H780" s="22" t="s">
        <v>1470</v>
      </c>
      <c r="I780" s="22"/>
    </row>
    <row r="781" spans="1:9" x14ac:dyDescent="0.35">
      <c r="A781" s="22" t="s">
        <v>1471</v>
      </c>
      <c r="B781" s="22" t="s">
        <v>2361</v>
      </c>
      <c r="C781" s="22" t="s">
        <v>19</v>
      </c>
      <c r="D781" s="22" t="s">
        <v>12</v>
      </c>
      <c r="E781" s="23">
        <v>6</v>
      </c>
      <c r="F781" s="23">
        <v>92.73</v>
      </c>
      <c r="G781" s="23">
        <v>556.38</v>
      </c>
      <c r="H781" s="22" t="s">
        <v>84</v>
      </c>
      <c r="I781" s="22" t="s">
        <v>50</v>
      </c>
    </row>
    <row r="782" spans="1:9" x14ac:dyDescent="0.35">
      <c r="A782" s="22" t="s">
        <v>1472</v>
      </c>
      <c r="B782" s="22" t="s">
        <v>2931</v>
      </c>
      <c r="C782" s="22" t="s">
        <v>19</v>
      </c>
      <c r="D782" s="22" t="s">
        <v>2343</v>
      </c>
      <c r="E782" s="23">
        <v>7</v>
      </c>
      <c r="F782" s="23">
        <v>412.68</v>
      </c>
      <c r="G782" s="23">
        <v>2888.76</v>
      </c>
      <c r="H782" s="22" t="s">
        <v>1473</v>
      </c>
      <c r="I782" s="22" t="s">
        <v>2340</v>
      </c>
    </row>
    <row r="783" spans="1:9" x14ac:dyDescent="0.35">
      <c r="A783" s="22" t="s">
        <v>1474</v>
      </c>
      <c r="B783" s="22" t="s">
        <v>2932</v>
      </c>
      <c r="C783" s="22" t="s">
        <v>2346</v>
      </c>
      <c r="D783" s="22" t="s">
        <v>2343</v>
      </c>
      <c r="E783" s="23">
        <v>7</v>
      </c>
      <c r="F783" s="23">
        <v>386.93</v>
      </c>
      <c r="G783" s="23">
        <v>2854.82</v>
      </c>
      <c r="H783" s="22" t="s">
        <v>1475</v>
      </c>
      <c r="I783" s="22" t="s">
        <v>2344</v>
      </c>
    </row>
    <row r="784" spans="1:9" x14ac:dyDescent="0.35">
      <c r="A784" s="22" t="s">
        <v>1476</v>
      </c>
      <c r="B784" s="22" t="s">
        <v>2575</v>
      </c>
      <c r="C784" s="22" t="s">
        <v>2342</v>
      </c>
      <c r="D784" s="22" t="s">
        <v>32</v>
      </c>
      <c r="E784" s="23">
        <v>5</v>
      </c>
      <c r="F784" s="23">
        <v>302.39</v>
      </c>
      <c r="G784" s="23">
        <v>1511.95</v>
      </c>
      <c r="H784" s="22" t="s">
        <v>1477</v>
      </c>
      <c r="I784" s="22" t="s">
        <v>50</v>
      </c>
    </row>
    <row r="785" spans="1:9" x14ac:dyDescent="0.35">
      <c r="A785" s="22" t="s">
        <v>1478</v>
      </c>
      <c r="B785" s="22" t="s">
        <v>2630</v>
      </c>
      <c r="C785" s="22" t="s">
        <v>23</v>
      </c>
      <c r="D785" s="22" t="s">
        <v>2364</v>
      </c>
      <c r="E785" s="23">
        <v>5</v>
      </c>
      <c r="F785" s="23">
        <v>175.23</v>
      </c>
      <c r="G785" s="23">
        <v>876.15</v>
      </c>
      <c r="H785" s="22" t="s">
        <v>1479</v>
      </c>
      <c r="I785" s="22" t="s">
        <v>2298</v>
      </c>
    </row>
    <row r="786" spans="1:9" x14ac:dyDescent="0.35">
      <c r="A786" s="22" t="s">
        <v>1480</v>
      </c>
      <c r="B786" s="22" t="s">
        <v>2550</v>
      </c>
      <c r="C786" s="22" t="s">
        <v>11</v>
      </c>
      <c r="D786" s="22" t="s">
        <v>32</v>
      </c>
      <c r="E786" s="23">
        <v>1</v>
      </c>
      <c r="F786" s="23">
        <v>138.63</v>
      </c>
      <c r="G786" s="23">
        <v>138.63</v>
      </c>
      <c r="H786" s="22" t="s">
        <v>1481</v>
      </c>
      <c r="I786" s="22"/>
    </row>
    <row r="787" spans="1:9" x14ac:dyDescent="0.35">
      <c r="A787" s="22" t="s">
        <v>1482</v>
      </c>
      <c r="B787" s="22" t="s">
        <v>2933</v>
      </c>
      <c r="C787" s="22" t="s">
        <v>11</v>
      </c>
      <c r="D787" s="22" t="s">
        <v>2350</v>
      </c>
      <c r="E787" s="23">
        <v>7</v>
      </c>
      <c r="F787" s="23">
        <v>69.73</v>
      </c>
      <c r="G787" s="23">
        <v>488.11</v>
      </c>
      <c r="H787" s="22" t="s">
        <v>1483</v>
      </c>
      <c r="I787" s="22" t="s">
        <v>2344</v>
      </c>
    </row>
    <row r="788" spans="1:9" x14ac:dyDescent="0.35">
      <c r="A788" s="22" t="s">
        <v>1484</v>
      </c>
      <c r="B788" s="22" t="s">
        <v>2934</v>
      </c>
      <c r="C788" s="22" t="s">
        <v>23</v>
      </c>
      <c r="D788" s="22" t="s">
        <v>46</v>
      </c>
      <c r="E788" s="23">
        <v>4</v>
      </c>
      <c r="F788" s="23">
        <v>259.77999999999997</v>
      </c>
      <c r="G788" s="23">
        <v>1039.1199999999999</v>
      </c>
      <c r="H788" s="22" t="s">
        <v>1485</v>
      </c>
      <c r="I788" s="22" t="s">
        <v>2340</v>
      </c>
    </row>
    <row r="789" spans="1:9" x14ac:dyDescent="0.35">
      <c r="A789" s="22" t="s">
        <v>1486</v>
      </c>
      <c r="B789" s="22"/>
      <c r="C789" s="22" t="s">
        <v>23</v>
      </c>
      <c r="D789" s="22" t="s">
        <v>2347</v>
      </c>
      <c r="E789" s="23">
        <v>7</v>
      </c>
      <c r="F789" s="23">
        <v>296.77999999999997</v>
      </c>
      <c r="G789" s="23">
        <v>2077.46</v>
      </c>
      <c r="H789" s="22" t="s">
        <v>1487</v>
      </c>
      <c r="I789" s="22"/>
    </row>
    <row r="790" spans="1:9" x14ac:dyDescent="0.35">
      <c r="A790" s="22" t="s">
        <v>1488</v>
      </c>
      <c r="B790" s="22" t="s">
        <v>2366</v>
      </c>
      <c r="C790" s="22" t="s">
        <v>23</v>
      </c>
      <c r="D790" s="22" t="s">
        <v>2350</v>
      </c>
      <c r="E790" s="23">
        <v>5</v>
      </c>
      <c r="F790" s="23">
        <v>186.08</v>
      </c>
      <c r="G790" s="23">
        <v>930.4</v>
      </c>
      <c r="H790" s="22" t="s">
        <v>1489</v>
      </c>
      <c r="I790" s="22" t="s">
        <v>2356</v>
      </c>
    </row>
    <row r="791" spans="1:9" x14ac:dyDescent="0.35">
      <c r="A791" s="22" t="s">
        <v>213</v>
      </c>
      <c r="B791" s="22" t="s">
        <v>2935</v>
      </c>
      <c r="C791" s="22" t="s">
        <v>2282</v>
      </c>
      <c r="D791" s="22" t="s">
        <v>2350</v>
      </c>
      <c r="E791" s="23">
        <v>5</v>
      </c>
      <c r="F791" s="23">
        <v>-63.62</v>
      </c>
      <c r="G791" s="23">
        <v>1214.6500000000001</v>
      </c>
      <c r="H791" s="22" t="s">
        <v>2936</v>
      </c>
      <c r="I791" s="22"/>
    </row>
    <row r="792" spans="1:9" x14ac:dyDescent="0.35">
      <c r="A792" s="22" t="s">
        <v>1490</v>
      </c>
      <c r="B792" s="22" t="s">
        <v>2427</v>
      </c>
      <c r="C792" s="22" t="s">
        <v>11</v>
      </c>
      <c r="D792" s="22" t="s">
        <v>24</v>
      </c>
      <c r="E792" s="23"/>
      <c r="F792" s="23">
        <v>188.12</v>
      </c>
      <c r="G792" s="23">
        <v>564.36</v>
      </c>
      <c r="H792" s="22" t="s">
        <v>1491</v>
      </c>
      <c r="I792" s="22" t="s">
        <v>50</v>
      </c>
    </row>
    <row r="793" spans="1:9" x14ac:dyDescent="0.35">
      <c r="A793" s="22" t="s">
        <v>1492</v>
      </c>
      <c r="B793" s="22" t="s">
        <v>2529</v>
      </c>
      <c r="C793" s="22"/>
      <c r="D793" s="22" t="s">
        <v>32</v>
      </c>
      <c r="E793" s="23">
        <v>5</v>
      </c>
      <c r="F793" s="23">
        <v>324.08999999999997</v>
      </c>
      <c r="G793" s="23">
        <v>1620.45</v>
      </c>
      <c r="H793" s="22" t="s">
        <v>1493</v>
      </c>
      <c r="I793" s="22" t="s">
        <v>2340</v>
      </c>
    </row>
    <row r="794" spans="1:9" x14ac:dyDescent="0.35">
      <c r="A794" s="22" t="s">
        <v>1494</v>
      </c>
      <c r="B794" s="22" t="s">
        <v>2937</v>
      </c>
      <c r="C794" s="22" t="s">
        <v>19</v>
      </c>
      <c r="D794" s="22" t="s">
        <v>46</v>
      </c>
      <c r="E794" s="23">
        <v>9999</v>
      </c>
      <c r="F794" s="23">
        <v>451.62</v>
      </c>
      <c r="G794" s="23">
        <v>2258.1</v>
      </c>
      <c r="H794" s="22" t="s">
        <v>1495</v>
      </c>
      <c r="I794" s="22" t="s">
        <v>2298</v>
      </c>
    </row>
    <row r="795" spans="1:9" x14ac:dyDescent="0.35">
      <c r="A795" s="22" t="s">
        <v>1496</v>
      </c>
      <c r="B795" s="22" t="s">
        <v>2802</v>
      </c>
      <c r="C795" s="22" t="s">
        <v>2358</v>
      </c>
      <c r="D795" s="22" t="s">
        <v>46</v>
      </c>
      <c r="E795" s="23">
        <v>4</v>
      </c>
      <c r="F795" s="23">
        <v>90.32</v>
      </c>
      <c r="G795" s="23">
        <v>361.28</v>
      </c>
      <c r="H795" s="22" t="s">
        <v>1497</v>
      </c>
      <c r="I795" s="22" t="s">
        <v>50</v>
      </c>
    </row>
    <row r="796" spans="1:9" x14ac:dyDescent="0.35">
      <c r="A796" s="22" t="s">
        <v>1498</v>
      </c>
      <c r="B796" s="22" t="s">
        <v>2938</v>
      </c>
      <c r="C796" s="22" t="s">
        <v>19</v>
      </c>
      <c r="D796" s="22" t="s">
        <v>46</v>
      </c>
      <c r="E796" s="23" t="s">
        <v>2351</v>
      </c>
      <c r="F796" s="23">
        <v>196.89</v>
      </c>
      <c r="G796" s="23">
        <v>590.66999999999996</v>
      </c>
      <c r="H796" s="22" t="s">
        <v>1499</v>
      </c>
      <c r="I796" s="22"/>
    </row>
    <row r="797" spans="1:9" x14ac:dyDescent="0.35">
      <c r="A797" s="22" t="s">
        <v>1500</v>
      </c>
      <c r="B797" s="22" t="s">
        <v>2939</v>
      </c>
      <c r="C797" s="22" t="s">
        <v>16</v>
      </c>
      <c r="D797" s="22" t="s">
        <v>24</v>
      </c>
      <c r="E797" s="23">
        <v>-6</v>
      </c>
      <c r="F797" s="23">
        <v>79.03</v>
      </c>
      <c r="G797" s="23">
        <v>237.09</v>
      </c>
      <c r="H797" s="22" t="s">
        <v>1501</v>
      </c>
      <c r="I797" s="22" t="s">
        <v>2298</v>
      </c>
    </row>
    <row r="798" spans="1:9" x14ac:dyDescent="0.35">
      <c r="A798" s="22" t="s">
        <v>1502</v>
      </c>
      <c r="B798" s="22" t="s">
        <v>2940</v>
      </c>
      <c r="C798" s="22" t="s">
        <v>2342</v>
      </c>
      <c r="D798" s="22" t="s">
        <v>12</v>
      </c>
      <c r="E798" s="23">
        <v>5</v>
      </c>
      <c r="F798" s="23">
        <v>316.22000000000003</v>
      </c>
      <c r="G798" s="23">
        <v>1581.1</v>
      </c>
      <c r="H798" s="22" t="s">
        <v>1503</v>
      </c>
      <c r="I798" s="22" t="s">
        <v>2356</v>
      </c>
    </row>
    <row r="799" spans="1:9" x14ac:dyDescent="0.35">
      <c r="A799" s="22" t="s">
        <v>1504</v>
      </c>
      <c r="B799" s="22" t="s">
        <v>2628</v>
      </c>
      <c r="C799" s="22" t="s">
        <v>23</v>
      </c>
      <c r="D799" s="22" t="s">
        <v>2347</v>
      </c>
      <c r="E799" s="23">
        <v>10</v>
      </c>
      <c r="F799" s="23">
        <v>367.15</v>
      </c>
      <c r="G799" s="23">
        <v>3671.5</v>
      </c>
      <c r="H799" s="22" t="s">
        <v>1505</v>
      </c>
      <c r="I799" s="22" t="s">
        <v>26</v>
      </c>
    </row>
    <row r="800" spans="1:9" x14ac:dyDescent="0.35">
      <c r="A800" s="22" t="s">
        <v>1506</v>
      </c>
      <c r="B800" s="22" t="s">
        <v>2941</v>
      </c>
      <c r="C800" s="22" t="s">
        <v>2358</v>
      </c>
      <c r="D800" s="22" t="s">
        <v>2364</v>
      </c>
      <c r="E800" s="23">
        <v>2</v>
      </c>
      <c r="F800" s="23">
        <v>466.64</v>
      </c>
      <c r="G800" s="23">
        <v>933.28</v>
      </c>
      <c r="H800" s="22" t="s">
        <v>1507</v>
      </c>
      <c r="I800" s="22" t="s">
        <v>14</v>
      </c>
    </row>
    <row r="801" spans="1:9" x14ac:dyDescent="0.35">
      <c r="A801" s="22" t="s">
        <v>1508</v>
      </c>
      <c r="B801" s="22"/>
      <c r="C801" s="22" t="s">
        <v>11</v>
      </c>
      <c r="D801" s="22" t="s">
        <v>2350</v>
      </c>
      <c r="E801" s="23">
        <v>5</v>
      </c>
      <c r="F801" s="23">
        <v>146.65</v>
      </c>
      <c r="G801" s="23"/>
      <c r="H801" s="22" t="s">
        <v>1509</v>
      </c>
      <c r="I801" s="22" t="s">
        <v>2356</v>
      </c>
    </row>
    <row r="802" spans="1:9" x14ac:dyDescent="0.35">
      <c r="A802" s="22" t="s">
        <v>1510</v>
      </c>
      <c r="B802" s="22" t="s">
        <v>2942</v>
      </c>
      <c r="C802" s="22"/>
      <c r="D802" s="22" t="s">
        <v>2364</v>
      </c>
      <c r="E802" s="23">
        <v>3</v>
      </c>
      <c r="F802" s="23">
        <v>475.6</v>
      </c>
      <c r="G802" s="23">
        <v>1426.8</v>
      </c>
      <c r="H802" s="22" t="s">
        <v>1511</v>
      </c>
      <c r="I802" s="22" t="s">
        <v>2356</v>
      </c>
    </row>
    <row r="803" spans="1:9" x14ac:dyDescent="0.35">
      <c r="A803" s="22" t="s">
        <v>1512</v>
      </c>
      <c r="B803" s="22" t="s">
        <v>2943</v>
      </c>
      <c r="C803" s="22"/>
      <c r="D803" s="22" t="s">
        <v>12</v>
      </c>
      <c r="E803" s="23">
        <v>9999</v>
      </c>
      <c r="F803" s="23">
        <v>41</v>
      </c>
      <c r="G803" s="23">
        <v>361.65</v>
      </c>
      <c r="H803" s="22" t="s">
        <v>1513</v>
      </c>
      <c r="I803" s="22" t="s">
        <v>2356</v>
      </c>
    </row>
    <row r="804" spans="1:9" x14ac:dyDescent="0.35">
      <c r="A804" s="22" t="s">
        <v>1514</v>
      </c>
      <c r="B804" s="22" t="s">
        <v>2944</v>
      </c>
      <c r="C804" s="22" t="s">
        <v>11</v>
      </c>
      <c r="D804" s="22" t="s">
        <v>2350</v>
      </c>
      <c r="E804" s="23"/>
      <c r="F804" s="23">
        <v>305.48</v>
      </c>
      <c r="G804" s="23">
        <v>1832.88</v>
      </c>
      <c r="H804" s="22" t="s">
        <v>1515</v>
      </c>
      <c r="I804" s="22" t="s">
        <v>2378</v>
      </c>
    </row>
    <row r="805" spans="1:9" x14ac:dyDescent="0.35">
      <c r="A805" s="22" t="s">
        <v>1516</v>
      </c>
      <c r="B805" s="22" t="s">
        <v>2945</v>
      </c>
      <c r="C805" s="22" t="s">
        <v>16</v>
      </c>
      <c r="D805" s="22" t="s">
        <v>2343</v>
      </c>
      <c r="E805" s="23">
        <v>3</v>
      </c>
      <c r="F805" s="23">
        <v>38</v>
      </c>
      <c r="G805" s="23">
        <v>114</v>
      </c>
      <c r="H805" s="22" t="s">
        <v>49</v>
      </c>
      <c r="I805" s="22" t="s">
        <v>2340</v>
      </c>
    </row>
    <row r="806" spans="1:9" x14ac:dyDescent="0.35">
      <c r="A806" s="22" t="s">
        <v>112</v>
      </c>
      <c r="B806" s="22" t="s">
        <v>2946</v>
      </c>
      <c r="C806" s="22" t="s">
        <v>23</v>
      </c>
      <c r="D806" s="22" t="s">
        <v>2364</v>
      </c>
      <c r="E806" s="23">
        <v>4</v>
      </c>
      <c r="F806" s="23">
        <v>447.95</v>
      </c>
      <c r="G806" s="23">
        <v>1791.8</v>
      </c>
      <c r="H806" s="22" t="s">
        <v>2947</v>
      </c>
      <c r="I806" s="22" t="s">
        <v>2344</v>
      </c>
    </row>
    <row r="807" spans="1:9" x14ac:dyDescent="0.35">
      <c r="A807" s="22" t="s">
        <v>1517</v>
      </c>
      <c r="B807" s="22" t="s">
        <v>2948</v>
      </c>
      <c r="C807" s="22" t="s">
        <v>2346</v>
      </c>
      <c r="D807" s="22" t="s">
        <v>2364</v>
      </c>
      <c r="E807" s="23">
        <v>4</v>
      </c>
      <c r="F807" s="23">
        <v>269.61</v>
      </c>
      <c r="G807" s="23">
        <v>1078.44</v>
      </c>
      <c r="H807" s="22" t="s">
        <v>1518</v>
      </c>
      <c r="I807" s="22" t="s">
        <v>14</v>
      </c>
    </row>
    <row r="808" spans="1:9" x14ac:dyDescent="0.35">
      <c r="A808" s="22" t="s">
        <v>1519</v>
      </c>
      <c r="B808" s="22" t="s">
        <v>2949</v>
      </c>
      <c r="C808" s="22" t="s">
        <v>2342</v>
      </c>
      <c r="D808" s="22" t="s">
        <v>2350</v>
      </c>
      <c r="E808" s="23">
        <v>5</v>
      </c>
      <c r="F808" s="23">
        <v>337.98</v>
      </c>
      <c r="G808" s="23">
        <v>1689.9</v>
      </c>
      <c r="H808" s="22" t="s">
        <v>1520</v>
      </c>
      <c r="I808" s="22"/>
    </row>
    <row r="809" spans="1:9" x14ac:dyDescent="0.35">
      <c r="A809" s="22" t="s">
        <v>1521</v>
      </c>
      <c r="B809" s="22" t="s">
        <v>2560</v>
      </c>
      <c r="C809" s="22" t="s">
        <v>2346</v>
      </c>
      <c r="D809" s="22" t="s">
        <v>2350</v>
      </c>
      <c r="E809" s="23">
        <v>8</v>
      </c>
      <c r="F809" s="23">
        <v>417.47</v>
      </c>
      <c r="G809" s="23">
        <v>3339.76</v>
      </c>
      <c r="H809" s="22" t="s">
        <v>1522</v>
      </c>
      <c r="I809" s="22" t="s">
        <v>2356</v>
      </c>
    </row>
    <row r="810" spans="1:9" x14ac:dyDescent="0.35">
      <c r="A810" s="22" t="s">
        <v>1523</v>
      </c>
      <c r="B810" s="22" t="s">
        <v>2950</v>
      </c>
      <c r="C810" s="22" t="s">
        <v>2282</v>
      </c>
      <c r="D810" s="22" t="s">
        <v>46</v>
      </c>
      <c r="E810" s="23">
        <v>5</v>
      </c>
      <c r="F810" s="23" t="s">
        <v>332</v>
      </c>
      <c r="G810" s="23">
        <v>418.25</v>
      </c>
      <c r="H810" s="22" t="s">
        <v>1524</v>
      </c>
      <c r="I810" s="22"/>
    </row>
    <row r="811" spans="1:9" x14ac:dyDescent="0.35">
      <c r="A811" s="22" t="s">
        <v>1525</v>
      </c>
      <c r="B811" s="22" t="s">
        <v>2951</v>
      </c>
      <c r="C811" s="22" t="s">
        <v>19</v>
      </c>
      <c r="D811" s="22" t="s">
        <v>46</v>
      </c>
      <c r="E811" s="23">
        <v>6</v>
      </c>
      <c r="F811" s="23">
        <v>28.91</v>
      </c>
      <c r="G811" s="23">
        <v>173.46</v>
      </c>
      <c r="H811" s="22" t="s">
        <v>1526</v>
      </c>
      <c r="I811" s="22" t="s">
        <v>14</v>
      </c>
    </row>
    <row r="812" spans="1:9" x14ac:dyDescent="0.35">
      <c r="A812" s="22" t="s">
        <v>1527</v>
      </c>
      <c r="B812" s="22" t="s">
        <v>2566</v>
      </c>
      <c r="C812" s="22" t="s">
        <v>2282</v>
      </c>
      <c r="D812" s="22" t="s">
        <v>24</v>
      </c>
      <c r="E812" s="23">
        <v>3</v>
      </c>
      <c r="F812" s="23">
        <v>440.65</v>
      </c>
      <c r="G812" s="23">
        <v>1321.95</v>
      </c>
      <c r="H812" s="22"/>
      <c r="I812" s="22" t="s">
        <v>50</v>
      </c>
    </row>
    <row r="813" spans="1:9" x14ac:dyDescent="0.35">
      <c r="A813" s="22" t="s">
        <v>1528</v>
      </c>
      <c r="B813" s="22" t="s">
        <v>2952</v>
      </c>
      <c r="C813" s="22" t="s">
        <v>16</v>
      </c>
      <c r="D813" s="22" t="s">
        <v>2343</v>
      </c>
      <c r="E813" s="23">
        <v>4</v>
      </c>
      <c r="F813" s="23">
        <v>164.32</v>
      </c>
      <c r="G813" s="23"/>
      <c r="H813" s="22" t="s">
        <v>1529</v>
      </c>
      <c r="I813" s="22" t="s">
        <v>2356</v>
      </c>
    </row>
    <row r="814" spans="1:9" x14ac:dyDescent="0.35">
      <c r="A814" s="22" t="s">
        <v>1530</v>
      </c>
      <c r="B814" s="22" t="s">
        <v>2953</v>
      </c>
      <c r="C814" s="22" t="s">
        <v>19</v>
      </c>
      <c r="D814" s="22" t="s">
        <v>24</v>
      </c>
      <c r="E814" s="23">
        <v>5</v>
      </c>
      <c r="F814" s="23">
        <v>73.2</v>
      </c>
      <c r="G814" s="23">
        <v>794.48</v>
      </c>
      <c r="H814" s="22"/>
      <c r="I814" s="22" t="s">
        <v>2344</v>
      </c>
    </row>
    <row r="815" spans="1:9" x14ac:dyDescent="0.35">
      <c r="A815" s="22" t="s">
        <v>1531</v>
      </c>
      <c r="B815" s="22" t="s">
        <v>2954</v>
      </c>
      <c r="C815" s="22" t="s">
        <v>23</v>
      </c>
      <c r="D815" s="22" t="s">
        <v>32</v>
      </c>
      <c r="E815" s="23">
        <v>6</v>
      </c>
      <c r="F815" s="23">
        <v>239.55</v>
      </c>
      <c r="G815" s="23">
        <v>1437.3</v>
      </c>
      <c r="H815" s="22" t="s">
        <v>1532</v>
      </c>
      <c r="I815" s="22" t="s">
        <v>2340</v>
      </c>
    </row>
    <row r="816" spans="1:9" x14ac:dyDescent="0.35">
      <c r="A816" s="22" t="s">
        <v>1533</v>
      </c>
      <c r="B816" s="22" t="s">
        <v>2578</v>
      </c>
      <c r="C816" s="22" t="s">
        <v>19</v>
      </c>
      <c r="D816" s="22" t="s">
        <v>2343</v>
      </c>
      <c r="E816" s="23">
        <v>7</v>
      </c>
      <c r="F816" s="23">
        <v>303.17</v>
      </c>
      <c r="G816" s="23">
        <v>2122.19</v>
      </c>
      <c r="H816" s="22" t="s">
        <v>1534</v>
      </c>
      <c r="I816" s="22" t="s">
        <v>50</v>
      </c>
    </row>
    <row r="817" spans="1:9" x14ac:dyDescent="0.35">
      <c r="A817" s="22" t="s">
        <v>1535</v>
      </c>
      <c r="B817" s="22" t="s">
        <v>2955</v>
      </c>
      <c r="C817" s="22" t="s">
        <v>19</v>
      </c>
      <c r="D817" s="22" t="s">
        <v>46</v>
      </c>
      <c r="E817" s="23"/>
      <c r="F817" s="23">
        <v>25.18</v>
      </c>
      <c r="G817" s="23">
        <v>125.9</v>
      </c>
      <c r="H817" s="22" t="s">
        <v>49</v>
      </c>
      <c r="I817" s="22" t="s">
        <v>2340</v>
      </c>
    </row>
    <row r="818" spans="1:9" x14ac:dyDescent="0.35">
      <c r="A818" s="22" t="s">
        <v>1536</v>
      </c>
      <c r="B818" s="22" t="s">
        <v>2422</v>
      </c>
      <c r="C818" s="22" t="s">
        <v>2358</v>
      </c>
      <c r="D818" s="22" t="s">
        <v>46</v>
      </c>
      <c r="E818" s="23"/>
      <c r="F818" s="23">
        <v>144.69999999999999</v>
      </c>
      <c r="G818" s="23">
        <v>289.39999999999998</v>
      </c>
      <c r="H818" s="22" t="s">
        <v>1537</v>
      </c>
      <c r="I818" s="22" t="s">
        <v>26</v>
      </c>
    </row>
    <row r="819" spans="1:9" x14ac:dyDescent="0.35">
      <c r="A819" s="22" t="s">
        <v>1538</v>
      </c>
      <c r="B819" s="22" t="s">
        <v>2884</v>
      </c>
      <c r="C819" s="22" t="s">
        <v>2358</v>
      </c>
      <c r="D819" s="22" t="s">
        <v>46</v>
      </c>
      <c r="E819" s="23">
        <v>6</v>
      </c>
      <c r="F819" s="23">
        <v>26.07</v>
      </c>
      <c r="G819" s="23">
        <v>156.41999999999999</v>
      </c>
      <c r="H819" s="22" t="s">
        <v>1539</v>
      </c>
      <c r="I819" s="22" t="s">
        <v>26</v>
      </c>
    </row>
    <row r="820" spans="1:9" x14ac:dyDescent="0.35">
      <c r="A820" s="22" t="s">
        <v>1540</v>
      </c>
      <c r="B820" s="22" t="s">
        <v>2663</v>
      </c>
      <c r="C820" s="22" t="s">
        <v>16</v>
      </c>
      <c r="D820" s="22" t="s">
        <v>2347</v>
      </c>
      <c r="E820" s="23">
        <v>4</v>
      </c>
      <c r="F820" s="23">
        <v>215.96</v>
      </c>
      <c r="G820" s="23">
        <v>863.84</v>
      </c>
      <c r="H820" s="22" t="s">
        <v>1541</v>
      </c>
      <c r="I820" s="22" t="s">
        <v>14</v>
      </c>
    </row>
    <row r="821" spans="1:9" x14ac:dyDescent="0.35">
      <c r="A821" s="22" t="s">
        <v>1542</v>
      </c>
      <c r="B821" s="22" t="s">
        <v>2643</v>
      </c>
      <c r="C821" s="22" t="s">
        <v>2282</v>
      </c>
      <c r="D821" s="22" t="s">
        <v>2350</v>
      </c>
      <c r="E821" s="23">
        <v>2</v>
      </c>
      <c r="F821" s="23">
        <v>448.6</v>
      </c>
      <c r="G821" s="23">
        <v>897.2</v>
      </c>
      <c r="H821" s="22" t="s">
        <v>1543</v>
      </c>
      <c r="I821" s="22" t="s">
        <v>2356</v>
      </c>
    </row>
    <row r="822" spans="1:9" x14ac:dyDescent="0.35">
      <c r="A822" s="22" t="s">
        <v>1544</v>
      </c>
      <c r="B822" s="22" t="s">
        <v>2956</v>
      </c>
      <c r="C822" s="22" t="s">
        <v>11</v>
      </c>
      <c r="D822" s="22" t="s">
        <v>2364</v>
      </c>
      <c r="E822" s="23">
        <v>4</v>
      </c>
      <c r="F822" s="23">
        <v>491.5</v>
      </c>
      <c r="G822" s="23">
        <v>1966</v>
      </c>
      <c r="H822" s="22" t="s">
        <v>1545</v>
      </c>
      <c r="I822" s="22" t="s">
        <v>2378</v>
      </c>
    </row>
    <row r="823" spans="1:9" x14ac:dyDescent="0.35">
      <c r="A823" s="22" t="s">
        <v>1546</v>
      </c>
      <c r="B823" s="22" t="s">
        <v>2957</v>
      </c>
      <c r="C823" s="22" t="s">
        <v>23</v>
      </c>
      <c r="D823" s="22" t="s">
        <v>2364</v>
      </c>
      <c r="E823" s="23">
        <v>2</v>
      </c>
      <c r="F823" s="23">
        <v>322.14999999999998</v>
      </c>
      <c r="G823" s="23">
        <v>758.82</v>
      </c>
      <c r="H823" s="22" t="s">
        <v>1547</v>
      </c>
      <c r="I823" s="22" t="s">
        <v>2344</v>
      </c>
    </row>
    <row r="824" spans="1:9" x14ac:dyDescent="0.35">
      <c r="A824" s="22" t="s">
        <v>1548</v>
      </c>
      <c r="B824" s="22" t="s">
        <v>2958</v>
      </c>
      <c r="C824" s="22" t="s">
        <v>19</v>
      </c>
      <c r="D824" s="22" t="s">
        <v>12</v>
      </c>
      <c r="E824" s="23">
        <v>3</v>
      </c>
      <c r="F824" s="23">
        <v>89.2</v>
      </c>
      <c r="G824" s="23">
        <v>267.60000000000002</v>
      </c>
      <c r="H824" s="22" t="s">
        <v>1549</v>
      </c>
      <c r="I824" s="22" t="s">
        <v>2378</v>
      </c>
    </row>
    <row r="825" spans="1:9" x14ac:dyDescent="0.35">
      <c r="A825" s="22" t="s">
        <v>1550</v>
      </c>
      <c r="B825" s="22" t="s">
        <v>2959</v>
      </c>
      <c r="C825" s="22" t="s">
        <v>2342</v>
      </c>
      <c r="D825" s="22" t="s">
        <v>2364</v>
      </c>
      <c r="E825" s="23">
        <v>4</v>
      </c>
      <c r="F825" s="23">
        <v>453.87</v>
      </c>
      <c r="G825" s="23">
        <v>1815.48</v>
      </c>
      <c r="H825" s="22" t="s">
        <v>1551</v>
      </c>
      <c r="I825" s="22" t="s">
        <v>2298</v>
      </c>
    </row>
    <row r="826" spans="1:9" x14ac:dyDescent="0.35">
      <c r="A826" s="22" t="s">
        <v>1552</v>
      </c>
      <c r="B826" s="22" t="s">
        <v>2544</v>
      </c>
      <c r="C826" s="22" t="s">
        <v>2342</v>
      </c>
      <c r="D826" s="22" t="s">
        <v>46</v>
      </c>
      <c r="E826" s="23">
        <v>7</v>
      </c>
      <c r="F826" s="23" t="s">
        <v>332</v>
      </c>
      <c r="G826" s="23">
        <v>1840.72</v>
      </c>
      <c r="H826" s="22" t="s">
        <v>1553</v>
      </c>
      <c r="I826" s="22" t="s">
        <v>2356</v>
      </c>
    </row>
    <row r="827" spans="1:9" x14ac:dyDescent="0.35">
      <c r="A827" s="22" t="s">
        <v>1554</v>
      </c>
      <c r="B827" s="22" t="s">
        <v>2960</v>
      </c>
      <c r="C827" s="22" t="s">
        <v>2349</v>
      </c>
      <c r="D827" s="22" t="s">
        <v>2343</v>
      </c>
      <c r="E827" s="23" t="s">
        <v>2351</v>
      </c>
      <c r="F827" s="23">
        <v>85.34</v>
      </c>
      <c r="G827" s="23">
        <v>426.7</v>
      </c>
      <c r="H827" s="22" t="s">
        <v>1555</v>
      </c>
      <c r="I827" s="22" t="s">
        <v>26</v>
      </c>
    </row>
    <row r="828" spans="1:9" x14ac:dyDescent="0.35">
      <c r="A828" s="22" t="s">
        <v>1556</v>
      </c>
      <c r="B828" s="22" t="s">
        <v>2961</v>
      </c>
      <c r="C828" s="22" t="s">
        <v>19</v>
      </c>
      <c r="D828" s="22" t="s">
        <v>2343</v>
      </c>
      <c r="E828" s="23">
        <v>5</v>
      </c>
      <c r="F828" s="23">
        <v>461.65</v>
      </c>
      <c r="G828" s="23">
        <v>2308.25</v>
      </c>
      <c r="H828" s="22" t="s">
        <v>1557</v>
      </c>
      <c r="I828" s="22"/>
    </row>
    <row r="829" spans="1:9" x14ac:dyDescent="0.35">
      <c r="A829" s="22" t="s">
        <v>1558</v>
      </c>
      <c r="B829" s="22" t="s">
        <v>2962</v>
      </c>
      <c r="C829" s="22" t="s">
        <v>19</v>
      </c>
      <c r="D829" s="22" t="s">
        <v>24</v>
      </c>
      <c r="E829" s="23">
        <v>7</v>
      </c>
      <c r="F829" s="23">
        <v>381.16</v>
      </c>
      <c r="G829" s="23">
        <v>3156.96</v>
      </c>
      <c r="H829" s="22" t="s">
        <v>1559</v>
      </c>
      <c r="I829" s="22" t="s">
        <v>26</v>
      </c>
    </row>
    <row r="830" spans="1:9" x14ac:dyDescent="0.35">
      <c r="A830" s="22" t="s">
        <v>1560</v>
      </c>
      <c r="B830" s="22" t="s">
        <v>2540</v>
      </c>
      <c r="C830" s="22" t="s">
        <v>16</v>
      </c>
      <c r="D830" s="22" t="s">
        <v>2343</v>
      </c>
      <c r="E830" s="23">
        <v>9</v>
      </c>
      <c r="F830" s="23">
        <v>368.54</v>
      </c>
      <c r="G830" s="23">
        <v>3316.86</v>
      </c>
      <c r="H830" s="22" t="s">
        <v>1561</v>
      </c>
      <c r="I830" s="22" t="s">
        <v>50</v>
      </c>
    </row>
    <row r="831" spans="1:9" x14ac:dyDescent="0.35">
      <c r="A831" s="22" t="s">
        <v>1562</v>
      </c>
      <c r="B831" s="22" t="s">
        <v>2606</v>
      </c>
      <c r="C831" s="22" t="s">
        <v>2342</v>
      </c>
      <c r="D831" s="22" t="s">
        <v>12</v>
      </c>
      <c r="E831" s="23">
        <v>7</v>
      </c>
      <c r="F831" s="23">
        <v>357.5</v>
      </c>
      <c r="G831" s="23">
        <v>2502.5</v>
      </c>
      <c r="H831" s="22" t="s">
        <v>1563</v>
      </c>
      <c r="I831" s="22" t="s">
        <v>2298</v>
      </c>
    </row>
    <row r="832" spans="1:9" x14ac:dyDescent="0.35">
      <c r="A832" s="22" t="s">
        <v>1564</v>
      </c>
      <c r="B832" s="22"/>
      <c r="C832" s="22" t="s">
        <v>11</v>
      </c>
      <c r="D832" s="22" t="s">
        <v>2343</v>
      </c>
      <c r="E832" s="23">
        <v>6</v>
      </c>
      <c r="F832" s="23">
        <v>108.17</v>
      </c>
      <c r="G832" s="23">
        <v>649.02</v>
      </c>
      <c r="H832" s="22" t="s">
        <v>1565</v>
      </c>
      <c r="I832" s="22"/>
    </row>
    <row r="833" spans="1:9" x14ac:dyDescent="0.35">
      <c r="A833" s="22" t="s">
        <v>1566</v>
      </c>
      <c r="B833" s="22" t="s">
        <v>2963</v>
      </c>
      <c r="C833" s="22" t="s">
        <v>11</v>
      </c>
      <c r="D833" s="22" t="s">
        <v>24</v>
      </c>
      <c r="E833" s="23">
        <v>6</v>
      </c>
      <c r="F833" s="23">
        <v>113.39</v>
      </c>
      <c r="G833" s="23">
        <v>680.34</v>
      </c>
      <c r="H833" s="22" t="s">
        <v>1567</v>
      </c>
      <c r="I833" s="22" t="s">
        <v>2378</v>
      </c>
    </row>
    <row r="834" spans="1:9" x14ac:dyDescent="0.35">
      <c r="A834" s="22" t="s">
        <v>1568</v>
      </c>
      <c r="B834" s="22"/>
      <c r="C834" s="22" t="s">
        <v>2346</v>
      </c>
      <c r="D834" s="22" t="s">
        <v>2347</v>
      </c>
      <c r="E834" s="23">
        <v>9</v>
      </c>
      <c r="F834" s="23">
        <v>347.26</v>
      </c>
      <c r="G834" s="23">
        <v>3125.34</v>
      </c>
      <c r="H834" s="22" t="s">
        <v>1569</v>
      </c>
      <c r="I834" s="22" t="s">
        <v>2344</v>
      </c>
    </row>
    <row r="835" spans="1:9" x14ac:dyDescent="0.35">
      <c r="A835" s="22" t="s">
        <v>1570</v>
      </c>
      <c r="B835" s="22" t="s">
        <v>2616</v>
      </c>
      <c r="C835" s="22" t="s">
        <v>2342</v>
      </c>
      <c r="D835" s="22" t="s">
        <v>2364</v>
      </c>
      <c r="E835" s="23">
        <v>2</v>
      </c>
      <c r="F835" s="23">
        <v>117.66</v>
      </c>
      <c r="G835" s="23">
        <v>235.32</v>
      </c>
      <c r="H835" s="22" t="s">
        <v>1571</v>
      </c>
      <c r="I835" s="22"/>
    </row>
    <row r="836" spans="1:9" x14ac:dyDescent="0.35">
      <c r="A836" s="22" t="s">
        <v>1572</v>
      </c>
      <c r="B836" s="22" t="s">
        <v>2964</v>
      </c>
      <c r="C836" s="22" t="s">
        <v>11</v>
      </c>
      <c r="D836" s="22" t="s">
        <v>2364</v>
      </c>
      <c r="E836" s="23">
        <v>3</v>
      </c>
      <c r="F836" s="23">
        <v>224.95</v>
      </c>
      <c r="G836" s="23">
        <v>674.85</v>
      </c>
      <c r="H836" s="22" t="s">
        <v>1573</v>
      </c>
      <c r="I836" s="22" t="s">
        <v>50</v>
      </c>
    </row>
    <row r="837" spans="1:9" x14ac:dyDescent="0.35">
      <c r="A837" s="22" t="s">
        <v>1574</v>
      </c>
      <c r="B837" s="22" t="s">
        <v>2965</v>
      </c>
      <c r="C837" s="22" t="s">
        <v>19</v>
      </c>
      <c r="D837" s="22" t="s">
        <v>24</v>
      </c>
      <c r="E837" s="23">
        <v>9</v>
      </c>
      <c r="F837" s="23">
        <v>393.18</v>
      </c>
      <c r="G837" s="23">
        <v>3538.62</v>
      </c>
      <c r="H837" s="22" t="s">
        <v>1575</v>
      </c>
      <c r="I837" s="22" t="s">
        <v>14</v>
      </c>
    </row>
    <row r="838" spans="1:9" x14ac:dyDescent="0.35">
      <c r="A838" s="22" t="s">
        <v>1576</v>
      </c>
      <c r="B838" s="22" t="s">
        <v>2644</v>
      </c>
      <c r="C838" s="22" t="s">
        <v>2346</v>
      </c>
      <c r="D838" s="22" t="s">
        <v>46</v>
      </c>
      <c r="E838" s="23">
        <v>3</v>
      </c>
      <c r="F838" s="23">
        <v>394.14</v>
      </c>
      <c r="G838" s="23">
        <v>1182.42</v>
      </c>
      <c r="H838" s="22" t="s">
        <v>1577</v>
      </c>
      <c r="I838" s="22" t="s">
        <v>14</v>
      </c>
    </row>
    <row r="839" spans="1:9" x14ac:dyDescent="0.35">
      <c r="A839" s="22" t="s">
        <v>1578</v>
      </c>
      <c r="B839" s="22" t="s">
        <v>2966</v>
      </c>
      <c r="C839" s="22" t="s">
        <v>2342</v>
      </c>
      <c r="D839" s="22" t="s">
        <v>2343</v>
      </c>
      <c r="E839" s="23">
        <v>8</v>
      </c>
      <c r="F839" s="23"/>
      <c r="G839" s="23">
        <v>1856.8</v>
      </c>
      <c r="H839" s="22" t="s">
        <v>1579</v>
      </c>
      <c r="I839" s="22" t="s">
        <v>50</v>
      </c>
    </row>
    <row r="840" spans="1:9" x14ac:dyDescent="0.35">
      <c r="A840" s="22" t="s">
        <v>1580</v>
      </c>
      <c r="B840" s="22" t="s">
        <v>2397</v>
      </c>
      <c r="C840" s="22" t="s">
        <v>2349</v>
      </c>
      <c r="D840" s="22" t="s">
        <v>24</v>
      </c>
      <c r="E840" s="23">
        <v>5</v>
      </c>
      <c r="F840" s="23">
        <v>398.17</v>
      </c>
      <c r="G840" s="23">
        <v>1990.85</v>
      </c>
      <c r="H840" s="22" t="s">
        <v>1581</v>
      </c>
      <c r="I840" s="22" t="s">
        <v>2340</v>
      </c>
    </row>
    <row r="841" spans="1:9" x14ac:dyDescent="0.35">
      <c r="A841" s="22" t="s">
        <v>1582</v>
      </c>
      <c r="B841" s="22" t="s">
        <v>2967</v>
      </c>
      <c r="C841" s="22" t="s">
        <v>16</v>
      </c>
      <c r="D841" s="22" t="s">
        <v>2343</v>
      </c>
      <c r="E841" s="23">
        <v>4</v>
      </c>
      <c r="F841" s="23">
        <v>-154.13999999999999</v>
      </c>
      <c r="G841" s="23">
        <v>1683.68</v>
      </c>
      <c r="H841" s="22" t="s">
        <v>1583</v>
      </c>
      <c r="I841" s="22" t="s">
        <v>2340</v>
      </c>
    </row>
    <row r="842" spans="1:9" x14ac:dyDescent="0.35">
      <c r="A842" s="22" t="s">
        <v>1584</v>
      </c>
      <c r="B842" s="22" t="s">
        <v>2937</v>
      </c>
      <c r="C842" s="22" t="s">
        <v>2358</v>
      </c>
      <c r="D842" s="22" t="s">
        <v>24</v>
      </c>
      <c r="E842" s="23">
        <v>9</v>
      </c>
      <c r="F842" s="23">
        <v>330.84</v>
      </c>
      <c r="G842" s="23">
        <v>2977.56</v>
      </c>
      <c r="H842" s="22" t="s">
        <v>1585</v>
      </c>
      <c r="I842" s="22" t="s">
        <v>2340</v>
      </c>
    </row>
    <row r="843" spans="1:9" x14ac:dyDescent="0.35">
      <c r="A843" s="22" t="s">
        <v>1586</v>
      </c>
      <c r="B843" s="22" t="s">
        <v>2968</v>
      </c>
      <c r="C843" s="22" t="s">
        <v>23</v>
      </c>
      <c r="D843" s="22" t="s">
        <v>46</v>
      </c>
      <c r="E843" s="23">
        <v>2</v>
      </c>
      <c r="F843" s="23">
        <v>121.93</v>
      </c>
      <c r="G843" s="23">
        <v>243.86</v>
      </c>
      <c r="H843" s="22" t="s">
        <v>1587</v>
      </c>
      <c r="I843" s="22"/>
    </row>
    <row r="844" spans="1:9" x14ac:dyDescent="0.35">
      <c r="A844" s="22" t="s">
        <v>1588</v>
      </c>
      <c r="B844" s="22" t="s">
        <v>2371</v>
      </c>
      <c r="C844" s="22" t="s">
        <v>16</v>
      </c>
      <c r="D844" s="22" t="s">
        <v>32</v>
      </c>
      <c r="E844" s="23">
        <v>5</v>
      </c>
      <c r="F844" s="23">
        <v>144.27000000000001</v>
      </c>
      <c r="G844" s="23">
        <v>721.35</v>
      </c>
      <c r="H844" s="22" t="s">
        <v>1589</v>
      </c>
      <c r="I844" s="22" t="s">
        <v>2378</v>
      </c>
    </row>
    <row r="845" spans="1:9" x14ac:dyDescent="0.35">
      <c r="A845" s="22" t="s">
        <v>1590</v>
      </c>
      <c r="B845" s="22" t="s">
        <v>2603</v>
      </c>
      <c r="C845" s="22" t="s">
        <v>2342</v>
      </c>
      <c r="D845" s="22" t="s">
        <v>2364</v>
      </c>
      <c r="E845" s="23">
        <v>10</v>
      </c>
      <c r="F845" s="23">
        <v>164.27</v>
      </c>
      <c r="G845" s="23"/>
      <c r="H845" s="22" t="s">
        <v>1591</v>
      </c>
      <c r="I845" s="22" t="s">
        <v>2344</v>
      </c>
    </row>
    <row r="846" spans="1:9" x14ac:dyDescent="0.35">
      <c r="A846" s="22" t="s">
        <v>1592</v>
      </c>
      <c r="B846" s="22"/>
      <c r="C846" s="22" t="s">
        <v>2342</v>
      </c>
      <c r="D846" s="22" t="s">
        <v>2343</v>
      </c>
      <c r="E846" s="23">
        <v>5</v>
      </c>
      <c r="F846" s="23">
        <v>67.23</v>
      </c>
      <c r="G846" s="23">
        <v>336.15</v>
      </c>
      <c r="H846" s="22" t="s">
        <v>1593</v>
      </c>
      <c r="I846" s="22" t="s">
        <v>2298</v>
      </c>
    </row>
    <row r="847" spans="1:9" x14ac:dyDescent="0.35">
      <c r="A847" s="22" t="s">
        <v>1594</v>
      </c>
      <c r="B847" s="22"/>
      <c r="C847" s="22" t="s">
        <v>16</v>
      </c>
      <c r="D847" s="22" t="s">
        <v>32</v>
      </c>
      <c r="E847" s="23">
        <v>4</v>
      </c>
      <c r="F847" s="23">
        <v>143.85</v>
      </c>
      <c r="G847" s="23">
        <v>575.4</v>
      </c>
      <c r="H847" s="22" t="s">
        <v>1595</v>
      </c>
      <c r="I847" s="22" t="s">
        <v>2298</v>
      </c>
    </row>
    <row r="848" spans="1:9" x14ac:dyDescent="0.35">
      <c r="A848" s="22" t="s">
        <v>1596</v>
      </c>
      <c r="B848" s="22" t="s">
        <v>2365</v>
      </c>
      <c r="C848" s="22" t="s">
        <v>2349</v>
      </c>
      <c r="D848" s="22" t="s">
        <v>32</v>
      </c>
      <c r="E848" s="23">
        <v>7</v>
      </c>
      <c r="F848" s="23">
        <v>112.66</v>
      </c>
      <c r="G848" s="23">
        <v>788.62</v>
      </c>
      <c r="H848" s="22" t="s">
        <v>1597</v>
      </c>
      <c r="I848" s="22" t="s">
        <v>2344</v>
      </c>
    </row>
    <row r="849" spans="1:9" x14ac:dyDescent="0.35">
      <c r="A849" s="22" t="s">
        <v>1598</v>
      </c>
      <c r="B849" s="22" t="s">
        <v>2969</v>
      </c>
      <c r="C849" s="22" t="s">
        <v>2282</v>
      </c>
      <c r="D849" s="22" t="s">
        <v>2364</v>
      </c>
      <c r="E849" s="23">
        <v>3</v>
      </c>
      <c r="F849" s="23">
        <v>233.11</v>
      </c>
      <c r="G849" s="23">
        <v>699.33</v>
      </c>
      <c r="H849" s="22" t="s">
        <v>1599</v>
      </c>
      <c r="I849" s="22" t="s">
        <v>2344</v>
      </c>
    </row>
    <row r="850" spans="1:9" x14ac:dyDescent="0.35">
      <c r="A850" s="22" t="s">
        <v>1600</v>
      </c>
      <c r="B850" s="22" t="s">
        <v>2970</v>
      </c>
      <c r="C850" s="22" t="s">
        <v>19</v>
      </c>
      <c r="D850" s="22" t="s">
        <v>2350</v>
      </c>
      <c r="E850" s="23">
        <v>6</v>
      </c>
      <c r="F850" s="23">
        <v>455.13</v>
      </c>
      <c r="G850" s="23">
        <v>2730.78</v>
      </c>
      <c r="H850" s="22" t="s">
        <v>49</v>
      </c>
      <c r="I850" s="22" t="s">
        <v>14</v>
      </c>
    </row>
    <row r="851" spans="1:9" x14ac:dyDescent="0.35">
      <c r="A851" s="22" t="s">
        <v>1601</v>
      </c>
      <c r="B851" s="22" t="s">
        <v>2971</v>
      </c>
      <c r="C851" s="22" t="s">
        <v>2342</v>
      </c>
      <c r="D851" s="22" t="s">
        <v>2343</v>
      </c>
      <c r="E851" s="23">
        <v>3</v>
      </c>
      <c r="F851" s="23">
        <v>61.2</v>
      </c>
      <c r="G851" s="23">
        <v>183.6</v>
      </c>
      <c r="H851" s="22" t="s">
        <v>1602</v>
      </c>
      <c r="I851" s="22" t="s">
        <v>2356</v>
      </c>
    </row>
    <row r="852" spans="1:9" x14ac:dyDescent="0.35">
      <c r="A852" s="22" t="s">
        <v>1603</v>
      </c>
      <c r="B852" s="22" t="s">
        <v>2972</v>
      </c>
      <c r="C852" s="22"/>
      <c r="D852" s="22" t="s">
        <v>32</v>
      </c>
      <c r="E852" s="23">
        <v>3</v>
      </c>
      <c r="F852" s="23">
        <v>362.93</v>
      </c>
      <c r="G852" s="23">
        <v>1088.79</v>
      </c>
      <c r="H852" s="22" t="s">
        <v>1604</v>
      </c>
      <c r="I852" s="22" t="s">
        <v>2340</v>
      </c>
    </row>
    <row r="853" spans="1:9" x14ac:dyDescent="0.35">
      <c r="A853" s="22" t="s">
        <v>1605</v>
      </c>
      <c r="B853" s="22" t="s">
        <v>2429</v>
      </c>
      <c r="C853" s="22" t="s">
        <v>11</v>
      </c>
      <c r="D853" s="22" t="s">
        <v>24</v>
      </c>
      <c r="E853" s="23">
        <v>4</v>
      </c>
      <c r="F853" s="23">
        <v>346.77</v>
      </c>
      <c r="G853" s="23">
        <v>1387.08</v>
      </c>
      <c r="H853" s="22" t="s">
        <v>1606</v>
      </c>
      <c r="I853" s="22" t="s">
        <v>50</v>
      </c>
    </row>
    <row r="854" spans="1:9" x14ac:dyDescent="0.35">
      <c r="A854" s="22" t="s">
        <v>1607</v>
      </c>
      <c r="B854" s="22" t="s">
        <v>2545</v>
      </c>
      <c r="C854" s="22" t="s">
        <v>2282</v>
      </c>
      <c r="D854" s="22" t="s">
        <v>2350</v>
      </c>
      <c r="E854" s="23">
        <v>1</v>
      </c>
      <c r="F854" s="23">
        <v>-180.34</v>
      </c>
      <c r="G854" s="23">
        <v>130.69999999999999</v>
      </c>
      <c r="H854" s="22" t="s">
        <v>1608</v>
      </c>
      <c r="I854" s="22" t="s">
        <v>2340</v>
      </c>
    </row>
    <row r="855" spans="1:9" x14ac:dyDescent="0.35">
      <c r="A855" s="22" t="s">
        <v>1609</v>
      </c>
      <c r="B855" s="22" t="s">
        <v>2973</v>
      </c>
      <c r="C855" s="22" t="s">
        <v>2346</v>
      </c>
      <c r="D855" s="22" t="s">
        <v>2364</v>
      </c>
      <c r="E855" s="23">
        <v>2</v>
      </c>
      <c r="F855" s="23">
        <v>462.06</v>
      </c>
      <c r="G855" s="23">
        <v>1279.27</v>
      </c>
      <c r="H855" s="22" t="s">
        <v>1610</v>
      </c>
      <c r="I855" s="22" t="s">
        <v>2340</v>
      </c>
    </row>
    <row r="856" spans="1:9" x14ac:dyDescent="0.35">
      <c r="A856" s="22" t="s">
        <v>1611</v>
      </c>
      <c r="B856" s="22" t="s">
        <v>2974</v>
      </c>
      <c r="C856" s="22" t="s">
        <v>2346</v>
      </c>
      <c r="D856" s="22" t="s">
        <v>2364</v>
      </c>
      <c r="E856" s="23">
        <v>4</v>
      </c>
      <c r="F856" s="23">
        <v>288.55</v>
      </c>
      <c r="G856" s="23">
        <v>1154.2</v>
      </c>
      <c r="H856" s="22" t="s">
        <v>1612</v>
      </c>
      <c r="I856" s="22" t="s">
        <v>2378</v>
      </c>
    </row>
    <row r="857" spans="1:9" x14ac:dyDescent="0.35">
      <c r="A857" s="22" t="s">
        <v>1613</v>
      </c>
      <c r="B857" s="22" t="s">
        <v>2975</v>
      </c>
      <c r="C857" s="22" t="s">
        <v>2358</v>
      </c>
      <c r="D857" s="22" t="s">
        <v>2347</v>
      </c>
      <c r="E857" s="23">
        <v>5</v>
      </c>
      <c r="F857" s="23">
        <v>188.23</v>
      </c>
      <c r="G857" s="23">
        <v>941.15</v>
      </c>
      <c r="H857" s="22" t="s">
        <v>1614</v>
      </c>
      <c r="I857" s="22" t="s">
        <v>2378</v>
      </c>
    </row>
    <row r="858" spans="1:9" x14ac:dyDescent="0.35">
      <c r="A858" s="22" t="s">
        <v>1615</v>
      </c>
      <c r="B858" s="22" t="s">
        <v>2976</v>
      </c>
      <c r="C858" s="22" t="s">
        <v>2346</v>
      </c>
      <c r="D858" s="22" t="s">
        <v>2347</v>
      </c>
      <c r="E858" s="23">
        <v>8</v>
      </c>
      <c r="F858" s="23">
        <v>380.7</v>
      </c>
      <c r="G858" s="23">
        <v>3045.6</v>
      </c>
      <c r="H858" s="22" t="s">
        <v>1616</v>
      </c>
      <c r="I858" s="22" t="s">
        <v>2378</v>
      </c>
    </row>
    <row r="859" spans="1:9" x14ac:dyDescent="0.35">
      <c r="A859" s="22" t="s">
        <v>1617</v>
      </c>
      <c r="B859" s="22" t="s">
        <v>2977</v>
      </c>
      <c r="C859" s="22" t="s">
        <v>2346</v>
      </c>
      <c r="D859" s="22" t="s">
        <v>2350</v>
      </c>
      <c r="E859" s="23">
        <v>9999</v>
      </c>
      <c r="F859" s="23">
        <v>136.11000000000001</v>
      </c>
      <c r="G859" s="23">
        <v>952.77</v>
      </c>
      <c r="H859" s="22" t="s">
        <v>1618</v>
      </c>
      <c r="I859" s="22" t="s">
        <v>2378</v>
      </c>
    </row>
    <row r="860" spans="1:9" x14ac:dyDescent="0.35">
      <c r="A860" s="22" t="s">
        <v>1619</v>
      </c>
      <c r="B860" s="22" t="s">
        <v>2978</v>
      </c>
      <c r="C860" s="22" t="s">
        <v>23</v>
      </c>
      <c r="D860" s="22" t="s">
        <v>2350</v>
      </c>
      <c r="E860" s="23">
        <v>7</v>
      </c>
      <c r="F860" s="23">
        <v>349.82</v>
      </c>
      <c r="G860" s="23">
        <v>2448.7399999999998</v>
      </c>
      <c r="H860" s="22" t="s">
        <v>1620</v>
      </c>
      <c r="I860" s="22" t="s">
        <v>2356</v>
      </c>
    </row>
    <row r="861" spans="1:9" x14ac:dyDescent="0.35">
      <c r="A861" s="22" t="s">
        <v>1621</v>
      </c>
      <c r="B861" s="22" t="s">
        <v>2979</v>
      </c>
      <c r="C861" s="22" t="s">
        <v>16</v>
      </c>
      <c r="D861" s="22" t="s">
        <v>2343</v>
      </c>
      <c r="E861" s="23">
        <v>2</v>
      </c>
      <c r="F861" s="23">
        <v>29.46</v>
      </c>
      <c r="G861" s="23">
        <v>143.35</v>
      </c>
      <c r="H861" s="22" t="s">
        <v>1622</v>
      </c>
      <c r="I861" s="22" t="s">
        <v>2344</v>
      </c>
    </row>
    <row r="862" spans="1:9" x14ac:dyDescent="0.35">
      <c r="A862" s="22" t="s">
        <v>1623</v>
      </c>
      <c r="B862" s="22" t="s">
        <v>2371</v>
      </c>
      <c r="C862" s="22" t="s">
        <v>2346</v>
      </c>
      <c r="D862" s="22" t="s">
        <v>2343</v>
      </c>
      <c r="E862" s="23">
        <v>6</v>
      </c>
      <c r="F862" s="23">
        <v>421.31</v>
      </c>
      <c r="G862" s="23">
        <v>2527.86</v>
      </c>
      <c r="H862" s="22" t="s">
        <v>1624</v>
      </c>
      <c r="I862" s="22" t="s">
        <v>50</v>
      </c>
    </row>
    <row r="863" spans="1:9" x14ac:dyDescent="0.35">
      <c r="A863" s="22" t="s">
        <v>1625</v>
      </c>
      <c r="B863" s="22" t="s">
        <v>2972</v>
      </c>
      <c r="C863" s="22" t="s">
        <v>2342</v>
      </c>
      <c r="D863" s="22" t="s">
        <v>12</v>
      </c>
      <c r="E863" s="23">
        <v>8</v>
      </c>
      <c r="F863" s="23">
        <v>229.6</v>
      </c>
      <c r="G863" s="23">
        <v>1836.8</v>
      </c>
      <c r="H863" s="22" t="s">
        <v>1626</v>
      </c>
      <c r="I863" s="22" t="s">
        <v>2344</v>
      </c>
    </row>
    <row r="864" spans="1:9" x14ac:dyDescent="0.35">
      <c r="A864" s="22" t="s">
        <v>1627</v>
      </c>
      <c r="B864" s="22" t="s">
        <v>2980</v>
      </c>
      <c r="C864" s="22" t="s">
        <v>19</v>
      </c>
      <c r="D864" s="22" t="s">
        <v>2364</v>
      </c>
      <c r="E864" s="23">
        <v>6</v>
      </c>
      <c r="F864" s="23">
        <v>321.98</v>
      </c>
      <c r="G864" s="23">
        <v>1931.88</v>
      </c>
      <c r="H864" s="22" t="s">
        <v>49</v>
      </c>
      <c r="I864" s="22" t="s">
        <v>2340</v>
      </c>
    </row>
    <row r="865" spans="1:9" x14ac:dyDescent="0.35">
      <c r="A865" s="22" t="s">
        <v>1628</v>
      </c>
      <c r="B865" s="22" t="s">
        <v>2981</v>
      </c>
      <c r="C865" s="22" t="s">
        <v>16</v>
      </c>
      <c r="D865" s="22" t="s">
        <v>24</v>
      </c>
      <c r="E865" s="23">
        <v>4</v>
      </c>
      <c r="F865" s="23">
        <v>118.41</v>
      </c>
      <c r="G865" s="23">
        <v>473.64</v>
      </c>
      <c r="H865" s="22" t="s">
        <v>1629</v>
      </c>
      <c r="I865" s="22" t="s">
        <v>26</v>
      </c>
    </row>
    <row r="866" spans="1:9" x14ac:dyDescent="0.35">
      <c r="A866" s="22" t="s">
        <v>1630</v>
      </c>
      <c r="B866" s="22" t="s">
        <v>2982</v>
      </c>
      <c r="C866" s="22"/>
      <c r="D866" s="22" t="s">
        <v>2350</v>
      </c>
      <c r="E866" s="23">
        <v>4</v>
      </c>
      <c r="F866" s="23">
        <v>341.77</v>
      </c>
      <c r="G866" s="23">
        <v>1367.08</v>
      </c>
      <c r="H866" s="22" t="s">
        <v>1631</v>
      </c>
      <c r="I866" s="22" t="s">
        <v>50</v>
      </c>
    </row>
    <row r="867" spans="1:9" x14ac:dyDescent="0.35">
      <c r="A867" s="22" t="s">
        <v>1632</v>
      </c>
      <c r="B867" s="22" t="s">
        <v>2983</v>
      </c>
      <c r="C867" s="22" t="s">
        <v>2342</v>
      </c>
      <c r="D867" s="22" t="s">
        <v>2364</v>
      </c>
      <c r="E867" s="23">
        <v>4</v>
      </c>
      <c r="F867" s="23">
        <v>388.4</v>
      </c>
      <c r="G867" s="23">
        <v>1553.6</v>
      </c>
      <c r="H867" s="22" t="s">
        <v>1633</v>
      </c>
      <c r="I867" s="22" t="s">
        <v>2344</v>
      </c>
    </row>
    <row r="868" spans="1:9" x14ac:dyDescent="0.35">
      <c r="A868" s="22" t="s">
        <v>1634</v>
      </c>
      <c r="B868" s="22" t="s">
        <v>2984</v>
      </c>
      <c r="C868" s="22"/>
      <c r="D868" s="22" t="s">
        <v>46</v>
      </c>
      <c r="E868" s="23">
        <v>1</v>
      </c>
      <c r="F868" s="23">
        <v>241.87</v>
      </c>
      <c r="G868" s="23">
        <v>241.87</v>
      </c>
      <c r="H868" s="22" t="s">
        <v>1635</v>
      </c>
      <c r="I868" s="22" t="s">
        <v>2378</v>
      </c>
    </row>
    <row r="869" spans="1:9" x14ac:dyDescent="0.35">
      <c r="A869" s="22" t="s">
        <v>1636</v>
      </c>
      <c r="B869" s="22" t="s">
        <v>2371</v>
      </c>
      <c r="C869" s="22" t="s">
        <v>16</v>
      </c>
      <c r="D869" s="22" t="s">
        <v>2364</v>
      </c>
      <c r="E869" s="23">
        <v>6</v>
      </c>
      <c r="F869" s="23">
        <v>312.69</v>
      </c>
      <c r="G869" s="23">
        <v>1876.14</v>
      </c>
      <c r="H869" s="22" t="s">
        <v>49</v>
      </c>
      <c r="I869" s="22" t="s">
        <v>26</v>
      </c>
    </row>
    <row r="870" spans="1:9" x14ac:dyDescent="0.35">
      <c r="A870" s="22" t="s">
        <v>1637</v>
      </c>
      <c r="B870" s="22" t="s">
        <v>2985</v>
      </c>
      <c r="C870" s="22" t="s">
        <v>2342</v>
      </c>
      <c r="D870" s="22" t="s">
        <v>2347</v>
      </c>
      <c r="E870" s="23">
        <v>8</v>
      </c>
      <c r="F870" s="23">
        <v>233.6</v>
      </c>
      <c r="G870" s="23">
        <v>1868.8</v>
      </c>
      <c r="H870" s="22" t="s">
        <v>1638</v>
      </c>
      <c r="I870" s="22" t="s">
        <v>2356</v>
      </c>
    </row>
    <row r="871" spans="1:9" x14ac:dyDescent="0.35">
      <c r="A871" s="22" t="s">
        <v>1639</v>
      </c>
      <c r="B871" s="22" t="s">
        <v>2371</v>
      </c>
      <c r="C871" s="22" t="s">
        <v>23</v>
      </c>
      <c r="D871" s="22" t="s">
        <v>32</v>
      </c>
      <c r="E871" s="23">
        <v>7</v>
      </c>
      <c r="F871" s="23">
        <v>448.1</v>
      </c>
      <c r="G871" s="23">
        <v>3136.7</v>
      </c>
      <c r="H871" s="22" t="s">
        <v>1640</v>
      </c>
      <c r="I871" s="22" t="s">
        <v>2340</v>
      </c>
    </row>
    <row r="872" spans="1:9" x14ac:dyDescent="0.35">
      <c r="A872" s="22" t="s">
        <v>1641</v>
      </c>
      <c r="B872" s="22" t="s">
        <v>2818</v>
      </c>
      <c r="C872" s="22" t="s">
        <v>19</v>
      </c>
      <c r="D872" s="22" t="s">
        <v>12</v>
      </c>
      <c r="E872" s="23">
        <v>7</v>
      </c>
      <c r="F872" s="23">
        <v>253.96</v>
      </c>
      <c r="G872" s="23">
        <v>1777.72</v>
      </c>
      <c r="H872" s="22"/>
      <c r="I872" s="22" t="s">
        <v>2344</v>
      </c>
    </row>
    <row r="873" spans="1:9" x14ac:dyDescent="0.35">
      <c r="A873" s="22" t="s">
        <v>1642</v>
      </c>
      <c r="B873" s="22" t="s">
        <v>2986</v>
      </c>
      <c r="C873" s="22" t="s">
        <v>2342</v>
      </c>
      <c r="D873" s="22" t="s">
        <v>2350</v>
      </c>
      <c r="E873" s="23">
        <v>-7</v>
      </c>
      <c r="F873" s="23">
        <v>422.49</v>
      </c>
      <c r="G873" s="23">
        <v>2778.62</v>
      </c>
      <c r="H873" s="22"/>
      <c r="I873" s="22" t="s">
        <v>26</v>
      </c>
    </row>
    <row r="874" spans="1:9" x14ac:dyDescent="0.35">
      <c r="A874" s="22" t="s">
        <v>1643</v>
      </c>
      <c r="B874" s="22" t="s">
        <v>2987</v>
      </c>
      <c r="C874" s="22" t="s">
        <v>2282</v>
      </c>
      <c r="D874" s="22" t="s">
        <v>2347</v>
      </c>
      <c r="E874" s="23">
        <v>6</v>
      </c>
      <c r="F874" s="23">
        <v>402.66</v>
      </c>
      <c r="G874" s="23">
        <v>2415.96</v>
      </c>
      <c r="H874" s="22" t="s">
        <v>1644</v>
      </c>
      <c r="I874" s="22" t="s">
        <v>2378</v>
      </c>
    </row>
    <row r="875" spans="1:9" x14ac:dyDescent="0.35">
      <c r="A875" s="22" t="s">
        <v>1645</v>
      </c>
      <c r="B875" s="22" t="s">
        <v>2988</v>
      </c>
      <c r="C875" s="22" t="s">
        <v>2282</v>
      </c>
      <c r="D875" s="22" t="s">
        <v>2347</v>
      </c>
      <c r="E875" s="23">
        <v>4</v>
      </c>
      <c r="F875" s="23">
        <v>211.15</v>
      </c>
      <c r="G875" s="23">
        <v>844.6</v>
      </c>
      <c r="H875" s="22" t="s">
        <v>1646</v>
      </c>
      <c r="I875" s="22" t="s">
        <v>2298</v>
      </c>
    </row>
    <row r="876" spans="1:9" x14ac:dyDescent="0.35">
      <c r="A876" s="22" t="s">
        <v>1647</v>
      </c>
      <c r="B876" s="22" t="s">
        <v>2791</v>
      </c>
      <c r="C876" s="22"/>
      <c r="D876" s="22" t="s">
        <v>2347</v>
      </c>
      <c r="E876" s="23">
        <v>3</v>
      </c>
      <c r="F876" s="23">
        <v>122.74</v>
      </c>
      <c r="G876" s="23">
        <v>368.22</v>
      </c>
      <c r="H876" s="22" t="s">
        <v>1648</v>
      </c>
      <c r="I876" s="22" t="s">
        <v>2298</v>
      </c>
    </row>
    <row r="877" spans="1:9" x14ac:dyDescent="0.35">
      <c r="A877" s="22" t="s">
        <v>1649</v>
      </c>
      <c r="B877" s="22" t="s">
        <v>2415</v>
      </c>
      <c r="C877" s="22" t="s">
        <v>2342</v>
      </c>
      <c r="D877" s="22" t="s">
        <v>2364</v>
      </c>
      <c r="E877" s="23">
        <v>6</v>
      </c>
      <c r="F877" s="23">
        <v>208.98</v>
      </c>
      <c r="G877" s="23">
        <v>1253.8800000000001</v>
      </c>
      <c r="H877" s="22" t="s">
        <v>1650</v>
      </c>
      <c r="I877" s="22" t="s">
        <v>50</v>
      </c>
    </row>
    <row r="878" spans="1:9" x14ac:dyDescent="0.35">
      <c r="A878" s="22" t="s">
        <v>1651</v>
      </c>
      <c r="B878" s="22" t="s">
        <v>2989</v>
      </c>
      <c r="C878" s="22" t="s">
        <v>2282</v>
      </c>
      <c r="D878" s="22" t="s">
        <v>12</v>
      </c>
      <c r="E878" s="23">
        <v>3</v>
      </c>
      <c r="F878" s="23">
        <v>414.85</v>
      </c>
      <c r="G878" s="23">
        <v>1244.55</v>
      </c>
      <c r="H878" s="22" t="s">
        <v>1652</v>
      </c>
      <c r="I878" s="22" t="s">
        <v>2340</v>
      </c>
    </row>
    <row r="879" spans="1:9" x14ac:dyDescent="0.35">
      <c r="A879" s="22" t="s">
        <v>1653</v>
      </c>
      <c r="B879" s="22" t="s">
        <v>2681</v>
      </c>
      <c r="C879" s="22" t="s">
        <v>2358</v>
      </c>
      <c r="D879" s="22" t="s">
        <v>2347</v>
      </c>
      <c r="E879" s="23">
        <v>10</v>
      </c>
      <c r="F879" s="23">
        <v>121.54</v>
      </c>
      <c r="G879" s="23">
        <v>1515.9</v>
      </c>
      <c r="H879" s="22" t="s">
        <v>1654</v>
      </c>
      <c r="I879" s="22" t="s">
        <v>50</v>
      </c>
    </row>
    <row r="880" spans="1:9" x14ac:dyDescent="0.35">
      <c r="A880" s="22" t="s">
        <v>1655</v>
      </c>
      <c r="B880" s="22" t="s">
        <v>2552</v>
      </c>
      <c r="C880" s="22" t="s">
        <v>2346</v>
      </c>
      <c r="D880" s="22" t="s">
        <v>2343</v>
      </c>
      <c r="E880" s="23">
        <v>5</v>
      </c>
      <c r="F880" s="23">
        <v>266.97000000000003</v>
      </c>
      <c r="G880" s="23">
        <v>1334.85</v>
      </c>
      <c r="H880" s="22" t="s">
        <v>1656</v>
      </c>
      <c r="I880" s="22" t="s">
        <v>2356</v>
      </c>
    </row>
    <row r="881" spans="1:9" x14ac:dyDescent="0.35">
      <c r="A881" s="22" t="s">
        <v>1657</v>
      </c>
      <c r="B881" s="22" t="s">
        <v>2990</v>
      </c>
      <c r="C881" s="22" t="s">
        <v>2346</v>
      </c>
      <c r="D881" s="22" t="s">
        <v>2350</v>
      </c>
      <c r="E881" s="23">
        <v>6</v>
      </c>
      <c r="F881" s="23">
        <v>404.99</v>
      </c>
      <c r="G881" s="23">
        <v>2429.94</v>
      </c>
      <c r="H881" s="22" t="s">
        <v>1658</v>
      </c>
      <c r="I881" s="22" t="s">
        <v>2340</v>
      </c>
    </row>
    <row r="882" spans="1:9" x14ac:dyDescent="0.35">
      <c r="A882" s="22" t="s">
        <v>1659</v>
      </c>
      <c r="B882" s="22" t="s">
        <v>2991</v>
      </c>
      <c r="C882" s="22" t="s">
        <v>16</v>
      </c>
      <c r="D882" s="22" t="s">
        <v>2343</v>
      </c>
      <c r="E882" s="23">
        <v>6</v>
      </c>
      <c r="F882" s="23">
        <v>183.2</v>
      </c>
      <c r="G882" s="23">
        <v>1099.2</v>
      </c>
      <c r="H882" s="22" t="s">
        <v>1660</v>
      </c>
      <c r="I882" s="22"/>
    </row>
    <row r="883" spans="1:9" x14ac:dyDescent="0.35">
      <c r="A883" s="22" t="s">
        <v>1661</v>
      </c>
      <c r="B883" s="22" t="s">
        <v>2992</v>
      </c>
      <c r="C883" s="22" t="s">
        <v>2358</v>
      </c>
      <c r="D883" s="22" t="s">
        <v>2343</v>
      </c>
      <c r="E883" s="23">
        <v>4</v>
      </c>
      <c r="F883" s="23">
        <v>324.68</v>
      </c>
      <c r="G883" s="23"/>
      <c r="H883" s="22" t="s">
        <v>1662</v>
      </c>
      <c r="I883" s="22" t="s">
        <v>26</v>
      </c>
    </row>
    <row r="884" spans="1:9" x14ac:dyDescent="0.35">
      <c r="A884" s="22" t="s">
        <v>1663</v>
      </c>
      <c r="B884" s="22" t="s">
        <v>2993</v>
      </c>
      <c r="C884" s="22" t="s">
        <v>2349</v>
      </c>
      <c r="D884" s="22" t="s">
        <v>24</v>
      </c>
      <c r="E884" s="23">
        <v>6</v>
      </c>
      <c r="F884" s="23" t="s">
        <v>332</v>
      </c>
      <c r="G884" s="23"/>
      <c r="H884" s="22" t="s">
        <v>1664</v>
      </c>
      <c r="I884" s="22" t="s">
        <v>14</v>
      </c>
    </row>
    <row r="885" spans="1:9" x14ac:dyDescent="0.35">
      <c r="A885" s="22" t="s">
        <v>1665</v>
      </c>
      <c r="B885" s="22" t="s">
        <v>2598</v>
      </c>
      <c r="C885" s="22" t="s">
        <v>19</v>
      </c>
      <c r="D885" s="22" t="s">
        <v>2350</v>
      </c>
      <c r="E885" s="23">
        <v>5</v>
      </c>
      <c r="F885" s="23">
        <v>63.55</v>
      </c>
      <c r="G885" s="23">
        <v>317.75</v>
      </c>
      <c r="H885" s="22" t="s">
        <v>1666</v>
      </c>
      <c r="I885" s="22" t="s">
        <v>14</v>
      </c>
    </row>
    <row r="886" spans="1:9" x14ac:dyDescent="0.35">
      <c r="A886" s="22" t="s">
        <v>1667</v>
      </c>
      <c r="B886" s="22" t="s">
        <v>2994</v>
      </c>
      <c r="C886" s="22" t="s">
        <v>11</v>
      </c>
      <c r="D886" s="22" t="s">
        <v>12</v>
      </c>
      <c r="E886" s="23">
        <v>3</v>
      </c>
      <c r="F886" s="23">
        <v>399.25</v>
      </c>
      <c r="G886" s="23">
        <v>1197.75</v>
      </c>
      <c r="H886" s="22" t="s">
        <v>84</v>
      </c>
      <c r="I886" s="22"/>
    </row>
    <row r="887" spans="1:9" x14ac:dyDescent="0.35">
      <c r="A887" s="22" t="s">
        <v>1668</v>
      </c>
      <c r="B887" s="22" t="s">
        <v>2995</v>
      </c>
      <c r="C887" s="22" t="s">
        <v>2349</v>
      </c>
      <c r="D887" s="22" t="s">
        <v>2350</v>
      </c>
      <c r="E887" s="23">
        <v>2</v>
      </c>
      <c r="F887" s="23">
        <v>58.49</v>
      </c>
      <c r="G887" s="23">
        <v>116.98</v>
      </c>
      <c r="H887" s="22" t="s">
        <v>1669</v>
      </c>
      <c r="I887" s="22" t="s">
        <v>14</v>
      </c>
    </row>
    <row r="888" spans="1:9" x14ac:dyDescent="0.35">
      <c r="A888" s="22" t="s">
        <v>1670</v>
      </c>
      <c r="B888" s="22" t="s">
        <v>2996</v>
      </c>
      <c r="C888" s="22" t="s">
        <v>2346</v>
      </c>
      <c r="D888" s="22" t="s">
        <v>2350</v>
      </c>
      <c r="E888" s="23">
        <v>3</v>
      </c>
      <c r="F888" s="23">
        <v>142.97999999999999</v>
      </c>
      <c r="G888" s="23">
        <v>428.94</v>
      </c>
      <c r="H888" s="22" t="s">
        <v>1671</v>
      </c>
      <c r="I888" s="22" t="s">
        <v>50</v>
      </c>
    </row>
    <row r="889" spans="1:9" x14ac:dyDescent="0.35">
      <c r="A889" s="22" t="s">
        <v>1672</v>
      </c>
      <c r="B889" s="22" t="s">
        <v>2835</v>
      </c>
      <c r="C889" s="22" t="s">
        <v>19</v>
      </c>
      <c r="D889" s="22" t="s">
        <v>2350</v>
      </c>
      <c r="E889" s="23" t="s">
        <v>2351</v>
      </c>
      <c r="F889" s="23">
        <v>429</v>
      </c>
      <c r="G889" s="23">
        <v>858</v>
      </c>
      <c r="H889" s="22" t="s">
        <v>1673</v>
      </c>
      <c r="I889" s="22" t="s">
        <v>2340</v>
      </c>
    </row>
    <row r="890" spans="1:9" x14ac:dyDescent="0.35">
      <c r="A890" s="22" t="s">
        <v>1674</v>
      </c>
      <c r="B890" s="22" t="s">
        <v>2450</v>
      </c>
      <c r="C890" s="22" t="s">
        <v>2282</v>
      </c>
      <c r="D890" s="22" t="s">
        <v>2350</v>
      </c>
      <c r="E890" s="23">
        <v>8</v>
      </c>
      <c r="F890" s="23">
        <v>179.77</v>
      </c>
      <c r="G890" s="23">
        <v>1438.16</v>
      </c>
      <c r="H890" s="22" t="s">
        <v>1675</v>
      </c>
      <c r="I890" s="22" t="s">
        <v>2344</v>
      </c>
    </row>
    <row r="891" spans="1:9" x14ac:dyDescent="0.35">
      <c r="A891" s="22" t="s">
        <v>1676</v>
      </c>
      <c r="B891" s="22" t="s">
        <v>2997</v>
      </c>
      <c r="C891" s="22" t="s">
        <v>2349</v>
      </c>
      <c r="D891" s="22" t="s">
        <v>24</v>
      </c>
      <c r="E891" s="23">
        <v>7</v>
      </c>
      <c r="F891" s="23">
        <v>486.79</v>
      </c>
      <c r="G891" s="23">
        <v>3407.53</v>
      </c>
      <c r="H891" s="22" t="s">
        <v>1677</v>
      </c>
      <c r="I891" s="22" t="s">
        <v>14</v>
      </c>
    </row>
    <row r="892" spans="1:9" x14ac:dyDescent="0.35">
      <c r="A892" s="22" t="s">
        <v>1678</v>
      </c>
      <c r="B892" s="22" t="s">
        <v>2998</v>
      </c>
      <c r="C892" s="22" t="s">
        <v>2282</v>
      </c>
      <c r="D892" s="22" t="s">
        <v>2343</v>
      </c>
      <c r="E892" s="23">
        <v>4</v>
      </c>
      <c r="F892" s="23">
        <v>490.07</v>
      </c>
      <c r="G892" s="23">
        <v>1960.28</v>
      </c>
      <c r="H892" s="22" t="s">
        <v>1679</v>
      </c>
      <c r="I892" s="22"/>
    </row>
    <row r="893" spans="1:9" x14ac:dyDescent="0.35">
      <c r="A893" s="22" t="s">
        <v>1680</v>
      </c>
      <c r="B893" s="22" t="s">
        <v>2721</v>
      </c>
      <c r="C893" s="22" t="s">
        <v>23</v>
      </c>
      <c r="D893" s="22" t="s">
        <v>32</v>
      </c>
      <c r="E893" s="23">
        <v>3</v>
      </c>
      <c r="F893" s="23">
        <v>141.46</v>
      </c>
      <c r="G893" s="23">
        <v>424.38</v>
      </c>
      <c r="H893" s="22" t="s">
        <v>1681</v>
      </c>
      <c r="I893" s="22" t="s">
        <v>14</v>
      </c>
    </row>
    <row r="894" spans="1:9" x14ac:dyDescent="0.35">
      <c r="A894" s="22" t="s">
        <v>1682</v>
      </c>
      <c r="B894" s="22" t="s">
        <v>2449</v>
      </c>
      <c r="C894" s="22" t="s">
        <v>16</v>
      </c>
      <c r="D894" s="22" t="s">
        <v>32</v>
      </c>
      <c r="E894" s="23">
        <v>3</v>
      </c>
      <c r="F894" s="23">
        <v>30.08</v>
      </c>
      <c r="G894" s="23">
        <v>90.24</v>
      </c>
      <c r="H894" s="22" t="s">
        <v>84</v>
      </c>
      <c r="I894" s="22" t="s">
        <v>14</v>
      </c>
    </row>
    <row r="895" spans="1:9" x14ac:dyDescent="0.35">
      <c r="A895" s="22" t="s">
        <v>1683</v>
      </c>
      <c r="B895" s="22" t="s">
        <v>2775</v>
      </c>
      <c r="C895" s="22" t="s">
        <v>19</v>
      </c>
      <c r="D895" s="22" t="s">
        <v>2364</v>
      </c>
      <c r="E895" s="23">
        <v>6</v>
      </c>
      <c r="F895" s="23">
        <v>355.48</v>
      </c>
      <c r="G895" s="23">
        <v>2132.88</v>
      </c>
      <c r="H895" s="22" t="s">
        <v>1684</v>
      </c>
      <c r="I895" s="22" t="s">
        <v>50</v>
      </c>
    </row>
    <row r="896" spans="1:9" x14ac:dyDescent="0.35">
      <c r="A896" s="22" t="s">
        <v>1685</v>
      </c>
      <c r="B896" s="22" t="s">
        <v>2999</v>
      </c>
      <c r="C896" s="22" t="s">
        <v>19</v>
      </c>
      <c r="D896" s="22" t="s">
        <v>32</v>
      </c>
      <c r="E896" s="23">
        <v>9999</v>
      </c>
      <c r="F896" s="23">
        <v>-156.31</v>
      </c>
      <c r="G896" s="23">
        <v>1154.9000000000001</v>
      </c>
      <c r="H896" s="22" t="s">
        <v>1686</v>
      </c>
      <c r="I896" s="22" t="s">
        <v>2378</v>
      </c>
    </row>
    <row r="897" spans="1:9" x14ac:dyDescent="0.35">
      <c r="A897" s="22" t="s">
        <v>1687</v>
      </c>
      <c r="B897" s="22" t="s">
        <v>3000</v>
      </c>
      <c r="C897" s="22" t="s">
        <v>2349</v>
      </c>
      <c r="D897" s="22" t="s">
        <v>2350</v>
      </c>
      <c r="E897" s="23">
        <v>1</v>
      </c>
      <c r="F897" s="23">
        <v>59.37</v>
      </c>
      <c r="G897" s="23">
        <v>59.37</v>
      </c>
      <c r="H897" s="22" t="s">
        <v>1688</v>
      </c>
      <c r="I897" s="22" t="s">
        <v>26</v>
      </c>
    </row>
    <row r="898" spans="1:9" x14ac:dyDescent="0.35">
      <c r="A898" s="22" t="s">
        <v>1689</v>
      </c>
      <c r="B898" s="22" t="s">
        <v>2953</v>
      </c>
      <c r="C898" s="22" t="s">
        <v>2342</v>
      </c>
      <c r="D898" s="22" t="s">
        <v>2347</v>
      </c>
      <c r="E898" s="23">
        <v>8</v>
      </c>
      <c r="F898" s="23">
        <v>-149.49</v>
      </c>
      <c r="G898" s="23">
        <v>2853.52</v>
      </c>
      <c r="H898" s="22" t="s">
        <v>49</v>
      </c>
      <c r="I898" s="22" t="s">
        <v>14</v>
      </c>
    </row>
    <row r="899" spans="1:9" x14ac:dyDescent="0.35">
      <c r="A899" s="22" t="s">
        <v>1690</v>
      </c>
      <c r="B899" s="22" t="s">
        <v>3001</v>
      </c>
      <c r="C899" s="22" t="s">
        <v>16</v>
      </c>
      <c r="D899" s="22" t="s">
        <v>2350</v>
      </c>
      <c r="E899" s="23">
        <v>9</v>
      </c>
      <c r="F899" s="23">
        <v>25.28</v>
      </c>
      <c r="G899" s="23">
        <v>227.52</v>
      </c>
      <c r="H899" s="22" t="s">
        <v>1691</v>
      </c>
      <c r="I899" s="22" t="s">
        <v>50</v>
      </c>
    </row>
    <row r="900" spans="1:9" x14ac:dyDescent="0.35">
      <c r="A900" s="22" t="s">
        <v>1692</v>
      </c>
      <c r="B900" s="22" t="s">
        <v>2409</v>
      </c>
      <c r="C900" s="22" t="s">
        <v>16</v>
      </c>
      <c r="D900" s="22" t="s">
        <v>46</v>
      </c>
      <c r="E900" s="23">
        <v>4</v>
      </c>
      <c r="F900" s="23">
        <v>436.4</v>
      </c>
      <c r="G900" s="23">
        <v>1745.6</v>
      </c>
      <c r="H900" s="22" t="s">
        <v>1693</v>
      </c>
      <c r="I900" s="22" t="s">
        <v>2340</v>
      </c>
    </row>
    <row r="901" spans="1:9" x14ac:dyDescent="0.35">
      <c r="A901" s="22" t="s">
        <v>1694</v>
      </c>
      <c r="B901" s="22" t="s">
        <v>2508</v>
      </c>
      <c r="C901" s="22"/>
      <c r="D901" s="22" t="s">
        <v>24</v>
      </c>
      <c r="E901" s="23">
        <v>7</v>
      </c>
      <c r="F901" s="23">
        <v>77.94</v>
      </c>
      <c r="G901" s="23">
        <v>545.58000000000004</v>
      </c>
      <c r="H901" s="22" t="s">
        <v>1695</v>
      </c>
      <c r="I901" s="22" t="s">
        <v>2344</v>
      </c>
    </row>
    <row r="902" spans="1:9" x14ac:dyDescent="0.35">
      <c r="A902" s="22" t="s">
        <v>1696</v>
      </c>
      <c r="B902" s="22" t="s">
        <v>3002</v>
      </c>
      <c r="C902" s="22"/>
      <c r="D902" s="22" t="s">
        <v>32</v>
      </c>
      <c r="E902" s="23">
        <v>3</v>
      </c>
      <c r="F902" s="23">
        <v>72.38</v>
      </c>
      <c r="G902" s="23"/>
      <c r="H902" s="22" t="s">
        <v>1697</v>
      </c>
      <c r="I902" s="22" t="s">
        <v>2298</v>
      </c>
    </row>
    <row r="903" spans="1:9" x14ac:dyDescent="0.35">
      <c r="A903" s="22" t="s">
        <v>1698</v>
      </c>
      <c r="B903" s="22" t="s">
        <v>2565</v>
      </c>
      <c r="C903" s="22" t="s">
        <v>2346</v>
      </c>
      <c r="D903" s="22" t="s">
        <v>24</v>
      </c>
      <c r="E903" s="23">
        <v>7</v>
      </c>
      <c r="F903" s="23">
        <v>96.08</v>
      </c>
      <c r="G903" s="23"/>
      <c r="H903" s="22" t="s">
        <v>1699</v>
      </c>
      <c r="I903" s="22" t="s">
        <v>2356</v>
      </c>
    </row>
    <row r="904" spans="1:9" x14ac:dyDescent="0.35">
      <c r="A904" s="22" t="s">
        <v>1700</v>
      </c>
      <c r="B904" s="22" t="s">
        <v>2830</v>
      </c>
      <c r="C904" s="22" t="s">
        <v>19</v>
      </c>
      <c r="D904" s="22" t="s">
        <v>2364</v>
      </c>
      <c r="E904" s="23">
        <v>5</v>
      </c>
      <c r="F904" s="23">
        <v>480.53</v>
      </c>
      <c r="G904" s="23">
        <v>2402.65</v>
      </c>
      <c r="H904" s="22" t="s">
        <v>1701</v>
      </c>
      <c r="I904" s="22" t="s">
        <v>2344</v>
      </c>
    </row>
    <row r="905" spans="1:9" x14ac:dyDescent="0.35">
      <c r="A905" s="22" t="s">
        <v>1702</v>
      </c>
      <c r="B905" s="22" t="s">
        <v>2688</v>
      </c>
      <c r="C905" s="22" t="s">
        <v>19</v>
      </c>
      <c r="D905" s="22" t="s">
        <v>2364</v>
      </c>
      <c r="E905" s="23">
        <v>6</v>
      </c>
      <c r="F905" s="23">
        <v>349.65</v>
      </c>
      <c r="G905" s="23">
        <v>2097.9</v>
      </c>
      <c r="H905" s="22"/>
      <c r="I905" s="22"/>
    </row>
    <row r="906" spans="1:9" x14ac:dyDescent="0.35">
      <c r="A906" s="22" t="s">
        <v>1703</v>
      </c>
      <c r="B906" s="22" t="s">
        <v>2814</v>
      </c>
      <c r="C906" s="22" t="s">
        <v>2342</v>
      </c>
      <c r="D906" s="22" t="s">
        <v>2364</v>
      </c>
      <c r="E906" s="23">
        <v>8</v>
      </c>
      <c r="F906" s="23">
        <v>402.67</v>
      </c>
      <c r="G906" s="23">
        <v>3672.46</v>
      </c>
      <c r="H906" s="22" t="s">
        <v>1704</v>
      </c>
      <c r="I906" s="22" t="s">
        <v>2298</v>
      </c>
    </row>
    <row r="907" spans="1:9" x14ac:dyDescent="0.35">
      <c r="A907" s="22" t="s">
        <v>1705</v>
      </c>
      <c r="B907" s="22" t="s">
        <v>2824</v>
      </c>
      <c r="C907" s="22" t="s">
        <v>2282</v>
      </c>
      <c r="D907" s="22" t="s">
        <v>24</v>
      </c>
      <c r="E907" s="23">
        <v>2</v>
      </c>
      <c r="F907" s="23">
        <v>204.84</v>
      </c>
      <c r="G907" s="23">
        <v>409.68</v>
      </c>
      <c r="H907" s="22" t="s">
        <v>1706</v>
      </c>
      <c r="I907" s="22" t="s">
        <v>50</v>
      </c>
    </row>
    <row r="908" spans="1:9" x14ac:dyDescent="0.35">
      <c r="A908" s="22" t="s">
        <v>1707</v>
      </c>
      <c r="B908" s="22" t="s">
        <v>2971</v>
      </c>
      <c r="C908" s="22" t="s">
        <v>11</v>
      </c>
      <c r="D908" s="22" t="s">
        <v>2364</v>
      </c>
      <c r="E908" s="23">
        <v>4</v>
      </c>
      <c r="F908" s="23">
        <v>174.79</v>
      </c>
      <c r="G908" s="23">
        <v>904.47</v>
      </c>
      <c r="H908" s="22" t="s">
        <v>1708</v>
      </c>
      <c r="I908" s="22" t="s">
        <v>2340</v>
      </c>
    </row>
    <row r="909" spans="1:9" x14ac:dyDescent="0.35">
      <c r="A909" s="22" t="s">
        <v>1709</v>
      </c>
      <c r="B909" s="22" t="s">
        <v>2777</v>
      </c>
      <c r="C909" s="22" t="s">
        <v>23</v>
      </c>
      <c r="D909" s="22" t="s">
        <v>46</v>
      </c>
      <c r="E909" s="23">
        <v>9</v>
      </c>
      <c r="F909" s="23">
        <v>124.9</v>
      </c>
      <c r="G909" s="23">
        <v>1124.0999999999999</v>
      </c>
      <c r="H909" s="22" t="s">
        <v>1710</v>
      </c>
      <c r="I909" s="22" t="s">
        <v>2344</v>
      </c>
    </row>
    <row r="910" spans="1:9" x14ac:dyDescent="0.35">
      <c r="A910" s="22" t="s">
        <v>1711</v>
      </c>
      <c r="B910" s="22" t="s">
        <v>2451</v>
      </c>
      <c r="C910" s="22" t="s">
        <v>11</v>
      </c>
      <c r="D910" s="22" t="s">
        <v>46</v>
      </c>
      <c r="E910" s="23">
        <v>4</v>
      </c>
      <c r="F910" s="23">
        <v>245.52</v>
      </c>
      <c r="G910" s="23">
        <v>982.08</v>
      </c>
      <c r="H910" s="22" t="s">
        <v>1712</v>
      </c>
      <c r="I910" s="22" t="s">
        <v>50</v>
      </c>
    </row>
    <row r="911" spans="1:9" x14ac:dyDescent="0.35">
      <c r="A911" s="22" t="s">
        <v>1713</v>
      </c>
      <c r="B911" s="22" t="s">
        <v>3003</v>
      </c>
      <c r="C911" s="22" t="s">
        <v>2346</v>
      </c>
      <c r="D911" s="22" t="s">
        <v>2364</v>
      </c>
      <c r="E911" s="23">
        <v>4</v>
      </c>
      <c r="F911" s="23">
        <v>280.39999999999998</v>
      </c>
      <c r="G911" s="23">
        <v>1121.5999999999999</v>
      </c>
      <c r="H911" s="22" t="s">
        <v>1714</v>
      </c>
      <c r="I911" s="22" t="s">
        <v>2344</v>
      </c>
    </row>
    <row r="912" spans="1:9" x14ac:dyDescent="0.35">
      <c r="A912" s="22" t="s">
        <v>1715</v>
      </c>
      <c r="B912" s="22" t="s">
        <v>2539</v>
      </c>
      <c r="C912" s="22" t="s">
        <v>19</v>
      </c>
      <c r="D912" s="22" t="s">
        <v>2364</v>
      </c>
      <c r="E912" s="23">
        <v>3</v>
      </c>
      <c r="F912" s="23">
        <v>319.57</v>
      </c>
      <c r="G912" s="23">
        <v>958.71</v>
      </c>
      <c r="H912" s="22" t="s">
        <v>1716</v>
      </c>
      <c r="I912" s="22" t="s">
        <v>2356</v>
      </c>
    </row>
    <row r="913" spans="1:9" x14ac:dyDescent="0.35">
      <c r="A913" s="22" t="s">
        <v>1717</v>
      </c>
      <c r="B913" s="22" t="s">
        <v>3004</v>
      </c>
      <c r="C913" s="22" t="s">
        <v>2349</v>
      </c>
      <c r="D913" s="22" t="s">
        <v>2343</v>
      </c>
      <c r="E913" s="23">
        <v>4</v>
      </c>
      <c r="F913" s="23">
        <v>135.99</v>
      </c>
      <c r="G913" s="23">
        <v>543.96</v>
      </c>
      <c r="H913" s="22" t="s">
        <v>1718</v>
      </c>
      <c r="I913" s="22" t="s">
        <v>2344</v>
      </c>
    </row>
    <row r="914" spans="1:9" x14ac:dyDescent="0.35">
      <c r="A914" s="22" t="s">
        <v>1719</v>
      </c>
      <c r="B914" s="22" t="s">
        <v>3005</v>
      </c>
      <c r="C914" s="22" t="s">
        <v>2349</v>
      </c>
      <c r="D914" s="22" t="s">
        <v>2364</v>
      </c>
      <c r="E914" s="23">
        <v>4</v>
      </c>
      <c r="F914" s="23">
        <v>474.84</v>
      </c>
      <c r="G914" s="23">
        <v>1899.36</v>
      </c>
      <c r="H914" s="22" t="s">
        <v>1720</v>
      </c>
      <c r="I914" s="22"/>
    </row>
    <row r="915" spans="1:9" x14ac:dyDescent="0.35">
      <c r="A915" s="22" t="s">
        <v>1721</v>
      </c>
      <c r="B915" s="22" t="s">
        <v>3006</v>
      </c>
      <c r="C915" s="22" t="s">
        <v>2349</v>
      </c>
      <c r="D915" s="22" t="s">
        <v>2347</v>
      </c>
      <c r="E915" s="23">
        <v>-9</v>
      </c>
      <c r="F915" s="23">
        <v>93.18</v>
      </c>
      <c r="G915" s="23">
        <v>559.08000000000004</v>
      </c>
      <c r="H915" s="22" t="s">
        <v>1722</v>
      </c>
      <c r="I915" s="22" t="s">
        <v>2344</v>
      </c>
    </row>
    <row r="916" spans="1:9" x14ac:dyDescent="0.35">
      <c r="A916" s="22" t="s">
        <v>1723</v>
      </c>
      <c r="B916" s="22" t="s">
        <v>3007</v>
      </c>
      <c r="C916" s="22" t="s">
        <v>11</v>
      </c>
      <c r="D916" s="22" t="s">
        <v>24</v>
      </c>
      <c r="E916" s="23">
        <v>7</v>
      </c>
      <c r="F916" s="23">
        <v>-14.38</v>
      </c>
      <c r="G916" s="23">
        <v>3569.4</v>
      </c>
      <c r="H916" s="22" t="s">
        <v>1724</v>
      </c>
      <c r="I916" s="22" t="s">
        <v>2356</v>
      </c>
    </row>
    <row r="917" spans="1:9" x14ac:dyDescent="0.35">
      <c r="A917" s="22" t="s">
        <v>1725</v>
      </c>
      <c r="B917" s="22" t="s">
        <v>2394</v>
      </c>
      <c r="C917" s="22"/>
      <c r="D917" s="22" t="s">
        <v>46</v>
      </c>
      <c r="E917" s="23">
        <v>3</v>
      </c>
      <c r="F917" s="23">
        <v>17.28</v>
      </c>
      <c r="G917" s="23">
        <v>51.84</v>
      </c>
      <c r="H917" s="22" t="s">
        <v>1726</v>
      </c>
      <c r="I917" s="22" t="s">
        <v>14</v>
      </c>
    </row>
    <row r="918" spans="1:9" x14ac:dyDescent="0.35">
      <c r="A918" s="22" t="s">
        <v>1727</v>
      </c>
      <c r="B918" s="22" t="s">
        <v>3008</v>
      </c>
      <c r="C918" s="22" t="s">
        <v>2282</v>
      </c>
      <c r="D918" s="22" t="s">
        <v>32</v>
      </c>
      <c r="E918" s="23">
        <v>6</v>
      </c>
      <c r="F918" s="23">
        <v>245.75</v>
      </c>
      <c r="G918" s="23">
        <v>1671.25</v>
      </c>
      <c r="H918" s="22" t="s">
        <v>1728</v>
      </c>
      <c r="I918" s="22" t="s">
        <v>14</v>
      </c>
    </row>
    <row r="919" spans="1:9" x14ac:dyDescent="0.35">
      <c r="A919" s="22" t="s">
        <v>1729</v>
      </c>
      <c r="B919" s="22" t="s">
        <v>3009</v>
      </c>
      <c r="C919" s="22" t="s">
        <v>11</v>
      </c>
      <c r="D919" s="22" t="s">
        <v>46</v>
      </c>
      <c r="E919" s="23">
        <v>8</v>
      </c>
      <c r="F919" s="23">
        <v>173.35</v>
      </c>
      <c r="G919" s="23">
        <v>1386.8</v>
      </c>
      <c r="H919" s="22" t="s">
        <v>1730</v>
      </c>
      <c r="I919" s="22"/>
    </row>
    <row r="920" spans="1:9" x14ac:dyDescent="0.35">
      <c r="A920" s="22" t="s">
        <v>1731</v>
      </c>
      <c r="B920" s="22" t="s">
        <v>3010</v>
      </c>
      <c r="C920" s="22" t="s">
        <v>2342</v>
      </c>
      <c r="D920" s="22" t="s">
        <v>24</v>
      </c>
      <c r="E920" s="23">
        <v>7</v>
      </c>
      <c r="F920" s="23">
        <v>230.07</v>
      </c>
      <c r="G920" s="23">
        <v>1610.49</v>
      </c>
      <c r="H920" s="22" t="s">
        <v>1732</v>
      </c>
      <c r="I920" s="22" t="s">
        <v>2340</v>
      </c>
    </row>
    <row r="921" spans="1:9" x14ac:dyDescent="0.35">
      <c r="A921" s="22" t="s">
        <v>1733</v>
      </c>
      <c r="B921" s="22" t="s">
        <v>3011</v>
      </c>
      <c r="C921" s="22" t="s">
        <v>2349</v>
      </c>
      <c r="D921" s="22" t="s">
        <v>2350</v>
      </c>
      <c r="E921" s="23">
        <v>3</v>
      </c>
      <c r="F921" s="23">
        <v>289.63</v>
      </c>
      <c r="G921" s="23">
        <v>868.89</v>
      </c>
      <c r="H921" s="22" t="s">
        <v>1734</v>
      </c>
      <c r="I921" s="22" t="s">
        <v>26</v>
      </c>
    </row>
    <row r="922" spans="1:9" x14ac:dyDescent="0.35">
      <c r="A922" s="22" t="s">
        <v>1735</v>
      </c>
      <c r="B922" s="22" t="s">
        <v>3012</v>
      </c>
      <c r="C922" s="22"/>
      <c r="D922" s="22" t="s">
        <v>2350</v>
      </c>
      <c r="E922" s="23">
        <v>4</v>
      </c>
      <c r="F922" s="23">
        <v>223.44</v>
      </c>
      <c r="G922" s="23">
        <v>893.76</v>
      </c>
      <c r="H922" s="22" t="s">
        <v>1736</v>
      </c>
      <c r="I922" s="22" t="s">
        <v>26</v>
      </c>
    </row>
    <row r="923" spans="1:9" x14ac:dyDescent="0.35">
      <c r="A923" s="22" t="s">
        <v>1737</v>
      </c>
      <c r="B923" s="22" t="s">
        <v>2371</v>
      </c>
      <c r="C923" s="22" t="s">
        <v>16</v>
      </c>
      <c r="D923" s="22" t="s">
        <v>24</v>
      </c>
      <c r="E923" s="23">
        <v>6</v>
      </c>
      <c r="F923" s="23">
        <v>213.27</v>
      </c>
      <c r="G923" s="23">
        <v>1279.6199999999999</v>
      </c>
      <c r="H923" s="22" t="s">
        <v>1738</v>
      </c>
      <c r="I923" s="22" t="s">
        <v>2340</v>
      </c>
    </row>
    <row r="924" spans="1:9" x14ac:dyDescent="0.35">
      <c r="A924" s="22" t="s">
        <v>1739</v>
      </c>
      <c r="B924" s="22" t="s">
        <v>3013</v>
      </c>
      <c r="C924" s="22" t="s">
        <v>19</v>
      </c>
      <c r="D924" s="22" t="s">
        <v>12</v>
      </c>
      <c r="E924" s="23">
        <v>8</v>
      </c>
      <c r="F924" s="23">
        <v>369.03</v>
      </c>
      <c r="G924" s="23">
        <v>2952.24</v>
      </c>
      <c r="H924" s="22" t="s">
        <v>1740</v>
      </c>
      <c r="I924" s="22" t="s">
        <v>50</v>
      </c>
    </row>
    <row r="925" spans="1:9" x14ac:dyDescent="0.35">
      <c r="A925" s="22" t="s">
        <v>1741</v>
      </c>
      <c r="B925" s="22" t="s">
        <v>2397</v>
      </c>
      <c r="C925" s="22" t="s">
        <v>2358</v>
      </c>
      <c r="D925" s="22" t="s">
        <v>24</v>
      </c>
      <c r="E925" s="23">
        <v>3</v>
      </c>
      <c r="F925" s="23">
        <v>346.08</v>
      </c>
      <c r="G925" s="23">
        <v>1038.24</v>
      </c>
      <c r="H925" s="22" t="s">
        <v>1742</v>
      </c>
      <c r="I925" s="22" t="s">
        <v>2344</v>
      </c>
    </row>
    <row r="926" spans="1:9" x14ac:dyDescent="0.35">
      <c r="A926" s="22" t="s">
        <v>1743</v>
      </c>
      <c r="B926" s="22"/>
      <c r="C926" s="22" t="s">
        <v>19</v>
      </c>
      <c r="D926" s="22" t="s">
        <v>2350</v>
      </c>
      <c r="E926" s="23">
        <v>4</v>
      </c>
      <c r="F926" s="23">
        <v>418.3</v>
      </c>
      <c r="G926" s="23">
        <v>1673.2</v>
      </c>
      <c r="H926" s="22" t="s">
        <v>49</v>
      </c>
      <c r="I926" s="22"/>
    </row>
    <row r="927" spans="1:9" x14ac:dyDescent="0.35">
      <c r="A927" s="22" t="s">
        <v>1744</v>
      </c>
      <c r="B927" s="22" t="s">
        <v>3014</v>
      </c>
      <c r="C927" s="22" t="s">
        <v>2342</v>
      </c>
      <c r="D927" s="22" t="s">
        <v>24</v>
      </c>
      <c r="E927" s="23">
        <v>3</v>
      </c>
      <c r="F927" s="23">
        <v>132.47999999999999</v>
      </c>
      <c r="G927" s="23">
        <v>397.44</v>
      </c>
      <c r="H927" s="22" t="s">
        <v>1745</v>
      </c>
      <c r="I927" s="22" t="s">
        <v>2344</v>
      </c>
    </row>
    <row r="928" spans="1:9" x14ac:dyDescent="0.35">
      <c r="A928" s="22" t="s">
        <v>1746</v>
      </c>
      <c r="B928" s="22" t="s">
        <v>2633</v>
      </c>
      <c r="C928" s="22" t="s">
        <v>2282</v>
      </c>
      <c r="D928" s="22" t="s">
        <v>32</v>
      </c>
      <c r="E928" s="23">
        <v>8</v>
      </c>
      <c r="F928" s="23">
        <v>308.67</v>
      </c>
      <c r="G928" s="23">
        <v>2469.36</v>
      </c>
      <c r="H928" s="22" t="s">
        <v>1747</v>
      </c>
      <c r="I928" s="22" t="s">
        <v>2340</v>
      </c>
    </row>
    <row r="929" spans="1:9" x14ac:dyDescent="0.35">
      <c r="A929" s="22" t="s">
        <v>1748</v>
      </c>
      <c r="B929" s="22" t="s">
        <v>3015</v>
      </c>
      <c r="C929" s="22" t="s">
        <v>2342</v>
      </c>
      <c r="D929" s="22" t="s">
        <v>12</v>
      </c>
      <c r="E929" s="23">
        <v>1</v>
      </c>
      <c r="F929" s="23">
        <v>296.75</v>
      </c>
      <c r="G929" s="23">
        <v>296.75</v>
      </c>
      <c r="H929" s="22" t="s">
        <v>1749</v>
      </c>
      <c r="I929" s="22" t="s">
        <v>2356</v>
      </c>
    </row>
    <row r="930" spans="1:9" x14ac:dyDescent="0.35">
      <c r="A930" s="22" t="s">
        <v>1750</v>
      </c>
      <c r="B930" s="22" t="s">
        <v>3004</v>
      </c>
      <c r="C930" s="22" t="s">
        <v>2282</v>
      </c>
      <c r="D930" s="22" t="s">
        <v>2347</v>
      </c>
      <c r="E930" s="23">
        <v>3</v>
      </c>
      <c r="F930" s="23"/>
      <c r="G930" s="23">
        <v>573.51</v>
      </c>
      <c r="H930" s="22" t="s">
        <v>1751</v>
      </c>
      <c r="I930" s="22" t="s">
        <v>2298</v>
      </c>
    </row>
    <row r="931" spans="1:9" x14ac:dyDescent="0.35">
      <c r="A931" s="22" t="s">
        <v>1752</v>
      </c>
      <c r="B931" s="22" t="s">
        <v>2496</v>
      </c>
      <c r="C931" s="22" t="s">
        <v>2342</v>
      </c>
      <c r="D931" s="22" t="s">
        <v>24</v>
      </c>
      <c r="E931" s="23">
        <v>9999</v>
      </c>
      <c r="F931" s="23">
        <v>248.17</v>
      </c>
      <c r="G931" s="23">
        <v>1737.19</v>
      </c>
      <c r="H931" s="22" t="s">
        <v>1753</v>
      </c>
      <c r="I931" s="22" t="s">
        <v>2344</v>
      </c>
    </row>
    <row r="932" spans="1:9" x14ac:dyDescent="0.35">
      <c r="A932" s="22" t="s">
        <v>1754</v>
      </c>
      <c r="B932" s="22" t="s">
        <v>2791</v>
      </c>
      <c r="C932" s="22" t="s">
        <v>11</v>
      </c>
      <c r="D932" s="22" t="s">
        <v>2347</v>
      </c>
      <c r="E932" s="23">
        <v>5</v>
      </c>
      <c r="F932" s="23">
        <v>163.75</v>
      </c>
      <c r="G932" s="23">
        <v>818.75</v>
      </c>
      <c r="H932" s="22" t="s">
        <v>1755</v>
      </c>
      <c r="I932" s="22" t="s">
        <v>50</v>
      </c>
    </row>
    <row r="933" spans="1:9" x14ac:dyDescent="0.35">
      <c r="A933" s="22" t="s">
        <v>1756</v>
      </c>
      <c r="B933" s="22" t="s">
        <v>3016</v>
      </c>
      <c r="C933" s="22"/>
      <c r="D933" s="22" t="s">
        <v>2343</v>
      </c>
      <c r="E933" s="23">
        <v>9</v>
      </c>
      <c r="F933" s="23">
        <v>79.5</v>
      </c>
      <c r="G933" s="23"/>
      <c r="H933" s="22" t="s">
        <v>1757</v>
      </c>
      <c r="I933" s="22" t="s">
        <v>2356</v>
      </c>
    </row>
    <row r="934" spans="1:9" x14ac:dyDescent="0.35">
      <c r="A934" s="22" t="s">
        <v>1758</v>
      </c>
      <c r="B934" s="22" t="s">
        <v>2369</v>
      </c>
      <c r="C934" s="22" t="s">
        <v>2358</v>
      </c>
      <c r="D934" s="22" t="s">
        <v>2350</v>
      </c>
      <c r="E934" s="23">
        <v>5</v>
      </c>
      <c r="F934" s="23">
        <v>114.76</v>
      </c>
      <c r="G934" s="23">
        <v>573.79999999999995</v>
      </c>
      <c r="H934" s="22" t="s">
        <v>49</v>
      </c>
      <c r="I934" s="22"/>
    </row>
    <row r="935" spans="1:9" x14ac:dyDescent="0.35">
      <c r="A935" s="22" t="s">
        <v>1759</v>
      </c>
      <c r="B935" s="22"/>
      <c r="C935" s="22" t="s">
        <v>23</v>
      </c>
      <c r="D935" s="22" t="s">
        <v>2350</v>
      </c>
      <c r="E935" s="23">
        <v>4</v>
      </c>
      <c r="F935" s="23">
        <v>61.7</v>
      </c>
      <c r="G935" s="23">
        <v>246.8</v>
      </c>
      <c r="H935" s="22" t="s">
        <v>1760</v>
      </c>
      <c r="I935" s="22" t="s">
        <v>2378</v>
      </c>
    </row>
    <row r="936" spans="1:9" x14ac:dyDescent="0.35">
      <c r="A936" s="22" t="s">
        <v>1761</v>
      </c>
      <c r="B936" s="22" t="s">
        <v>3017</v>
      </c>
      <c r="C936" s="22" t="s">
        <v>23</v>
      </c>
      <c r="D936" s="22" t="s">
        <v>32</v>
      </c>
      <c r="E936" s="23">
        <v>5</v>
      </c>
      <c r="F936" s="23">
        <v>344.7</v>
      </c>
      <c r="G936" s="23">
        <v>1723.5</v>
      </c>
      <c r="H936" s="22" t="s">
        <v>84</v>
      </c>
      <c r="I936" s="22" t="s">
        <v>2356</v>
      </c>
    </row>
    <row r="937" spans="1:9" x14ac:dyDescent="0.35">
      <c r="A937" s="22" t="s">
        <v>1762</v>
      </c>
      <c r="B937" s="22" t="s">
        <v>3018</v>
      </c>
      <c r="C937" s="22" t="s">
        <v>2349</v>
      </c>
      <c r="D937" s="22" t="s">
        <v>2350</v>
      </c>
      <c r="E937" s="23">
        <v>7</v>
      </c>
      <c r="F937" s="23">
        <v>-72.489999999999995</v>
      </c>
      <c r="G937" s="23">
        <v>2336.3200000000002</v>
      </c>
      <c r="H937" s="22" t="s">
        <v>1763</v>
      </c>
      <c r="I937" s="22" t="s">
        <v>2340</v>
      </c>
    </row>
    <row r="938" spans="1:9" x14ac:dyDescent="0.35">
      <c r="A938" s="22" t="s">
        <v>1764</v>
      </c>
      <c r="B938" s="22" t="s">
        <v>2996</v>
      </c>
      <c r="C938" s="22" t="s">
        <v>11</v>
      </c>
      <c r="D938" s="22" t="s">
        <v>2364</v>
      </c>
      <c r="E938" s="23">
        <v>3</v>
      </c>
      <c r="F938" s="23">
        <v>475.8</v>
      </c>
      <c r="G938" s="23">
        <v>1427.4</v>
      </c>
      <c r="H938" s="22" t="s">
        <v>1765</v>
      </c>
      <c r="I938" s="22"/>
    </row>
    <row r="939" spans="1:9" x14ac:dyDescent="0.35">
      <c r="A939" s="22" t="s">
        <v>1766</v>
      </c>
      <c r="B939" s="22" t="s">
        <v>3019</v>
      </c>
      <c r="C939" s="22" t="s">
        <v>2342</v>
      </c>
      <c r="D939" s="22" t="s">
        <v>12</v>
      </c>
      <c r="E939" s="23">
        <v>6</v>
      </c>
      <c r="F939" s="23">
        <v>367.54</v>
      </c>
      <c r="G939" s="23">
        <v>2205.2399999999998</v>
      </c>
      <c r="H939" s="22" t="s">
        <v>1767</v>
      </c>
      <c r="I939" s="22" t="s">
        <v>2340</v>
      </c>
    </row>
    <row r="940" spans="1:9" x14ac:dyDescent="0.35">
      <c r="A940" s="22" t="s">
        <v>1768</v>
      </c>
      <c r="B940" s="22" t="s">
        <v>2909</v>
      </c>
      <c r="C940" s="22" t="s">
        <v>2282</v>
      </c>
      <c r="D940" s="22" t="s">
        <v>24</v>
      </c>
      <c r="E940" s="23">
        <v>7</v>
      </c>
      <c r="F940" s="23">
        <v>35.5</v>
      </c>
      <c r="G940" s="23">
        <v>248.5</v>
      </c>
      <c r="H940" s="22" t="s">
        <v>1769</v>
      </c>
      <c r="I940" s="22" t="s">
        <v>50</v>
      </c>
    </row>
    <row r="941" spans="1:9" x14ac:dyDescent="0.35">
      <c r="A941" s="22" t="s">
        <v>1770</v>
      </c>
      <c r="B941" s="22" t="s">
        <v>3020</v>
      </c>
      <c r="C941" s="22"/>
      <c r="D941" s="22" t="s">
        <v>2347</v>
      </c>
      <c r="E941" s="23">
        <v>4</v>
      </c>
      <c r="F941" s="23">
        <v>443.28</v>
      </c>
      <c r="G941" s="23">
        <v>1773.12</v>
      </c>
      <c r="H941" s="22" t="s">
        <v>1771</v>
      </c>
      <c r="I941" s="22" t="s">
        <v>2298</v>
      </c>
    </row>
    <row r="942" spans="1:9" x14ac:dyDescent="0.35">
      <c r="A942" s="22" t="s">
        <v>1772</v>
      </c>
      <c r="B942" s="22" t="s">
        <v>2718</v>
      </c>
      <c r="C942" s="22" t="s">
        <v>2342</v>
      </c>
      <c r="D942" s="22" t="s">
        <v>32</v>
      </c>
      <c r="E942" s="23">
        <v>4</v>
      </c>
      <c r="F942" s="23">
        <v>432.71</v>
      </c>
      <c r="G942" s="23">
        <v>1730.84</v>
      </c>
      <c r="H942" s="22" t="s">
        <v>1773</v>
      </c>
      <c r="I942" s="22" t="s">
        <v>50</v>
      </c>
    </row>
    <row r="943" spans="1:9" x14ac:dyDescent="0.35">
      <c r="A943" s="22" t="s">
        <v>1774</v>
      </c>
      <c r="B943" s="22" t="s">
        <v>2559</v>
      </c>
      <c r="C943" s="22" t="s">
        <v>11</v>
      </c>
      <c r="D943" s="22" t="s">
        <v>12</v>
      </c>
      <c r="E943" s="23">
        <v>4</v>
      </c>
      <c r="F943" s="23">
        <v>227.23</v>
      </c>
      <c r="G943" s="23">
        <v>908.92</v>
      </c>
      <c r="H943" s="22" t="s">
        <v>1775</v>
      </c>
      <c r="I943" s="22" t="s">
        <v>2344</v>
      </c>
    </row>
    <row r="944" spans="1:9" x14ac:dyDescent="0.35">
      <c r="A944" s="22" t="s">
        <v>1776</v>
      </c>
      <c r="B944" s="22" t="s">
        <v>3021</v>
      </c>
      <c r="C944" s="22" t="s">
        <v>23</v>
      </c>
      <c r="D944" s="22" t="s">
        <v>12</v>
      </c>
      <c r="E944" s="23">
        <v>3</v>
      </c>
      <c r="F944" s="23">
        <v>297.07</v>
      </c>
      <c r="G944" s="23">
        <v>891.21</v>
      </c>
      <c r="H944" s="22" t="s">
        <v>1777</v>
      </c>
      <c r="I944" s="22" t="s">
        <v>2298</v>
      </c>
    </row>
    <row r="945" spans="1:9" x14ac:dyDescent="0.35">
      <c r="A945" s="22" t="s">
        <v>1778</v>
      </c>
      <c r="B945" s="22" t="s">
        <v>3022</v>
      </c>
      <c r="C945" s="22" t="s">
        <v>2358</v>
      </c>
      <c r="D945" s="22" t="s">
        <v>2343</v>
      </c>
      <c r="E945" s="23">
        <v>4</v>
      </c>
      <c r="F945" s="23">
        <v>488.28</v>
      </c>
      <c r="G945" s="23">
        <v>1953.12</v>
      </c>
      <c r="H945" s="22" t="s">
        <v>49</v>
      </c>
      <c r="I945" s="22" t="s">
        <v>2356</v>
      </c>
    </row>
    <row r="946" spans="1:9" x14ac:dyDescent="0.35">
      <c r="A946" s="22" t="s">
        <v>1779</v>
      </c>
      <c r="B946" s="22" t="s">
        <v>3023</v>
      </c>
      <c r="C946" s="22" t="s">
        <v>2358</v>
      </c>
      <c r="D946" s="22" t="s">
        <v>2347</v>
      </c>
      <c r="E946" s="23">
        <v>2</v>
      </c>
      <c r="F946" s="23">
        <v>270.83</v>
      </c>
      <c r="G946" s="23">
        <v>1039.96</v>
      </c>
      <c r="H946" s="22" t="s">
        <v>1780</v>
      </c>
      <c r="I946" s="22" t="s">
        <v>2298</v>
      </c>
    </row>
    <row r="947" spans="1:9" x14ac:dyDescent="0.35">
      <c r="A947" s="22" t="s">
        <v>1781</v>
      </c>
      <c r="B947" s="22" t="s">
        <v>2659</v>
      </c>
      <c r="C947" s="22" t="s">
        <v>23</v>
      </c>
      <c r="D947" s="22" t="s">
        <v>2343</v>
      </c>
      <c r="E947" s="23">
        <v>7</v>
      </c>
      <c r="F947" s="23">
        <v>453.61</v>
      </c>
      <c r="G947" s="23">
        <v>3175.27</v>
      </c>
      <c r="H947" s="22" t="s">
        <v>1782</v>
      </c>
      <c r="I947" s="22" t="s">
        <v>2378</v>
      </c>
    </row>
    <row r="948" spans="1:9" x14ac:dyDescent="0.35">
      <c r="A948" s="22" t="s">
        <v>1783</v>
      </c>
      <c r="B948" s="22" t="s">
        <v>3024</v>
      </c>
      <c r="C948" s="22"/>
      <c r="D948" s="22" t="s">
        <v>2347</v>
      </c>
      <c r="E948" s="23">
        <v>6</v>
      </c>
      <c r="F948" s="23">
        <v>50.69</v>
      </c>
      <c r="G948" s="23">
        <v>304.14</v>
      </c>
      <c r="H948" s="22" t="s">
        <v>1784</v>
      </c>
      <c r="I948" s="22" t="s">
        <v>14</v>
      </c>
    </row>
    <row r="949" spans="1:9" x14ac:dyDescent="0.35">
      <c r="A949" s="22" t="s">
        <v>1785</v>
      </c>
      <c r="B949" s="22" t="s">
        <v>2370</v>
      </c>
      <c r="C949" s="22" t="s">
        <v>2282</v>
      </c>
      <c r="D949" s="22" t="s">
        <v>32</v>
      </c>
      <c r="E949" s="23">
        <v>7</v>
      </c>
      <c r="F949" s="23">
        <v>103.62</v>
      </c>
      <c r="G949" s="23">
        <v>725.34</v>
      </c>
      <c r="H949" s="22" t="s">
        <v>1786</v>
      </c>
      <c r="I949" s="22" t="s">
        <v>50</v>
      </c>
    </row>
    <row r="950" spans="1:9" x14ac:dyDescent="0.35">
      <c r="A950" s="22" t="s">
        <v>1787</v>
      </c>
      <c r="B950" s="22" t="s">
        <v>3025</v>
      </c>
      <c r="C950" s="22"/>
      <c r="D950" s="22" t="s">
        <v>2364</v>
      </c>
      <c r="E950" s="23">
        <v>5</v>
      </c>
      <c r="F950" s="23" t="s">
        <v>332</v>
      </c>
      <c r="G950" s="23">
        <v>1559.73</v>
      </c>
      <c r="H950" s="22" t="s">
        <v>1788</v>
      </c>
      <c r="I950" s="22" t="s">
        <v>14</v>
      </c>
    </row>
    <row r="951" spans="1:9" x14ac:dyDescent="0.35">
      <c r="A951" s="22" t="s">
        <v>1789</v>
      </c>
      <c r="B951" s="22" t="s">
        <v>3026</v>
      </c>
      <c r="C951" s="22" t="s">
        <v>2349</v>
      </c>
      <c r="D951" s="22" t="s">
        <v>2350</v>
      </c>
      <c r="E951" s="23"/>
      <c r="F951" s="23">
        <v>296.52999999999997</v>
      </c>
      <c r="G951" s="23">
        <v>1387.7</v>
      </c>
      <c r="H951" s="22" t="s">
        <v>1790</v>
      </c>
      <c r="I951" s="22" t="s">
        <v>2356</v>
      </c>
    </row>
    <row r="952" spans="1:9" x14ac:dyDescent="0.35">
      <c r="A952" s="22" t="s">
        <v>1791</v>
      </c>
      <c r="B952" s="22" t="s">
        <v>2362</v>
      </c>
      <c r="C952" s="22"/>
      <c r="D952" s="22" t="s">
        <v>2347</v>
      </c>
      <c r="E952" s="23">
        <v>5</v>
      </c>
      <c r="F952" s="23">
        <v>409.95</v>
      </c>
      <c r="G952" s="23">
        <v>2460.2800000000002</v>
      </c>
      <c r="H952" s="22" t="s">
        <v>1792</v>
      </c>
      <c r="I952" s="22" t="s">
        <v>2340</v>
      </c>
    </row>
    <row r="953" spans="1:9" x14ac:dyDescent="0.35">
      <c r="A953" s="22" t="s">
        <v>1793</v>
      </c>
      <c r="B953" s="22" t="s">
        <v>3027</v>
      </c>
      <c r="C953" s="22"/>
      <c r="D953" s="22" t="s">
        <v>32</v>
      </c>
      <c r="E953" s="23">
        <v>4</v>
      </c>
      <c r="F953" s="23">
        <v>494.25</v>
      </c>
      <c r="G953" s="23">
        <v>1977</v>
      </c>
      <c r="H953" s="22" t="s">
        <v>1794</v>
      </c>
      <c r="I953" s="22"/>
    </row>
    <row r="954" spans="1:9" x14ac:dyDescent="0.35">
      <c r="A954" s="22" t="s">
        <v>1795</v>
      </c>
      <c r="B954" s="22" t="s">
        <v>3028</v>
      </c>
      <c r="C954" s="22" t="s">
        <v>23</v>
      </c>
      <c r="D954" s="22" t="s">
        <v>12</v>
      </c>
      <c r="E954" s="23">
        <v>7</v>
      </c>
      <c r="F954" s="23">
        <v>200.54</v>
      </c>
      <c r="G954" s="23">
        <v>1403.78</v>
      </c>
      <c r="H954" s="22" t="s">
        <v>1796</v>
      </c>
      <c r="I954" s="22" t="s">
        <v>2340</v>
      </c>
    </row>
    <row r="955" spans="1:9" x14ac:dyDescent="0.35">
      <c r="A955" s="22" t="s">
        <v>1797</v>
      </c>
      <c r="B955" s="22" t="s">
        <v>2854</v>
      </c>
      <c r="C955" s="22" t="s">
        <v>23</v>
      </c>
      <c r="D955" s="22" t="s">
        <v>2343</v>
      </c>
      <c r="E955" s="23">
        <v>5</v>
      </c>
      <c r="F955" s="23">
        <v>33.229999999999997</v>
      </c>
      <c r="G955" s="23">
        <v>166.15</v>
      </c>
      <c r="H955" s="22" t="s">
        <v>49</v>
      </c>
      <c r="I955" s="22" t="s">
        <v>50</v>
      </c>
    </row>
    <row r="956" spans="1:9" x14ac:dyDescent="0.35">
      <c r="A956" s="22" t="s">
        <v>1798</v>
      </c>
      <c r="B956" s="22" t="s">
        <v>2678</v>
      </c>
      <c r="C956" s="22" t="s">
        <v>2346</v>
      </c>
      <c r="D956" s="22" t="s">
        <v>46</v>
      </c>
      <c r="E956" s="23">
        <v>6</v>
      </c>
      <c r="F956" s="23">
        <v>402.57</v>
      </c>
      <c r="G956" s="23">
        <v>2415.42</v>
      </c>
      <c r="H956" s="22" t="s">
        <v>1799</v>
      </c>
      <c r="I956" s="22"/>
    </row>
    <row r="957" spans="1:9" x14ac:dyDescent="0.35">
      <c r="A957" s="22" t="s">
        <v>1800</v>
      </c>
      <c r="B957" s="22" t="s">
        <v>3029</v>
      </c>
      <c r="C957" s="22" t="s">
        <v>2349</v>
      </c>
      <c r="D957" s="22" t="s">
        <v>46</v>
      </c>
      <c r="E957" s="23">
        <v>9999</v>
      </c>
      <c r="F957" s="23" t="s">
        <v>332</v>
      </c>
      <c r="G957" s="23"/>
      <c r="H957" s="22" t="s">
        <v>1801</v>
      </c>
      <c r="I957" s="22"/>
    </row>
    <row r="958" spans="1:9" x14ac:dyDescent="0.35">
      <c r="A958" s="22" t="s">
        <v>1802</v>
      </c>
      <c r="B958" s="22" t="s">
        <v>2523</v>
      </c>
      <c r="C958" s="22" t="s">
        <v>16</v>
      </c>
      <c r="D958" s="22" t="s">
        <v>24</v>
      </c>
      <c r="E958" s="23">
        <v>2</v>
      </c>
      <c r="F958" s="23">
        <v>107.29</v>
      </c>
      <c r="G958" s="23">
        <v>214.58</v>
      </c>
      <c r="H958" s="22" t="s">
        <v>1803</v>
      </c>
      <c r="I958" s="22"/>
    </row>
    <row r="959" spans="1:9" x14ac:dyDescent="0.35">
      <c r="A959" s="22" t="s">
        <v>1804</v>
      </c>
      <c r="B959" s="22" t="s">
        <v>3030</v>
      </c>
      <c r="C959" s="22" t="s">
        <v>23</v>
      </c>
      <c r="D959" s="22" t="s">
        <v>2347</v>
      </c>
      <c r="E959" s="23">
        <v>4</v>
      </c>
      <c r="F959" s="23">
        <v>252.47</v>
      </c>
      <c r="G959" s="23">
        <v>1009.88</v>
      </c>
      <c r="H959" s="22" t="s">
        <v>1805</v>
      </c>
      <c r="I959" s="22" t="s">
        <v>2378</v>
      </c>
    </row>
    <row r="960" spans="1:9" x14ac:dyDescent="0.35">
      <c r="A960" s="22" t="s">
        <v>1806</v>
      </c>
      <c r="B960" s="22"/>
      <c r="C960" s="22" t="s">
        <v>11</v>
      </c>
      <c r="D960" s="22" t="s">
        <v>2347</v>
      </c>
      <c r="E960" s="23">
        <v>4</v>
      </c>
      <c r="F960" s="23">
        <v>373.73</v>
      </c>
      <c r="G960" s="23">
        <v>1494.92</v>
      </c>
      <c r="H960" s="22" t="s">
        <v>1807</v>
      </c>
      <c r="I960" s="22"/>
    </row>
    <row r="961" spans="1:9" x14ac:dyDescent="0.35">
      <c r="A961" s="22" t="s">
        <v>202</v>
      </c>
      <c r="B961" s="22" t="s">
        <v>2769</v>
      </c>
      <c r="C961" s="22" t="s">
        <v>11</v>
      </c>
      <c r="D961" s="22" t="s">
        <v>2364</v>
      </c>
      <c r="E961" s="23">
        <v>6</v>
      </c>
      <c r="F961" s="23">
        <v>387.5</v>
      </c>
      <c r="G961" s="23">
        <v>2325</v>
      </c>
      <c r="H961" s="22" t="s">
        <v>3031</v>
      </c>
      <c r="I961" s="22" t="s">
        <v>2298</v>
      </c>
    </row>
    <row r="962" spans="1:9" x14ac:dyDescent="0.35">
      <c r="A962" s="22" t="s">
        <v>1808</v>
      </c>
      <c r="B962" s="22" t="s">
        <v>3032</v>
      </c>
      <c r="C962" s="22" t="s">
        <v>2346</v>
      </c>
      <c r="D962" s="22" t="s">
        <v>32</v>
      </c>
      <c r="E962" s="23">
        <v>11</v>
      </c>
      <c r="F962" s="23">
        <v>254.81</v>
      </c>
      <c r="G962" s="23">
        <v>2802.91</v>
      </c>
      <c r="H962" s="22" t="s">
        <v>1809</v>
      </c>
      <c r="I962" s="22" t="s">
        <v>26</v>
      </c>
    </row>
    <row r="963" spans="1:9" x14ac:dyDescent="0.35">
      <c r="A963" s="22" t="s">
        <v>1810</v>
      </c>
      <c r="B963" s="22" t="s">
        <v>2441</v>
      </c>
      <c r="C963" s="22" t="s">
        <v>2282</v>
      </c>
      <c r="D963" s="22" t="s">
        <v>2343</v>
      </c>
      <c r="E963" s="23">
        <v>6</v>
      </c>
      <c r="F963" s="23">
        <v>159.56</v>
      </c>
      <c r="G963" s="23">
        <v>957.36</v>
      </c>
      <c r="H963" s="22" t="s">
        <v>1811</v>
      </c>
      <c r="I963" s="22" t="s">
        <v>50</v>
      </c>
    </row>
    <row r="964" spans="1:9" x14ac:dyDescent="0.35">
      <c r="A964" s="22" t="s">
        <v>1812</v>
      </c>
      <c r="B964" s="22" t="s">
        <v>2665</v>
      </c>
      <c r="C964" s="22" t="s">
        <v>23</v>
      </c>
      <c r="D964" s="22" t="s">
        <v>12</v>
      </c>
      <c r="E964" s="23">
        <v>8</v>
      </c>
      <c r="F964" s="23">
        <v>487.13</v>
      </c>
      <c r="G964" s="23">
        <v>3897.04</v>
      </c>
      <c r="H964" s="22" t="s">
        <v>1813</v>
      </c>
      <c r="I964" s="22" t="s">
        <v>2344</v>
      </c>
    </row>
    <row r="965" spans="1:9" x14ac:dyDescent="0.35">
      <c r="A965" s="22" t="s">
        <v>1814</v>
      </c>
      <c r="B965" s="22" t="s">
        <v>2714</v>
      </c>
      <c r="C965" s="22" t="s">
        <v>2349</v>
      </c>
      <c r="D965" s="22" t="s">
        <v>32</v>
      </c>
      <c r="E965" s="23">
        <v>5</v>
      </c>
      <c r="F965" s="23">
        <v>335.05</v>
      </c>
      <c r="G965" s="23">
        <v>1675.25</v>
      </c>
      <c r="H965" s="22" t="s">
        <v>1815</v>
      </c>
      <c r="I965" s="22" t="s">
        <v>2356</v>
      </c>
    </row>
    <row r="966" spans="1:9" x14ac:dyDescent="0.35">
      <c r="A966" s="22" t="s">
        <v>172</v>
      </c>
      <c r="B966" s="22" t="s">
        <v>2793</v>
      </c>
      <c r="C966" s="22" t="s">
        <v>23</v>
      </c>
      <c r="D966" s="22" t="s">
        <v>12</v>
      </c>
      <c r="E966" s="23">
        <v>3</v>
      </c>
      <c r="F966" s="23">
        <v>210.04</v>
      </c>
      <c r="G966" s="23">
        <v>630.12</v>
      </c>
      <c r="H966" s="22" t="s">
        <v>3033</v>
      </c>
      <c r="I966" s="22" t="s">
        <v>2298</v>
      </c>
    </row>
    <row r="967" spans="1:9" x14ac:dyDescent="0.35">
      <c r="A967" s="22" t="s">
        <v>198</v>
      </c>
      <c r="B967" s="22" t="s">
        <v>3034</v>
      </c>
      <c r="C967" s="22" t="s">
        <v>2358</v>
      </c>
      <c r="D967" s="22" t="s">
        <v>2350</v>
      </c>
      <c r="E967" s="23">
        <v>5</v>
      </c>
      <c r="F967" s="23">
        <v>147.43</v>
      </c>
      <c r="G967" s="23">
        <v>1103.6500000000001</v>
      </c>
      <c r="H967" s="22" t="s">
        <v>49</v>
      </c>
      <c r="I967" s="22" t="s">
        <v>26</v>
      </c>
    </row>
    <row r="968" spans="1:9" x14ac:dyDescent="0.35">
      <c r="A968" s="22" t="s">
        <v>1816</v>
      </c>
      <c r="B968" s="22" t="s">
        <v>3035</v>
      </c>
      <c r="C968" s="22" t="s">
        <v>2358</v>
      </c>
      <c r="D968" s="22" t="s">
        <v>2364</v>
      </c>
      <c r="E968" s="23">
        <v>1</v>
      </c>
      <c r="F968" s="23">
        <v>368.24</v>
      </c>
      <c r="G968" s="23">
        <v>368.24</v>
      </c>
      <c r="H968" s="22" t="s">
        <v>1817</v>
      </c>
      <c r="I968" s="22" t="s">
        <v>2378</v>
      </c>
    </row>
    <row r="969" spans="1:9" x14ac:dyDescent="0.35">
      <c r="A969" s="22" t="s">
        <v>1818</v>
      </c>
      <c r="B969" s="22" t="s">
        <v>3036</v>
      </c>
      <c r="C969" s="22" t="s">
        <v>2358</v>
      </c>
      <c r="D969" s="22" t="s">
        <v>2364</v>
      </c>
      <c r="E969" s="23">
        <v>8</v>
      </c>
      <c r="F969" s="23">
        <v>128.66999999999999</v>
      </c>
      <c r="G969" s="23">
        <v>1029.3599999999999</v>
      </c>
      <c r="H969" s="22" t="s">
        <v>1819</v>
      </c>
      <c r="I969" s="22" t="s">
        <v>2378</v>
      </c>
    </row>
    <row r="970" spans="1:9" x14ac:dyDescent="0.35">
      <c r="A970" s="22" t="s">
        <v>1820</v>
      </c>
      <c r="B970" s="22" t="s">
        <v>3037</v>
      </c>
      <c r="C970" s="22" t="s">
        <v>23</v>
      </c>
      <c r="D970" s="22" t="s">
        <v>2364</v>
      </c>
      <c r="E970" s="23">
        <v>6</v>
      </c>
      <c r="F970" s="23">
        <v>94.14</v>
      </c>
      <c r="G970" s="23">
        <v>564.84</v>
      </c>
      <c r="H970" s="22" t="s">
        <v>1821</v>
      </c>
      <c r="I970" s="22" t="s">
        <v>2378</v>
      </c>
    </row>
    <row r="971" spans="1:9" x14ac:dyDescent="0.35">
      <c r="A971" s="22" t="s">
        <v>1822</v>
      </c>
      <c r="B971" s="22" t="s">
        <v>3038</v>
      </c>
      <c r="C971" s="22" t="s">
        <v>2282</v>
      </c>
      <c r="D971" s="22" t="s">
        <v>2350</v>
      </c>
      <c r="E971" s="23">
        <v>4</v>
      </c>
      <c r="F971" s="23">
        <v>269.62</v>
      </c>
      <c r="G971" s="23">
        <v>1078.48</v>
      </c>
      <c r="H971" s="22" t="s">
        <v>1823</v>
      </c>
      <c r="I971" s="22" t="s">
        <v>2378</v>
      </c>
    </row>
    <row r="972" spans="1:9" x14ac:dyDescent="0.35">
      <c r="A972" s="22" t="s">
        <v>1824</v>
      </c>
      <c r="B972" s="22" t="s">
        <v>3020</v>
      </c>
      <c r="C972" s="22" t="s">
        <v>2358</v>
      </c>
      <c r="D972" s="22" t="s">
        <v>46</v>
      </c>
      <c r="E972" s="23">
        <v>7</v>
      </c>
      <c r="F972" s="23">
        <v>152.09</v>
      </c>
      <c r="G972" s="23">
        <v>1064.6300000000001</v>
      </c>
      <c r="H972" s="22" t="s">
        <v>1825</v>
      </c>
      <c r="I972" s="22" t="s">
        <v>2340</v>
      </c>
    </row>
    <row r="973" spans="1:9" x14ac:dyDescent="0.35">
      <c r="A973" s="22" t="s">
        <v>1826</v>
      </c>
      <c r="B973" s="22" t="s">
        <v>2367</v>
      </c>
      <c r="C973" s="22" t="s">
        <v>19</v>
      </c>
      <c r="D973" s="22" t="s">
        <v>32</v>
      </c>
      <c r="E973" s="23">
        <v>1</v>
      </c>
      <c r="F973" s="23">
        <v>318.16000000000003</v>
      </c>
      <c r="G973" s="23">
        <v>318.16000000000003</v>
      </c>
      <c r="H973" s="22" t="s">
        <v>49</v>
      </c>
      <c r="I973" s="22" t="s">
        <v>2356</v>
      </c>
    </row>
    <row r="974" spans="1:9" x14ac:dyDescent="0.35">
      <c r="A974" s="22" t="s">
        <v>1827</v>
      </c>
      <c r="B974" s="22" t="s">
        <v>3039</v>
      </c>
      <c r="C974" s="22" t="s">
        <v>2342</v>
      </c>
      <c r="D974" s="22" t="s">
        <v>46</v>
      </c>
      <c r="E974" s="23">
        <v>7</v>
      </c>
      <c r="F974" s="23"/>
      <c r="G974" s="23"/>
      <c r="H974" s="22" t="s">
        <v>1828</v>
      </c>
      <c r="I974" s="22" t="s">
        <v>14</v>
      </c>
    </row>
    <row r="975" spans="1:9" x14ac:dyDescent="0.35">
      <c r="A975" s="22" t="s">
        <v>1829</v>
      </c>
      <c r="B975" s="22" t="s">
        <v>3040</v>
      </c>
      <c r="C975" s="22" t="s">
        <v>2349</v>
      </c>
      <c r="D975" s="22" t="s">
        <v>24</v>
      </c>
      <c r="E975" s="23">
        <v>3</v>
      </c>
      <c r="F975" s="23">
        <v>330.92</v>
      </c>
      <c r="G975" s="23">
        <v>992.76</v>
      </c>
      <c r="H975" s="22" t="s">
        <v>1830</v>
      </c>
      <c r="I975" s="22" t="s">
        <v>2356</v>
      </c>
    </row>
    <row r="976" spans="1:9" x14ac:dyDescent="0.35">
      <c r="A976" s="22" t="s">
        <v>1831</v>
      </c>
      <c r="B976" s="22" t="s">
        <v>2431</v>
      </c>
      <c r="C976" s="22"/>
      <c r="D976" s="22" t="s">
        <v>2347</v>
      </c>
      <c r="E976" s="23">
        <v>9</v>
      </c>
      <c r="F976" s="23">
        <v>148.82</v>
      </c>
      <c r="G976" s="23">
        <v>1339.38</v>
      </c>
      <c r="H976" s="22" t="s">
        <v>1832</v>
      </c>
      <c r="I976" s="22" t="s">
        <v>2340</v>
      </c>
    </row>
    <row r="977" spans="1:9" x14ac:dyDescent="0.35">
      <c r="A977" s="22" t="s">
        <v>1833</v>
      </c>
      <c r="B977" s="22" t="s">
        <v>3041</v>
      </c>
      <c r="C977" s="22" t="s">
        <v>2342</v>
      </c>
      <c r="D977" s="22" t="s">
        <v>24</v>
      </c>
      <c r="E977" s="23">
        <v>4</v>
      </c>
      <c r="F977" s="23">
        <v>10.119999999999999</v>
      </c>
      <c r="G977" s="23">
        <v>40.479999999999997</v>
      </c>
      <c r="H977" s="22" t="s">
        <v>1834</v>
      </c>
      <c r="I977" s="22" t="s">
        <v>50</v>
      </c>
    </row>
    <row r="978" spans="1:9" x14ac:dyDescent="0.35">
      <c r="A978" s="22" t="s">
        <v>1835</v>
      </c>
      <c r="B978" s="22" t="s">
        <v>2606</v>
      </c>
      <c r="C978" s="22" t="s">
        <v>2282</v>
      </c>
      <c r="D978" s="22" t="s">
        <v>2364</v>
      </c>
      <c r="E978" s="23">
        <v>2</v>
      </c>
      <c r="F978" s="23">
        <v>72.2</v>
      </c>
      <c r="G978" s="23">
        <v>144.4</v>
      </c>
      <c r="H978" s="22" t="s">
        <v>1836</v>
      </c>
      <c r="I978" s="22"/>
    </row>
    <row r="979" spans="1:9" x14ac:dyDescent="0.35">
      <c r="A979" s="22" t="s">
        <v>1837</v>
      </c>
      <c r="B979" s="22" t="s">
        <v>2683</v>
      </c>
      <c r="C979" s="22" t="s">
        <v>2349</v>
      </c>
      <c r="D979" s="22" t="s">
        <v>2347</v>
      </c>
      <c r="E979" s="23">
        <v>4</v>
      </c>
      <c r="F979" s="23">
        <v>467.47</v>
      </c>
      <c r="G979" s="23">
        <v>1869.88</v>
      </c>
      <c r="H979" s="22" t="s">
        <v>1838</v>
      </c>
      <c r="I979" s="22" t="s">
        <v>2356</v>
      </c>
    </row>
    <row r="980" spans="1:9" x14ac:dyDescent="0.35">
      <c r="A980" s="22" t="s">
        <v>1839</v>
      </c>
      <c r="B980" s="22" t="s">
        <v>3042</v>
      </c>
      <c r="C980" s="22" t="s">
        <v>19</v>
      </c>
      <c r="D980" s="22" t="s">
        <v>46</v>
      </c>
      <c r="E980" s="23">
        <v>6</v>
      </c>
      <c r="F980" s="23">
        <v>435</v>
      </c>
      <c r="G980" s="23">
        <v>2610</v>
      </c>
      <c r="H980" s="22" t="s">
        <v>1840</v>
      </c>
      <c r="I980" s="22" t="s">
        <v>2378</v>
      </c>
    </row>
    <row r="981" spans="1:9" x14ac:dyDescent="0.35">
      <c r="A981" s="22" t="s">
        <v>1841</v>
      </c>
      <c r="B981" s="22" t="s">
        <v>2604</v>
      </c>
      <c r="C981" s="22" t="s">
        <v>11</v>
      </c>
      <c r="D981" s="22" t="s">
        <v>2343</v>
      </c>
      <c r="E981" s="23">
        <v>2</v>
      </c>
      <c r="F981" s="23">
        <v>124.47</v>
      </c>
      <c r="G981" s="23">
        <v>248.94</v>
      </c>
      <c r="H981" s="22" t="s">
        <v>1842</v>
      </c>
      <c r="I981" s="22" t="s">
        <v>26</v>
      </c>
    </row>
    <row r="982" spans="1:9" x14ac:dyDescent="0.35">
      <c r="A982" s="22" t="s">
        <v>1843</v>
      </c>
      <c r="B982" s="22" t="s">
        <v>3043</v>
      </c>
      <c r="C982" s="22" t="s">
        <v>2282</v>
      </c>
      <c r="D982" s="22" t="s">
        <v>2343</v>
      </c>
      <c r="E982" s="23">
        <v>1</v>
      </c>
      <c r="F982" s="23">
        <v>391.4</v>
      </c>
      <c r="G982" s="23">
        <v>391.4</v>
      </c>
      <c r="H982" s="22"/>
      <c r="I982" s="22" t="s">
        <v>2356</v>
      </c>
    </row>
    <row r="983" spans="1:9" x14ac:dyDescent="0.35">
      <c r="A983" s="22" t="s">
        <v>1844</v>
      </c>
      <c r="B983" s="22" t="s">
        <v>2839</v>
      </c>
      <c r="C983" s="22" t="s">
        <v>2342</v>
      </c>
      <c r="D983" s="22" t="s">
        <v>24</v>
      </c>
      <c r="E983" s="23">
        <v>7</v>
      </c>
      <c r="F983" s="23">
        <v>308.2</v>
      </c>
      <c r="G983" s="23">
        <v>2157.4</v>
      </c>
      <c r="H983" s="22" t="s">
        <v>1845</v>
      </c>
      <c r="I983" s="22" t="s">
        <v>26</v>
      </c>
    </row>
    <row r="984" spans="1:9" x14ac:dyDescent="0.35">
      <c r="A984" s="22" t="s">
        <v>1846</v>
      </c>
      <c r="B984" s="22" t="s">
        <v>2700</v>
      </c>
      <c r="C984" s="22" t="s">
        <v>2342</v>
      </c>
      <c r="D984" s="22" t="s">
        <v>12</v>
      </c>
      <c r="E984" s="23">
        <v>7</v>
      </c>
      <c r="F984" s="23">
        <v>485.74</v>
      </c>
      <c r="G984" s="23">
        <v>3400.18</v>
      </c>
      <c r="H984" s="22" t="s">
        <v>1847</v>
      </c>
      <c r="I984" s="22" t="s">
        <v>14</v>
      </c>
    </row>
    <row r="985" spans="1:9" x14ac:dyDescent="0.35">
      <c r="A985" s="22" t="s">
        <v>1848</v>
      </c>
      <c r="B985" s="22" t="s">
        <v>2397</v>
      </c>
      <c r="C985" s="22" t="s">
        <v>16</v>
      </c>
      <c r="D985" s="22" t="s">
        <v>12</v>
      </c>
      <c r="E985" s="23">
        <v>6</v>
      </c>
      <c r="F985" s="23">
        <v>193.07</v>
      </c>
      <c r="G985" s="23"/>
      <c r="H985" s="22" t="s">
        <v>1849</v>
      </c>
      <c r="I985" s="22"/>
    </row>
    <row r="986" spans="1:9" x14ac:dyDescent="0.35">
      <c r="A986" s="22" t="s">
        <v>1850</v>
      </c>
      <c r="B986" s="22" t="s">
        <v>2689</v>
      </c>
      <c r="C986" s="22" t="s">
        <v>19</v>
      </c>
      <c r="D986" s="22" t="s">
        <v>46</v>
      </c>
      <c r="E986" s="23">
        <v>8</v>
      </c>
      <c r="F986" s="23">
        <v>343.92</v>
      </c>
      <c r="G986" s="23">
        <v>2751.36</v>
      </c>
      <c r="H986" s="22" t="s">
        <v>1851</v>
      </c>
      <c r="I986" s="22" t="s">
        <v>14</v>
      </c>
    </row>
    <row r="987" spans="1:9" x14ac:dyDescent="0.35">
      <c r="A987" s="22" t="s">
        <v>1852</v>
      </c>
      <c r="B987" s="22" t="s">
        <v>2456</v>
      </c>
      <c r="C987" s="22" t="s">
        <v>16</v>
      </c>
      <c r="D987" s="22" t="s">
        <v>24</v>
      </c>
      <c r="E987" s="23">
        <v>7</v>
      </c>
      <c r="F987" s="23">
        <v>41.13</v>
      </c>
      <c r="G987" s="23">
        <v>287.91000000000003</v>
      </c>
      <c r="H987" s="22" t="s">
        <v>1853</v>
      </c>
      <c r="I987" s="22" t="s">
        <v>2298</v>
      </c>
    </row>
    <row r="988" spans="1:9" x14ac:dyDescent="0.35">
      <c r="A988" s="22" t="s">
        <v>1854</v>
      </c>
      <c r="B988" s="22" t="s">
        <v>3044</v>
      </c>
      <c r="C988" s="22"/>
      <c r="D988" s="22" t="s">
        <v>46</v>
      </c>
      <c r="E988" s="23">
        <v>5</v>
      </c>
      <c r="F988" s="23">
        <v>204.16</v>
      </c>
      <c r="G988" s="23">
        <v>1020.8</v>
      </c>
      <c r="H988" s="22" t="s">
        <v>1855</v>
      </c>
      <c r="I988" s="22" t="s">
        <v>2340</v>
      </c>
    </row>
    <row r="989" spans="1:9" x14ac:dyDescent="0.35">
      <c r="A989" s="22" t="s">
        <v>1856</v>
      </c>
      <c r="B989" s="22" t="s">
        <v>2689</v>
      </c>
      <c r="C989" s="22"/>
      <c r="D989" s="22" t="s">
        <v>32</v>
      </c>
      <c r="E989" s="23" t="s">
        <v>2351</v>
      </c>
      <c r="F989" s="23">
        <v>482.27</v>
      </c>
      <c r="G989" s="23">
        <v>2893.62</v>
      </c>
      <c r="H989" s="22" t="s">
        <v>1857</v>
      </c>
      <c r="I989" s="22" t="s">
        <v>26</v>
      </c>
    </row>
    <row r="990" spans="1:9" x14ac:dyDescent="0.35">
      <c r="A990" s="22" t="s">
        <v>1858</v>
      </c>
      <c r="B990" s="22" t="s">
        <v>3045</v>
      </c>
      <c r="C990" s="22" t="s">
        <v>2346</v>
      </c>
      <c r="D990" s="22" t="s">
        <v>32</v>
      </c>
      <c r="E990" s="23">
        <v>6</v>
      </c>
      <c r="F990" s="23">
        <v>274.10000000000002</v>
      </c>
      <c r="G990" s="23">
        <v>1786.2</v>
      </c>
      <c r="H990" s="22" t="s">
        <v>1859</v>
      </c>
      <c r="I990" s="22"/>
    </row>
    <row r="991" spans="1:9" x14ac:dyDescent="0.35">
      <c r="A991" s="22" t="s">
        <v>1860</v>
      </c>
      <c r="B991" s="22" t="s">
        <v>3046</v>
      </c>
      <c r="C991" s="22"/>
      <c r="D991" s="22" t="s">
        <v>2347</v>
      </c>
      <c r="E991" s="23">
        <v>7</v>
      </c>
      <c r="F991" s="23">
        <v>151.06</v>
      </c>
      <c r="G991" s="23">
        <v>1057.42</v>
      </c>
      <c r="H991" s="22" t="s">
        <v>1861</v>
      </c>
      <c r="I991" s="22" t="s">
        <v>2344</v>
      </c>
    </row>
    <row r="992" spans="1:9" x14ac:dyDescent="0.35">
      <c r="A992" s="22" t="s">
        <v>1862</v>
      </c>
      <c r="B992" s="22" t="s">
        <v>3047</v>
      </c>
      <c r="C992" s="22" t="s">
        <v>11</v>
      </c>
      <c r="D992" s="22" t="s">
        <v>32</v>
      </c>
      <c r="E992" s="23">
        <v>6</v>
      </c>
      <c r="F992" s="23">
        <v>68.930000000000007</v>
      </c>
      <c r="G992" s="23">
        <v>413.58</v>
      </c>
      <c r="H992" s="22" t="s">
        <v>1863</v>
      </c>
      <c r="I992" s="22" t="s">
        <v>50</v>
      </c>
    </row>
    <row r="993" spans="1:9" x14ac:dyDescent="0.35">
      <c r="A993" s="22" t="s">
        <v>1864</v>
      </c>
      <c r="B993" s="22" t="s">
        <v>2573</v>
      </c>
      <c r="C993" s="22" t="s">
        <v>16</v>
      </c>
      <c r="D993" s="22" t="s">
        <v>32</v>
      </c>
      <c r="E993" s="23">
        <v>3</v>
      </c>
      <c r="F993" s="23">
        <v>354.73</v>
      </c>
      <c r="G993" s="23">
        <v>1064.19</v>
      </c>
      <c r="H993" s="22" t="s">
        <v>1865</v>
      </c>
      <c r="I993" s="22" t="s">
        <v>14</v>
      </c>
    </row>
    <row r="994" spans="1:9" x14ac:dyDescent="0.35">
      <c r="A994" s="22" t="s">
        <v>1866</v>
      </c>
      <c r="B994" s="22" t="s">
        <v>2462</v>
      </c>
      <c r="C994" s="22" t="s">
        <v>19</v>
      </c>
      <c r="D994" s="22" t="s">
        <v>12</v>
      </c>
      <c r="E994" s="23">
        <v>3</v>
      </c>
      <c r="F994" s="23"/>
      <c r="G994" s="23"/>
      <c r="H994" s="22" t="s">
        <v>1867</v>
      </c>
      <c r="I994" s="22"/>
    </row>
    <row r="995" spans="1:9" x14ac:dyDescent="0.35">
      <c r="A995" s="22" t="s">
        <v>1868</v>
      </c>
      <c r="B995" s="22" t="s">
        <v>3048</v>
      </c>
      <c r="C995" s="22" t="s">
        <v>2282</v>
      </c>
      <c r="D995" s="22" t="s">
        <v>24</v>
      </c>
      <c r="E995" s="23">
        <v>1</v>
      </c>
      <c r="F995" s="23"/>
      <c r="G995" s="23">
        <v>193.23</v>
      </c>
      <c r="H995" s="22" t="s">
        <v>1869</v>
      </c>
      <c r="I995" s="22" t="s">
        <v>14</v>
      </c>
    </row>
    <row r="996" spans="1:9" x14ac:dyDescent="0.35">
      <c r="A996" s="22" t="s">
        <v>1870</v>
      </c>
      <c r="B996" s="22" t="s">
        <v>3049</v>
      </c>
      <c r="C996" s="22" t="s">
        <v>19</v>
      </c>
      <c r="D996" s="22" t="s">
        <v>2347</v>
      </c>
      <c r="E996" s="23">
        <v>5</v>
      </c>
      <c r="F996" s="23">
        <v>475.96</v>
      </c>
      <c r="G996" s="23">
        <v>2379.8000000000002</v>
      </c>
      <c r="H996" s="22" t="s">
        <v>1871</v>
      </c>
      <c r="I996" s="22" t="s">
        <v>14</v>
      </c>
    </row>
    <row r="997" spans="1:9" x14ac:dyDescent="0.35">
      <c r="A997" s="22" t="s">
        <v>1872</v>
      </c>
      <c r="B997" s="22" t="s">
        <v>2371</v>
      </c>
      <c r="C997" s="22" t="s">
        <v>19</v>
      </c>
      <c r="D997" s="22" t="s">
        <v>12</v>
      </c>
      <c r="E997" s="23">
        <v>3</v>
      </c>
      <c r="F997" s="23">
        <v>20.88</v>
      </c>
      <c r="G997" s="23">
        <v>62.64</v>
      </c>
      <c r="H997" s="22"/>
      <c r="I997" s="22" t="s">
        <v>26</v>
      </c>
    </row>
    <row r="998" spans="1:9" x14ac:dyDescent="0.35">
      <c r="A998" s="22" t="s">
        <v>1873</v>
      </c>
      <c r="B998" s="22" t="s">
        <v>3050</v>
      </c>
      <c r="C998" s="22" t="s">
        <v>2358</v>
      </c>
      <c r="D998" s="22" t="s">
        <v>12</v>
      </c>
      <c r="E998" s="23">
        <v>9</v>
      </c>
      <c r="F998" s="23">
        <v>158.82</v>
      </c>
      <c r="G998" s="23">
        <v>1429.38</v>
      </c>
      <c r="H998" s="22" t="s">
        <v>1874</v>
      </c>
      <c r="I998" s="22" t="s">
        <v>2378</v>
      </c>
    </row>
    <row r="999" spans="1:9" x14ac:dyDescent="0.35">
      <c r="A999" s="22" t="s">
        <v>1875</v>
      </c>
      <c r="B999" s="22" t="s">
        <v>2379</v>
      </c>
      <c r="C999" s="22" t="s">
        <v>2349</v>
      </c>
      <c r="D999" s="22" t="s">
        <v>2343</v>
      </c>
      <c r="E999" s="23">
        <v>8</v>
      </c>
      <c r="F999" s="23">
        <v>461.32</v>
      </c>
      <c r="G999" s="23">
        <v>3690.56</v>
      </c>
      <c r="H999" s="22" t="s">
        <v>1876</v>
      </c>
      <c r="I999" s="22" t="s">
        <v>2298</v>
      </c>
    </row>
    <row r="1000" spans="1:9" x14ac:dyDescent="0.35">
      <c r="A1000" s="22" t="s">
        <v>1877</v>
      </c>
      <c r="B1000" s="22" t="s">
        <v>3047</v>
      </c>
      <c r="C1000" s="22" t="s">
        <v>23</v>
      </c>
      <c r="D1000" s="22" t="s">
        <v>24</v>
      </c>
      <c r="E1000" s="23">
        <v>4</v>
      </c>
      <c r="F1000" s="23">
        <v>167.26</v>
      </c>
      <c r="G1000" s="23">
        <v>669.04</v>
      </c>
      <c r="H1000" s="22" t="s">
        <v>1878</v>
      </c>
      <c r="I1000" s="22" t="s">
        <v>50</v>
      </c>
    </row>
    <row r="1001" spans="1:9" x14ac:dyDescent="0.35">
      <c r="A1001" s="22" t="s">
        <v>1879</v>
      </c>
      <c r="B1001" s="22" t="s">
        <v>2648</v>
      </c>
      <c r="C1001" s="22" t="s">
        <v>2346</v>
      </c>
      <c r="D1001" s="22" t="s">
        <v>2350</v>
      </c>
      <c r="E1001" s="23">
        <v>2</v>
      </c>
      <c r="F1001" s="23">
        <v>133.6</v>
      </c>
      <c r="G1001" s="23">
        <v>267.2</v>
      </c>
      <c r="H1001" s="22" t="s">
        <v>1880</v>
      </c>
      <c r="I1001" s="22"/>
    </row>
    <row r="1002" spans="1:9" x14ac:dyDescent="0.35">
      <c r="A1002" s="22" t="s">
        <v>1881</v>
      </c>
      <c r="B1002" s="22" t="s">
        <v>2550</v>
      </c>
      <c r="C1002" s="22" t="s">
        <v>11</v>
      </c>
      <c r="D1002" s="22" t="s">
        <v>46</v>
      </c>
      <c r="E1002" s="23">
        <v>3</v>
      </c>
      <c r="F1002" s="23">
        <v>271.77</v>
      </c>
      <c r="G1002" s="23">
        <v>815.31</v>
      </c>
      <c r="H1002" s="22" t="s">
        <v>1882</v>
      </c>
      <c r="I1002" s="22" t="s">
        <v>14</v>
      </c>
    </row>
    <row r="1003" spans="1:9" x14ac:dyDescent="0.35">
      <c r="A1003" s="22" t="s">
        <v>1883</v>
      </c>
      <c r="B1003" s="22" t="s">
        <v>2437</v>
      </c>
      <c r="C1003" s="22"/>
      <c r="D1003" s="22" t="s">
        <v>12</v>
      </c>
      <c r="E1003" s="23">
        <v>2</v>
      </c>
      <c r="F1003" s="23"/>
      <c r="G1003" s="23">
        <v>827.32</v>
      </c>
      <c r="H1003" s="22" t="s">
        <v>1884</v>
      </c>
      <c r="I1003" s="22" t="s">
        <v>2378</v>
      </c>
    </row>
    <row r="1004" spans="1:9" x14ac:dyDescent="0.35">
      <c r="A1004" s="22" t="s">
        <v>1885</v>
      </c>
      <c r="B1004" s="22" t="s">
        <v>3051</v>
      </c>
      <c r="C1004" s="22" t="s">
        <v>2282</v>
      </c>
      <c r="D1004" s="22" t="s">
        <v>12</v>
      </c>
      <c r="E1004" s="23">
        <v>4</v>
      </c>
      <c r="F1004" s="23">
        <v>60.54</v>
      </c>
      <c r="G1004" s="23"/>
      <c r="H1004" s="22" t="s">
        <v>1886</v>
      </c>
      <c r="I1004" s="22"/>
    </row>
    <row r="1005" spans="1:9" x14ac:dyDescent="0.35">
      <c r="A1005" s="22" t="s">
        <v>1887</v>
      </c>
      <c r="B1005" s="22"/>
      <c r="C1005" s="22" t="s">
        <v>2349</v>
      </c>
      <c r="D1005" s="22" t="s">
        <v>2364</v>
      </c>
      <c r="E1005" s="23">
        <v>4</v>
      </c>
      <c r="F1005" s="23">
        <v>472.08</v>
      </c>
      <c r="G1005" s="23">
        <v>2010.03</v>
      </c>
      <c r="H1005" s="22" t="s">
        <v>1888</v>
      </c>
      <c r="I1005" s="22"/>
    </row>
    <row r="1006" spans="1:9" x14ac:dyDescent="0.35">
      <c r="A1006" s="22" t="s">
        <v>1889</v>
      </c>
      <c r="B1006" s="22" t="s">
        <v>3052</v>
      </c>
      <c r="C1006" s="22" t="s">
        <v>2358</v>
      </c>
      <c r="D1006" s="22" t="s">
        <v>2364</v>
      </c>
      <c r="E1006" s="23">
        <v>5</v>
      </c>
      <c r="F1006" s="23">
        <v>399.59</v>
      </c>
      <c r="G1006" s="23">
        <v>1997.95</v>
      </c>
      <c r="H1006" s="22" t="s">
        <v>1890</v>
      </c>
      <c r="I1006" s="22" t="s">
        <v>2344</v>
      </c>
    </row>
    <row r="1007" spans="1:9" x14ac:dyDescent="0.35">
      <c r="A1007" s="22" t="s">
        <v>1891</v>
      </c>
      <c r="B1007" s="22" t="s">
        <v>3053</v>
      </c>
      <c r="C1007" s="22" t="s">
        <v>19</v>
      </c>
      <c r="D1007" s="22" t="s">
        <v>24</v>
      </c>
      <c r="E1007" s="23">
        <v>8</v>
      </c>
      <c r="F1007" s="23">
        <v>98.81</v>
      </c>
      <c r="G1007" s="23">
        <v>790.48</v>
      </c>
      <c r="H1007" s="22" t="s">
        <v>1892</v>
      </c>
      <c r="I1007" s="22"/>
    </row>
    <row r="1008" spans="1:9" x14ac:dyDescent="0.35">
      <c r="A1008" s="22" t="s">
        <v>1893</v>
      </c>
      <c r="B1008" s="22"/>
      <c r="C1008" s="22" t="s">
        <v>19</v>
      </c>
      <c r="D1008" s="22" t="s">
        <v>2350</v>
      </c>
      <c r="E1008" s="23">
        <v>6</v>
      </c>
      <c r="F1008" s="23">
        <v>358.88</v>
      </c>
      <c r="G1008" s="23">
        <v>2153.2800000000002</v>
      </c>
      <c r="H1008" s="22" t="s">
        <v>1894</v>
      </c>
      <c r="I1008" s="22" t="s">
        <v>50</v>
      </c>
    </row>
    <row r="1009" spans="1:9" x14ac:dyDescent="0.35">
      <c r="A1009" s="22" t="s">
        <v>1895</v>
      </c>
      <c r="B1009" s="22" t="s">
        <v>3042</v>
      </c>
      <c r="C1009" s="22" t="s">
        <v>2342</v>
      </c>
      <c r="D1009" s="22" t="s">
        <v>2364</v>
      </c>
      <c r="E1009" s="23">
        <v>3</v>
      </c>
      <c r="F1009" s="23">
        <v>198.63</v>
      </c>
      <c r="G1009" s="23">
        <v>595.89</v>
      </c>
      <c r="H1009" s="22" t="s">
        <v>1896</v>
      </c>
      <c r="I1009" s="22" t="s">
        <v>14</v>
      </c>
    </row>
    <row r="1010" spans="1:9" x14ac:dyDescent="0.35">
      <c r="A1010" s="22" t="s">
        <v>1897</v>
      </c>
      <c r="B1010" s="22" t="s">
        <v>3054</v>
      </c>
      <c r="C1010" s="22" t="s">
        <v>2346</v>
      </c>
      <c r="D1010" s="22" t="s">
        <v>2350</v>
      </c>
      <c r="E1010" s="23">
        <v>5</v>
      </c>
      <c r="F1010" s="23">
        <v>207.12</v>
      </c>
      <c r="G1010" s="23">
        <v>1035.5999999999999</v>
      </c>
      <c r="H1010" s="22" t="s">
        <v>1898</v>
      </c>
      <c r="I1010" s="22" t="s">
        <v>2298</v>
      </c>
    </row>
    <row r="1011" spans="1:9" x14ac:dyDescent="0.35">
      <c r="A1011" s="22" t="s">
        <v>1899</v>
      </c>
      <c r="B1011" s="22"/>
      <c r="C1011" s="22" t="s">
        <v>23</v>
      </c>
      <c r="D1011" s="22" t="s">
        <v>2364</v>
      </c>
      <c r="E1011" s="23">
        <v>6</v>
      </c>
      <c r="F1011" s="23">
        <v>393.81</v>
      </c>
      <c r="G1011" s="23">
        <v>2362.86</v>
      </c>
      <c r="H1011" s="22" t="s">
        <v>1900</v>
      </c>
      <c r="I1011" s="22" t="s">
        <v>2340</v>
      </c>
    </row>
    <row r="1012" spans="1:9" x14ac:dyDescent="0.35">
      <c r="A1012" s="22" t="s">
        <v>1901</v>
      </c>
      <c r="B1012" s="22" t="s">
        <v>3055</v>
      </c>
      <c r="C1012" s="22" t="s">
        <v>19</v>
      </c>
      <c r="D1012" s="22" t="s">
        <v>12</v>
      </c>
      <c r="E1012" s="23">
        <v>3</v>
      </c>
      <c r="F1012" s="23">
        <v>481.76</v>
      </c>
      <c r="G1012" s="23">
        <v>1445.28</v>
      </c>
      <c r="H1012" s="22" t="s">
        <v>1902</v>
      </c>
      <c r="I1012" s="22" t="s">
        <v>2356</v>
      </c>
    </row>
    <row r="1013" spans="1:9" x14ac:dyDescent="0.35">
      <c r="A1013" s="22" t="s">
        <v>1903</v>
      </c>
      <c r="B1013" s="22" t="s">
        <v>2554</v>
      </c>
      <c r="C1013" s="22" t="s">
        <v>16</v>
      </c>
      <c r="D1013" s="22" t="s">
        <v>2364</v>
      </c>
      <c r="E1013" s="23">
        <v>8</v>
      </c>
      <c r="F1013" s="23">
        <v>72.06</v>
      </c>
      <c r="G1013" s="23">
        <v>576.48</v>
      </c>
      <c r="H1013" s="22" t="s">
        <v>1904</v>
      </c>
      <c r="I1013" s="22" t="s">
        <v>2344</v>
      </c>
    </row>
    <row r="1014" spans="1:9" x14ac:dyDescent="0.35">
      <c r="A1014" s="22" t="s">
        <v>1905</v>
      </c>
      <c r="B1014" s="22" t="s">
        <v>3056</v>
      </c>
      <c r="C1014" s="22" t="s">
        <v>11</v>
      </c>
      <c r="D1014" s="22" t="s">
        <v>2343</v>
      </c>
      <c r="E1014" s="23">
        <v>8</v>
      </c>
      <c r="F1014" s="23">
        <v>216.11</v>
      </c>
      <c r="G1014" s="23"/>
      <c r="H1014" s="22" t="s">
        <v>1906</v>
      </c>
      <c r="I1014" s="22" t="s">
        <v>2298</v>
      </c>
    </row>
    <row r="1015" spans="1:9" x14ac:dyDescent="0.35">
      <c r="A1015" s="22" t="s">
        <v>1907</v>
      </c>
      <c r="B1015" s="22" t="s">
        <v>2792</v>
      </c>
      <c r="C1015" s="22"/>
      <c r="D1015" s="22" t="s">
        <v>24</v>
      </c>
      <c r="E1015" s="23">
        <v>5</v>
      </c>
      <c r="F1015" s="23">
        <v>245.66</v>
      </c>
      <c r="G1015" s="23">
        <v>1549.02</v>
      </c>
      <c r="H1015" s="22" t="s">
        <v>1908</v>
      </c>
      <c r="I1015" s="22" t="s">
        <v>50</v>
      </c>
    </row>
    <row r="1016" spans="1:9" x14ac:dyDescent="0.35">
      <c r="A1016" s="22" t="s">
        <v>1909</v>
      </c>
      <c r="B1016" s="22" t="s">
        <v>3057</v>
      </c>
      <c r="C1016" s="22" t="s">
        <v>2349</v>
      </c>
      <c r="D1016" s="22" t="s">
        <v>32</v>
      </c>
      <c r="E1016" s="23">
        <v>4</v>
      </c>
      <c r="F1016" s="23">
        <v>194.39</v>
      </c>
      <c r="G1016" s="23">
        <v>777.56</v>
      </c>
      <c r="H1016" s="22" t="s">
        <v>1910</v>
      </c>
      <c r="I1016" s="22" t="s">
        <v>2340</v>
      </c>
    </row>
    <row r="1017" spans="1:9" x14ac:dyDescent="0.35">
      <c r="A1017" s="22" t="s">
        <v>1911</v>
      </c>
      <c r="B1017" s="22" t="s">
        <v>2397</v>
      </c>
      <c r="C1017" s="22" t="s">
        <v>19</v>
      </c>
      <c r="D1017" s="22" t="s">
        <v>12</v>
      </c>
      <c r="E1017" s="23">
        <v>2</v>
      </c>
      <c r="F1017" s="23">
        <v>187.96</v>
      </c>
      <c r="G1017" s="23">
        <v>375.92</v>
      </c>
      <c r="H1017" s="22" t="s">
        <v>1912</v>
      </c>
      <c r="I1017" s="22" t="s">
        <v>2298</v>
      </c>
    </row>
    <row r="1018" spans="1:9" x14ac:dyDescent="0.35">
      <c r="A1018" s="22" t="s">
        <v>1913</v>
      </c>
      <c r="B1018" s="22" t="s">
        <v>2736</v>
      </c>
      <c r="C1018" s="22" t="s">
        <v>2349</v>
      </c>
      <c r="D1018" s="22" t="s">
        <v>24</v>
      </c>
      <c r="E1018" s="23">
        <v>6</v>
      </c>
      <c r="F1018" s="23">
        <v>-195.94</v>
      </c>
      <c r="G1018" s="23">
        <v>213.66</v>
      </c>
      <c r="H1018" s="22" t="s">
        <v>1914</v>
      </c>
      <c r="I1018" s="22" t="s">
        <v>2356</v>
      </c>
    </row>
    <row r="1019" spans="1:9" x14ac:dyDescent="0.35">
      <c r="A1019" s="22" t="s">
        <v>1915</v>
      </c>
      <c r="B1019" s="22" t="s">
        <v>2885</v>
      </c>
      <c r="C1019" s="22" t="s">
        <v>2358</v>
      </c>
      <c r="D1019" s="22" t="s">
        <v>46</v>
      </c>
      <c r="E1019" s="23">
        <v>5</v>
      </c>
      <c r="F1019" s="23">
        <v>345.91</v>
      </c>
      <c r="G1019" s="23">
        <v>1729.55</v>
      </c>
      <c r="H1019" s="22" t="s">
        <v>1916</v>
      </c>
      <c r="I1019" s="22" t="s">
        <v>2298</v>
      </c>
    </row>
    <row r="1020" spans="1:9" x14ac:dyDescent="0.35">
      <c r="A1020" s="22" t="s">
        <v>1917</v>
      </c>
      <c r="B1020" s="22" t="s">
        <v>2850</v>
      </c>
      <c r="C1020" s="22" t="s">
        <v>2349</v>
      </c>
      <c r="D1020" s="22" t="s">
        <v>12</v>
      </c>
      <c r="E1020" s="23">
        <v>6</v>
      </c>
      <c r="F1020" s="23">
        <v>223.75</v>
      </c>
      <c r="G1020" s="23">
        <v>1342.5</v>
      </c>
      <c r="H1020" s="22" t="s">
        <v>1918</v>
      </c>
      <c r="I1020" s="22" t="s">
        <v>14</v>
      </c>
    </row>
    <row r="1021" spans="1:9" x14ac:dyDescent="0.35">
      <c r="A1021" s="22" t="s">
        <v>79</v>
      </c>
      <c r="B1021" s="22" t="s">
        <v>2823</v>
      </c>
      <c r="C1021" s="22" t="s">
        <v>2349</v>
      </c>
      <c r="D1021" s="22" t="s">
        <v>12</v>
      </c>
      <c r="E1021" s="23">
        <v>7</v>
      </c>
      <c r="F1021" s="23">
        <v>105.45</v>
      </c>
      <c r="G1021" s="23">
        <v>1212.57</v>
      </c>
      <c r="H1021" s="22" t="s">
        <v>3058</v>
      </c>
      <c r="I1021" s="22" t="s">
        <v>14</v>
      </c>
    </row>
    <row r="1022" spans="1:9" x14ac:dyDescent="0.35">
      <c r="A1022" s="22" t="s">
        <v>1919</v>
      </c>
      <c r="B1022" s="22" t="s">
        <v>3059</v>
      </c>
      <c r="C1022" s="22"/>
      <c r="D1022" s="22" t="s">
        <v>2347</v>
      </c>
      <c r="E1022" s="23">
        <v>3</v>
      </c>
      <c r="F1022" s="23">
        <v>409.86</v>
      </c>
      <c r="G1022" s="23">
        <v>1229.58</v>
      </c>
      <c r="H1022" s="22" t="s">
        <v>1920</v>
      </c>
      <c r="I1022" s="22" t="s">
        <v>2378</v>
      </c>
    </row>
    <row r="1023" spans="1:9" x14ac:dyDescent="0.35">
      <c r="A1023" s="22" t="s">
        <v>1921</v>
      </c>
      <c r="B1023" s="22" t="s">
        <v>2524</v>
      </c>
      <c r="C1023" s="22"/>
      <c r="D1023" s="22" t="s">
        <v>2350</v>
      </c>
      <c r="E1023" s="23">
        <v>9</v>
      </c>
      <c r="F1023" s="23">
        <v>403.25</v>
      </c>
      <c r="G1023" s="23">
        <v>3629.25</v>
      </c>
      <c r="H1023" s="22" t="s">
        <v>1922</v>
      </c>
      <c r="I1023" s="22" t="s">
        <v>2298</v>
      </c>
    </row>
    <row r="1024" spans="1:9" x14ac:dyDescent="0.35">
      <c r="A1024" s="22" t="s">
        <v>1923</v>
      </c>
      <c r="B1024" s="22" t="s">
        <v>2490</v>
      </c>
      <c r="C1024" s="22" t="s">
        <v>2349</v>
      </c>
      <c r="D1024" s="22" t="s">
        <v>32</v>
      </c>
      <c r="E1024" s="23">
        <v>2</v>
      </c>
      <c r="F1024" s="23">
        <v>248.33</v>
      </c>
      <c r="G1024" s="23">
        <v>496.66</v>
      </c>
      <c r="H1024" s="22" t="s">
        <v>1924</v>
      </c>
      <c r="I1024" s="22" t="s">
        <v>2340</v>
      </c>
    </row>
    <row r="1025" spans="1:9" x14ac:dyDescent="0.35">
      <c r="A1025" s="22" t="s">
        <v>1925</v>
      </c>
      <c r="B1025" s="22" t="s">
        <v>2451</v>
      </c>
      <c r="C1025" s="22" t="s">
        <v>2358</v>
      </c>
      <c r="D1025" s="22" t="s">
        <v>24</v>
      </c>
      <c r="E1025" s="23">
        <v>0</v>
      </c>
      <c r="F1025" s="23">
        <v>156.24</v>
      </c>
      <c r="G1025" s="23">
        <v>0</v>
      </c>
      <c r="H1025" s="22" t="s">
        <v>1926</v>
      </c>
      <c r="I1025" s="22" t="s">
        <v>26</v>
      </c>
    </row>
    <row r="1026" spans="1:9" x14ac:dyDescent="0.35">
      <c r="A1026" s="22" t="s">
        <v>1927</v>
      </c>
      <c r="B1026" s="22" t="s">
        <v>3060</v>
      </c>
      <c r="C1026" s="22" t="s">
        <v>23</v>
      </c>
      <c r="D1026" s="22" t="s">
        <v>12</v>
      </c>
      <c r="E1026" s="23">
        <v>6</v>
      </c>
      <c r="F1026" s="23">
        <v>322.67</v>
      </c>
      <c r="G1026" s="23">
        <v>1936.02</v>
      </c>
      <c r="H1026" s="22" t="s">
        <v>1928</v>
      </c>
      <c r="I1026" s="22" t="s">
        <v>14</v>
      </c>
    </row>
    <row r="1027" spans="1:9" x14ac:dyDescent="0.35">
      <c r="A1027" s="22" t="s">
        <v>1929</v>
      </c>
      <c r="B1027" s="22" t="s">
        <v>2676</v>
      </c>
      <c r="C1027" s="22" t="s">
        <v>16</v>
      </c>
      <c r="D1027" s="22" t="s">
        <v>2343</v>
      </c>
      <c r="E1027" s="23">
        <v>4</v>
      </c>
      <c r="F1027" s="23" t="s">
        <v>332</v>
      </c>
      <c r="G1027" s="23">
        <v>604.76</v>
      </c>
      <c r="H1027" s="22" t="s">
        <v>1930</v>
      </c>
      <c r="I1027" s="22" t="s">
        <v>2298</v>
      </c>
    </row>
    <row r="1028" spans="1:9" x14ac:dyDescent="0.35">
      <c r="A1028" s="22" t="s">
        <v>1931</v>
      </c>
      <c r="B1028" s="22" t="s">
        <v>3061</v>
      </c>
      <c r="C1028" s="22" t="s">
        <v>11</v>
      </c>
      <c r="D1028" s="22" t="s">
        <v>2350</v>
      </c>
      <c r="E1028" s="23">
        <v>6</v>
      </c>
      <c r="F1028" s="23">
        <v>125.64</v>
      </c>
      <c r="G1028" s="23">
        <v>753.84</v>
      </c>
      <c r="H1028" s="22" t="s">
        <v>1932</v>
      </c>
      <c r="I1028" s="22" t="s">
        <v>50</v>
      </c>
    </row>
    <row r="1029" spans="1:9" x14ac:dyDescent="0.35">
      <c r="A1029" s="22" t="s">
        <v>1933</v>
      </c>
      <c r="B1029" s="22" t="s">
        <v>3062</v>
      </c>
      <c r="C1029" s="22" t="s">
        <v>2358</v>
      </c>
      <c r="D1029" s="22" t="s">
        <v>2343</v>
      </c>
      <c r="E1029" s="23">
        <v>4</v>
      </c>
      <c r="F1029" s="23">
        <v>367.95</v>
      </c>
      <c r="G1029" s="23">
        <v>1471.8</v>
      </c>
      <c r="H1029" s="22" t="s">
        <v>1934</v>
      </c>
      <c r="I1029" s="22" t="s">
        <v>2344</v>
      </c>
    </row>
    <row r="1030" spans="1:9" x14ac:dyDescent="0.35">
      <c r="A1030" s="22" t="s">
        <v>1935</v>
      </c>
      <c r="B1030" s="22" t="s">
        <v>2605</v>
      </c>
      <c r="C1030" s="22" t="s">
        <v>11</v>
      </c>
      <c r="D1030" s="22" t="s">
        <v>2350</v>
      </c>
      <c r="E1030" s="23">
        <v>5</v>
      </c>
      <c r="F1030" s="23">
        <v>29.76</v>
      </c>
      <c r="G1030" s="23">
        <v>148.80000000000001</v>
      </c>
      <c r="H1030" s="22" t="s">
        <v>1936</v>
      </c>
      <c r="I1030" s="22" t="s">
        <v>2378</v>
      </c>
    </row>
    <row r="1031" spans="1:9" x14ac:dyDescent="0.35">
      <c r="A1031" s="22" t="s">
        <v>1937</v>
      </c>
      <c r="B1031" s="22" t="s">
        <v>2629</v>
      </c>
      <c r="C1031" s="22" t="s">
        <v>2342</v>
      </c>
      <c r="D1031" s="22" t="s">
        <v>2347</v>
      </c>
      <c r="E1031" s="23">
        <v>2</v>
      </c>
      <c r="F1031" s="23">
        <v>56.44</v>
      </c>
      <c r="G1031" s="23">
        <v>112.88</v>
      </c>
      <c r="H1031" s="22" t="s">
        <v>1938</v>
      </c>
      <c r="I1031" s="22" t="s">
        <v>2298</v>
      </c>
    </row>
    <row r="1032" spans="1:9" x14ac:dyDescent="0.35">
      <c r="A1032" s="22" t="s">
        <v>1939</v>
      </c>
      <c r="B1032" s="22" t="s">
        <v>3063</v>
      </c>
      <c r="C1032" s="22" t="s">
        <v>2282</v>
      </c>
      <c r="D1032" s="22" t="s">
        <v>32</v>
      </c>
      <c r="E1032" s="23">
        <v>5</v>
      </c>
      <c r="F1032" s="23">
        <v>13.33</v>
      </c>
      <c r="G1032" s="23">
        <v>66.650000000000006</v>
      </c>
      <c r="H1032" s="22" t="s">
        <v>1940</v>
      </c>
      <c r="I1032" s="22" t="s">
        <v>50</v>
      </c>
    </row>
    <row r="1033" spans="1:9" x14ac:dyDescent="0.35">
      <c r="A1033" s="22" t="s">
        <v>1941</v>
      </c>
      <c r="B1033" s="22" t="s">
        <v>3064</v>
      </c>
      <c r="C1033" s="22" t="s">
        <v>23</v>
      </c>
      <c r="D1033" s="22" t="s">
        <v>12</v>
      </c>
      <c r="E1033" s="23">
        <v>4</v>
      </c>
      <c r="F1033" s="23">
        <v>84.94</v>
      </c>
      <c r="G1033" s="23">
        <v>339.76</v>
      </c>
      <c r="H1033" s="22"/>
      <c r="I1033" s="22" t="s">
        <v>2378</v>
      </c>
    </row>
    <row r="1034" spans="1:9" x14ac:dyDescent="0.35">
      <c r="A1034" s="22" t="s">
        <v>1942</v>
      </c>
      <c r="B1034" s="22" t="s">
        <v>2533</v>
      </c>
      <c r="C1034" s="22" t="s">
        <v>11</v>
      </c>
      <c r="D1034" s="22" t="s">
        <v>24</v>
      </c>
      <c r="E1034" s="23">
        <v>-1</v>
      </c>
      <c r="F1034" s="23">
        <v>43.81</v>
      </c>
      <c r="G1034" s="23">
        <v>131.43</v>
      </c>
      <c r="H1034" s="22" t="s">
        <v>1943</v>
      </c>
      <c r="I1034" s="22" t="s">
        <v>14</v>
      </c>
    </row>
    <row r="1035" spans="1:9" x14ac:dyDescent="0.35">
      <c r="A1035" s="22" t="s">
        <v>1944</v>
      </c>
      <c r="B1035" s="22" t="s">
        <v>3065</v>
      </c>
      <c r="C1035" s="22" t="s">
        <v>16</v>
      </c>
      <c r="D1035" s="22" t="s">
        <v>32</v>
      </c>
      <c r="E1035" s="23">
        <v>5</v>
      </c>
      <c r="F1035" s="23">
        <v>497.94</v>
      </c>
      <c r="G1035" s="23"/>
      <c r="H1035" s="22" t="s">
        <v>1945</v>
      </c>
      <c r="I1035" s="22" t="s">
        <v>2344</v>
      </c>
    </row>
    <row r="1036" spans="1:9" x14ac:dyDescent="0.35">
      <c r="A1036" s="22" t="s">
        <v>1946</v>
      </c>
      <c r="B1036" s="22" t="s">
        <v>2428</v>
      </c>
      <c r="C1036" s="22" t="s">
        <v>11</v>
      </c>
      <c r="D1036" s="22" t="s">
        <v>2343</v>
      </c>
      <c r="E1036" s="23">
        <v>3</v>
      </c>
      <c r="F1036" s="23">
        <v>151.52000000000001</v>
      </c>
      <c r="G1036" s="23"/>
      <c r="H1036" s="22" t="s">
        <v>1947</v>
      </c>
      <c r="I1036" s="22" t="s">
        <v>2344</v>
      </c>
    </row>
    <row r="1037" spans="1:9" x14ac:dyDescent="0.35">
      <c r="A1037" s="22" t="s">
        <v>1948</v>
      </c>
      <c r="B1037" s="22" t="s">
        <v>2899</v>
      </c>
      <c r="C1037" s="22" t="s">
        <v>19</v>
      </c>
      <c r="D1037" s="22" t="s">
        <v>2347</v>
      </c>
      <c r="E1037" s="23">
        <v>3</v>
      </c>
      <c r="F1037" s="23">
        <v>83.14</v>
      </c>
      <c r="G1037" s="23">
        <v>249.42</v>
      </c>
      <c r="H1037" s="22" t="s">
        <v>1949</v>
      </c>
      <c r="I1037" s="22" t="s">
        <v>2298</v>
      </c>
    </row>
    <row r="1038" spans="1:9" x14ac:dyDescent="0.35">
      <c r="A1038" s="22" t="s">
        <v>1950</v>
      </c>
      <c r="B1038" s="22" t="s">
        <v>3066</v>
      </c>
      <c r="C1038" s="22" t="s">
        <v>23</v>
      </c>
      <c r="D1038" s="22" t="s">
        <v>2364</v>
      </c>
      <c r="E1038" s="23">
        <v>4</v>
      </c>
      <c r="F1038" s="23">
        <v>128.09</v>
      </c>
      <c r="G1038" s="23">
        <v>512.36</v>
      </c>
      <c r="H1038" s="22" t="s">
        <v>1951</v>
      </c>
      <c r="I1038" s="22" t="s">
        <v>26</v>
      </c>
    </row>
    <row r="1039" spans="1:9" x14ac:dyDescent="0.35">
      <c r="A1039" s="22" t="s">
        <v>1952</v>
      </c>
      <c r="B1039" s="22" t="s">
        <v>2723</v>
      </c>
      <c r="C1039" s="22" t="s">
        <v>2346</v>
      </c>
      <c r="D1039" s="22" t="s">
        <v>46</v>
      </c>
      <c r="E1039" s="23">
        <v>8</v>
      </c>
      <c r="F1039" s="23">
        <v>468.7</v>
      </c>
      <c r="G1039" s="23">
        <v>3749.6</v>
      </c>
      <c r="H1039" s="22" t="s">
        <v>1953</v>
      </c>
      <c r="I1039" s="22" t="s">
        <v>2378</v>
      </c>
    </row>
    <row r="1040" spans="1:9" x14ac:dyDescent="0.35">
      <c r="A1040" s="22" t="s">
        <v>1954</v>
      </c>
      <c r="B1040" s="22" t="s">
        <v>2583</v>
      </c>
      <c r="C1040" s="22" t="s">
        <v>2358</v>
      </c>
      <c r="D1040" s="22" t="s">
        <v>12</v>
      </c>
      <c r="E1040" s="23">
        <v>5</v>
      </c>
      <c r="F1040" s="23">
        <v>264.88</v>
      </c>
      <c r="G1040" s="23">
        <v>1324.4</v>
      </c>
      <c r="H1040" s="22" t="s">
        <v>1955</v>
      </c>
      <c r="I1040" s="22" t="s">
        <v>26</v>
      </c>
    </row>
    <row r="1041" spans="1:9" x14ac:dyDescent="0.35">
      <c r="A1041" s="22" t="s">
        <v>1956</v>
      </c>
      <c r="B1041" s="22" t="s">
        <v>2464</v>
      </c>
      <c r="C1041" s="22" t="s">
        <v>2358</v>
      </c>
      <c r="D1041" s="22" t="s">
        <v>2364</v>
      </c>
      <c r="E1041" s="23">
        <v>4</v>
      </c>
      <c r="F1041" s="23" t="s">
        <v>332</v>
      </c>
      <c r="G1041" s="23">
        <v>755.04</v>
      </c>
      <c r="H1041" s="22" t="s">
        <v>1957</v>
      </c>
      <c r="I1041" s="22" t="s">
        <v>2298</v>
      </c>
    </row>
    <row r="1042" spans="1:9" x14ac:dyDescent="0.35">
      <c r="A1042" s="22" t="s">
        <v>29</v>
      </c>
      <c r="B1042" s="22" t="s">
        <v>3067</v>
      </c>
      <c r="C1042" s="22" t="s">
        <v>16</v>
      </c>
      <c r="D1042" s="22" t="s">
        <v>32</v>
      </c>
      <c r="E1042" s="23">
        <v>4</v>
      </c>
      <c r="F1042" s="23">
        <v>437.96</v>
      </c>
      <c r="G1042" s="23">
        <v>1751.84</v>
      </c>
      <c r="H1042" s="22" t="s">
        <v>3068</v>
      </c>
      <c r="I1042" s="22" t="s">
        <v>26</v>
      </c>
    </row>
    <row r="1043" spans="1:9" x14ac:dyDescent="0.35">
      <c r="A1043" s="22" t="s">
        <v>1958</v>
      </c>
      <c r="B1043" s="22" t="s">
        <v>3069</v>
      </c>
      <c r="C1043" s="22" t="s">
        <v>16</v>
      </c>
      <c r="D1043" s="22" t="s">
        <v>46</v>
      </c>
      <c r="E1043" s="23">
        <v>4</v>
      </c>
      <c r="F1043" s="23">
        <v>203.55</v>
      </c>
      <c r="G1043" s="23">
        <v>814.2</v>
      </c>
      <c r="H1043" s="22" t="s">
        <v>1959</v>
      </c>
      <c r="I1043" s="22" t="s">
        <v>2378</v>
      </c>
    </row>
    <row r="1044" spans="1:9" x14ac:dyDescent="0.35">
      <c r="A1044" s="22" t="s">
        <v>1960</v>
      </c>
      <c r="B1044" s="22" t="s">
        <v>3070</v>
      </c>
      <c r="C1044" s="22" t="s">
        <v>23</v>
      </c>
      <c r="D1044" s="22" t="s">
        <v>32</v>
      </c>
      <c r="E1044" s="23">
        <v>4</v>
      </c>
      <c r="F1044" s="23">
        <v>174.15</v>
      </c>
      <c r="G1044" s="23">
        <v>696.6</v>
      </c>
      <c r="H1044" s="22" t="s">
        <v>1961</v>
      </c>
      <c r="I1044" s="22" t="s">
        <v>14</v>
      </c>
    </row>
    <row r="1045" spans="1:9" x14ac:dyDescent="0.35">
      <c r="A1045" s="22" t="s">
        <v>1962</v>
      </c>
      <c r="B1045" s="22" t="s">
        <v>3071</v>
      </c>
      <c r="C1045" s="22" t="s">
        <v>2342</v>
      </c>
      <c r="D1045" s="22" t="s">
        <v>2350</v>
      </c>
      <c r="E1045" s="23">
        <v>7</v>
      </c>
      <c r="F1045" s="23">
        <v>111.57</v>
      </c>
      <c r="G1045" s="23">
        <v>780.99</v>
      </c>
      <c r="H1045" s="22" t="s">
        <v>1963</v>
      </c>
      <c r="I1045" s="22" t="s">
        <v>2378</v>
      </c>
    </row>
    <row r="1046" spans="1:9" x14ac:dyDescent="0.35">
      <c r="A1046" s="22" t="s">
        <v>1964</v>
      </c>
      <c r="B1046" s="22"/>
      <c r="C1046" s="22" t="s">
        <v>19</v>
      </c>
      <c r="D1046" s="22" t="s">
        <v>2347</v>
      </c>
      <c r="E1046" s="23">
        <v>8</v>
      </c>
      <c r="F1046" s="23">
        <v>195.12</v>
      </c>
      <c r="G1046" s="23">
        <v>1560.96</v>
      </c>
      <c r="H1046" s="22" t="s">
        <v>1965</v>
      </c>
      <c r="I1046" s="22" t="s">
        <v>2378</v>
      </c>
    </row>
    <row r="1047" spans="1:9" x14ac:dyDescent="0.35">
      <c r="A1047" s="22" t="s">
        <v>1966</v>
      </c>
      <c r="B1047" s="22" t="s">
        <v>2371</v>
      </c>
      <c r="C1047" s="22" t="s">
        <v>2282</v>
      </c>
      <c r="D1047" s="22" t="s">
        <v>12</v>
      </c>
      <c r="E1047" s="23">
        <v>7</v>
      </c>
      <c r="F1047" s="23">
        <v>165.18</v>
      </c>
      <c r="G1047" s="23">
        <v>1156.26</v>
      </c>
      <c r="H1047" s="22" t="s">
        <v>1967</v>
      </c>
      <c r="I1047" s="22" t="s">
        <v>2378</v>
      </c>
    </row>
    <row r="1048" spans="1:9" x14ac:dyDescent="0.35">
      <c r="A1048" s="22" t="s">
        <v>1968</v>
      </c>
      <c r="B1048" s="22" t="s">
        <v>3072</v>
      </c>
      <c r="C1048" s="22" t="s">
        <v>2282</v>
      </c>
      <c r="D1048" s="22" t="s">
        <v>24</v>
      </c>
      <c r="E1048" s="23">
        <v>3</v>
      </c>
      <c r="F1048" s="23">
        <v>341.88</v>
      </c>
      <c r="G1048" s="23">
        <v>1025.6400000000001</v>
      </c>
      <c r="H1048" s="22" t="s">
        <v>1969</v>
      </c>
      <c r="I1048" s="22" t="s">
        <v>26</v>
      </c>
    </row>
    <row r="1049" spans="1:9" x14ac:dyDescent="0.35">
      <c r="A1049" s="22" t="s">
        <v>1970</v>
      </c>
      <c r="B1049" s="22" t="s">
        <v>2739</v>
      </c>
      <c r="C1049" s="22"/>
      <c r="D1049" s="22" t="s">
        <v>46</v>
      </c>
      <c r="E1049" s="23">
        <v>6</v>
      </c>
      <c r="F1049" s="23">
        <v>151.9</v>
      </c>
      <c r="G1049" s="23">
        <v>911.4</v>
      </c>
      <c r="H1049" s="22" t="s">
        <v>1971</v>
      </c>
      <c r="I1049" s="22" t="s">
        <v>2298</v>
      </c>
    </row>
    <row r="1050" spans="1:9" x14ac:dyDescent="0.35">
      <c r="A1050" s="22" t="s">
        <v>1972</v>
      </c>
      <c r="B1050" s="22" t="s">
        <v>3073</v>
      </c>
      <c r="C1050" s="22" t="s">
        <v>19</v>
      </c>
      <c r="D1050" s="22" t="s">
        <v>2347</v>
      </c>
      <c r="E1050" s="23">
        <v>6</v>
      </c>
      <c r="F1050" s="23">
        <v>292.83</v>
      </c>
      <c r="G1050" s="23">
        <v>1756.98</v>
      </c>
      <c r="H1050" s="22" t="s">
        <v>1973</v>
      </c>
      <c r="I1050" s="22" t="s">
        <v>2356</v>
      </c>
    </row>
    <row r="1051" spans="1:9" x14ac:dyDescent="0.35">
      <c r="A1051" s="22" t="s">
        <v>1974</v>
      </c>
      <c r="B1051" s="22" t="s">
        <v>3074</v>
      </c>
      <c r="C1051" s="22"/>
      <c r="D1051" s="22" t="s">
        <v>2364</v>
      </c>
      <c r="E1051" s="23">
        <v>4</v>
      </c>
      <c r="F1051" s="23">
        <v>42.29</v>
      </c>
      <c r="G1051" s="23">
        <v>169.16</v>
      </c>
      <c r="H1051" s="22" t="s">
        <v>1975</v>
      </c>
      <c r="I1051" s="22" t="s">
        <v>26</v>
      </c>
    </row>
    <row r="1052" spans="1:9" x14ac:dyDescent="0.35">
      <c r="A1052" s="22" t="s">
        <v>1976</v>
      </c>
      <c r="B1052" s="22" t="s">
        <v>3075</v>
      </c>
      <c r="C1052" s="22" t="s">
        <v>2349</v>
      </c>
      <c r="D1052" s="22" t="s">
        <v>24</v>
      </c>
      <c r="E1052" s="23">
        <v>6</v>
      </c>
      <c r="F1052" s="23">
        <v>103.73</v>
      </c>
      <c r="G1052" s="23">
        <v>622.38</v>
      </c>
      <c r="H1052" s="22" t="s">
        <v>1977</v>
      </c>
      <c r="I1052" s="22" t="s">
        <v>14</v>
      </c>
    </row>
    <row r="1053" spans="1:9" x14ac:dyDescent="0.35">
      <c r="A1053" s="22" t="s">
        <v>1978</v>
      </c>
      <c r="B1053" s="22" t="s">
        <v>3076</v>
      </c>
      <c r="C1053" s="22" t="s">
        <v>2346</v>
      </c>
      <c r="D1053" s="22" t="s">
        <v>2364</v>
      </c>
      <c r="E1053" s="23">
        <v>9</v>
      </c>
      <c r="F1053" s="23">
        <v>209.63</v>
      </c>
      <c r="G1053" s="23"/>
      <c r="H1053" s="22" t="s">
        <v>1979</v>
      </c>
      <c r="I1053" s="22" t="s">
        <v>2378</v>
      </c>
    </row>
    <row r="1054" spans="1:9" x14ac:dyDescent="0.35">
      <c r="A1054" s="22" t="s">
        <v>1980</v>
      </c>
      <c r="B1054" s="22" t="s">
        <v>3077</v>
      </c>
      <c r="C1054" s="22" t="s">
        <v>2346</v>
      </c>
      <c r="D1054" s="22" t="s">
        <v>2350</v>
      </c>
      <c r="E1054" s="23">
        <v>6</v>
      </c>
      <c r="F1054" s="23">
        <v>469.11</v>
      </c>
      <c r="G1054" s="23">
        <v>2814.66</v>
      </c>
      <c r="H1054" s="22" t="s">
        <v>1981</v>
      </c>
      <c r="I1054" s="22" t="s">
        <v>14</v>
      </c>
    </row>
    <row r="1055" spans="1:9" x14ac:dyDescent="0.35">
      <c r="A1055" s="22" t="s">
        <v>1982</v>
      </c>
      <c r="B1055" s="22" t="s">
        <v>2524</v>
      </c>
      <c r="C1055" s="22" t="s">
        <v>23</v>
      </c>
      <c r="D1055" s="22" t="s">
        <v>46</v>
      </c>
      <c r="E1055" s="23">
        <v>4</v>
      </c>
      <c r="F1055" s="23">
        <v>194.85</v>
      </c>
      <c r="G1055" s="23">
        <v>779.4</v>
      </c>
      <c r="H1055" s="22" t="s">
        <v>1983</v>
      </c>
      <c r="I1055" s="22" t="s">
        <v>2356</v>
      </c>
    </row>
    <row r="1056" spans="1:9" x14ac:dyDescent="0.35">
      <c r="A1056" s="22" t="s">
        <v>1984</v>
      </c>
      <c r="B1056" s="22" t="s">
        <v>3078</v>
      </c>
      <c r="C1056" s="22"/>
      <c r="D1056" s="22" t="s">
        <v>12</v>
      </c>
      <c r="E1056" s="23">
        <v>6</v>
      </c>
      <c r="F1056" s="23">
        <v>335.4</v>
      </c>
      <c r="G1056" s="23">
        <v>2012.4</v>
      </c>
      <c r="H1056" s="22" t="s">
        <v>1985</v>
      </c>
      <c r="I1056" s="22" t="s">
        <v>2344</v>
      </c>
    </row>
    <row r="1057" spans="1:9" x14ac:dyDescent="0.35">
      <c r="A1057" s="22" t="s">
        <v>1986</v>
      </c>
      <c r="B1057" s="22" t="s">
        <v>3079</v>
      </c>
      <c r="C1057" s="22" t="s">
        <v>2342</v>
      </c>
      <c r="D1057" s="22" t="s">
        <v>2364</v>
      </c>
      <c r="E1057" s="23">
        <v>7</v>
      </c>
      <c r="F1057" s="23"/>
      <c r="G1057" s="23">
        <v>944.93</v>
      </c>
      <c r="H1057" s="22" t="s">
        <v>1987</v>
      </c>
      <c r="I1057" s="22" t="s">
        <v>2298</v>
      </c>
    </row>
    <row r="1058" spans="1:9" x14ac:dyDescent="0.35">
      <c r="A1058" s="22" t="s">
        <v>1988</v>
      </c>
      <c r="B1058" s="22"/>
      <c r="C1058" s="22" t="s">
        <v>19</v>
      </c>
      <c r="D1058" s="22" t="s">
        <v>32</v>
      </c>
      <c r="E1058" s="23">
        <v>4</v>
      </c>
      <c r="F1058" s="23">
        <v>72.25</v>
      </c>
      <c r="G1058" s="23">
        <v>289</v>
      </c>
      <c r="H1058" s="22"/>
      <c r="I1058" s="22" t="s">
        <v>2340</v>
      </c>
    </row>
    <row r="1059" spans="1:9" x14ac:dyDescent="0.35">
      <c r="A1059" s="22" t="s">
        <v>1989</v>
      </c>
      <c r="B1059" s="22" t="s">
        <v>3080</v>
      </c>
      <c r="C1059" s="22" t="s">
        <v>2282</v>
      </c>
      <c r="D1059" s="22" t="s">
        <v>12</v>
      </c>
      <c r="E1059" s="23">
        <v>3</v>
      </c>
      <c r="F1059" s="23">
        <v>38.68</v>
      </c>
      <c r="G1059" s="23">
        <v>116.04</v>
      </c>
      <c r="H1059" s="22" t="s">
        <v>1990</v>
      </c>
      <c r="I1059" s="22" t="s">
        <v>2340</v>
      </c>
    </row>
    <row r="1060" spans="1:9" x14ac:dyDescent="0.35">
      <c r="A1060" s="22" t="s">
        <v>1991</v>
      </c>
      <c r="B1060" s="22" t="s">
        <v>3081</v>
      </c>
      <c r="C1060" s="22" t="s">
        <v>2346</v>
      </c>
      <c r="D1060" s="22" t="s">
        <v>2350</v>
      </c>
      <c r="E1060" s="23">
        <v>4</v>
      </c>
      <c r="F1060" s="23">
        <v>159.65</v>
      </c>
      <c r="G1060" s="23">
        <v>1123.6600000000001</v>
      </c>
      <c r="H1060" s="22" t="s">
        <v>1992</v>
      </c>
      <c r="I1060" s="22" t="s">
        <v>2340</v>
      </c>
    </row>
    <row r="1061" spans="1:9" x14ac:dyDescent="0.35">
      <c r="A1061" s="22" t="s">
        <v>1993</v>
      </c>
      <c r="B1061" s="22" t="s">
        <v>3082</v>
      </c>
      <c r="C1061" s="22" t="s">
        <v>11</v>
      </c>
      <c r="D1061" s="22" t="s">
        <v>2347</v>
      </c>
      <c r="E1061" s="23">
        <v>5</v>
      </c>
      <c r="F1061" s="23">
        <v>87.25</v>
      </c>
      <c r="G1061" s="23">
        <v>436.25</v>
      </c>
      <c r="H1061" s="22" t="s">
        <v>1994</v>
      </c>
      <c r="I1061" s="22" t="s">
        <v>2344</v>
      </c>
    </row>
    <row r="1062" spans="1:9" x14ac:dyDescent="0.35">
      <c r="A1062" s="22" t="s">
        <v>1995</v>
      </c>
      <c r="B1062" s="22"/>
      <c r="C1062" s="22" t="s">
        <v>19</v>
      </c>
      <c r="D1062" s="22" t="s">
        <v>2350</v>
      </c>
      <c r="E1062" s="23">
        <v>3</v>
      </c>
      <c r="F1062" s="23">
        <v>95.27</v>
      </c>
      <c r="G1062" s="23">
        <v>285.81</v>
      </c>
      <c r="H1062" s="22" t="s">
        <v>1996</v>
      </c>
      <c r="I1062" s="22" t="s">
        <v>2356</v>
      </c>
    </row>
    <row r="1063" spans="1:9" x14ac:dyDescent="0.35">
      <c r="A1063" s="22" t="s">
        <v>1997</v>
      </c>
      <c r="B1063" s="22" t="s">
        <v>2531</v>
      </c>
      <c r="C1063" s="22" t="s">
        <v>2346</v>
      </c>
      <c r="D1063" s="22" t="s">
        <v>46</v>
      </c>
      <c r="E1063" s="23">
        <v>5</v>
      </c>
      <c r="F1063" s="23">
        <v>382.77</v>
      </c>
      <c r="G1063" s="23">
        <v>1913.85</v>
      </c>
      <c r="H1063" s="22" t="s">
        <v>1998</v>
      </c>
      <c r="I1063" s="22" t="s">
        <v>2340</v>
      </c>
    </row>
    <row r="1064" spans="1:9" x14ac:dyDescent="0.35">
      <c r="A1064" s="22" t="s">
        <v>1999</v>
      </c>
      <c r="B1064" s="22" t="s">
        <v>3083</v>
      </c>
      <c r="C1064" s="22" t="s">
        <v>23</v>
      </c>
      <c r="D1064" s="22" t="s">
        <v>24</v>
      </c>
      <c r="E1064" s="23">
        <v>3</v>
      </c>
      <c r="F1064" s="23">
        <v>17.760000000000002</v>
      </c>
      <c r="G1064" s="23">
        <v>53.28</v>
      </c>
      <c r="H1064" s="22" t="s">
        <v>2000</v>
      </c>
      <c r="I1064" s="22" t="s">
        <v>2344</v>
      </c>
    </row>
    <row r="1065" spans="1:9" x14ac:dyDescent="0.35">
      <c r="A1065" s="22" t="s">
        <v>2001</v>
      </c>
      <c r="B1065" s="22" t="s">
        <v>3084</v>
      </c>
      <c r="C1065" s="22" t="s">
        <v>23</v>
      </c>
      <c r="D1065" s="22" t="s">
        <v>2364</v>
      </c>
      <c r="E1065" s="23">
        <v>5</v>
      </c>
      <c r="F1065" s="23">
        <v>283.33</v>
      </c>
      <c r="G1065" s="23">
        <v>1416.65</v>
      </c>
      <c r="H1065" s="22" t="s">
        <v>49</v>
      </c>
      <c r="I1065" s="22"/>
    </row>
    <row r="1066" spans="1:9" x14ac:dyDescent="0.35">
      <c r="A1066" s="22" t="s">
        <v>2002</v>
      </c>
      <c r="B1066" s="22" t="s">
        <v>3085</v>
      </c>
      <c r="C1066" s="22" t="s">
        <v>2358</v>
      </c>
      <c r="D1066" s="22" t="s">
        <v>2343</v>
      </c>
      <c r="E1066" s="23">
        <v>5</v>
      </c>
      <c r="F1066" s="23">
        <v>195.94</v>
      </c>
      <c r="G1066" s="23">
        <v>979.7</v>
      </c>
      <c r="H1066" s="22" t="s">
        <v>49</v>
      </c>
      <c r="I1066" s="22" t="s">
        <v>50</v>
      </c>
    </row>
    <row r="1067" spans="1:9" x14ac:dyDescent="0.35">
      <c r="A1067" s="22" t="s">
        <v>2003</v>
      </c>
      <c r="B1067" s="22" t="s">
        <v>2845</v>
      </c>
      <c r="C1067" s="22" t="s">
        <v>2358</v>
      </c>
      <c r="D1067" s="22" t="s">
        <v>2347</v>
      </c>
      <c r="E1067" s="23">
        <v>5</v>
      </c>
      <c r="F1067" s="23">
        <v>258.20999999999998</v>
      </c>
      <c r="G1067" s="23">
        <v>1291.05</v>
      </c>
      <c r="H1067" s="22" t="s">
        <v>2004</v>
      </c>
      <c r="I1067" s="22" t="s">
        <v>2344</v>
      </c>
    </row>
    <row r="1068" spans="1:9" x14ac:dyDescent="0.35">
      <c r="A1068" s="22" t="s">
        <v>2005</v>
      </c>
      <c r="B1068" s="22" t="s">
        <v>2638</v>
      </c>
      <c r="C1068" s="22"/>
      <c r="D1068" s="22" t="s">
        <v>24</v>
      </c>
      <c r="E1068" s="23">
        <v>6</v>
      </c>
      <c r="F1068" s="23">
        <v>285.79000000000002</v>
      </c>
      <c r="G1068" s="23">
        <v>1714.74</v>
      </c>
      <c r="H1068" s="22" t="s">
        <v>2006</v>
      </c>
      <c r="I1068" s="22" t="s">
        <v>26</v>
      </c>
    </row>
    <row r="1069" spans="1:9" x14ac:dyDescent="0.35">
      <c r="A1069" s="22" t="s">
        <v>2007</v>
      </c>
      <c r="B1069" s="22" t="s">
        <v>3086</v>
      </c>
      <c r="C1069" s="22" t="s">
        <v>16</v>
      </c>
      <c r="D1069" s="22" t="s">
        <v>32</v>
      </c>
      <c r="E1069" s="23"/>
      <c r="F1069" s="23">
        <v>163.55000000000001</v>
      </c>
      <c r="G1069" s="23">
        <v>981.3</v>
      </c>
      <c r="H1069" s="22" t="s">
        <v>2008</v>
      </c>
      <c r="I1069" s="22" t="s">
        <v>2378</v>
      </c>
    </row>
    <row r="1070" spans="1:9" x14ac:dyDescent="0.35">
      <c r="A1070" s="22" t="s">
        <v>2009</v>
      </c>
      <c r="B1070" s="22" t="s">
        <v>2756</v>
      </c>
      <c r="C1070" s="22" t="s">
        <v>19</v>
      </c>
      <c r="D1070" s="22" t="s">
        <v>24</v>
      </c>
      <c r="E1070" s="23">
        <v>6</v>
      </c>
      <c r="F1070" s="23">
        <v>154.6</v>
      </c>
      <c r="G1070" s="23">
        <v>927.6</v>
      </c>
      <c r="H1070" s="22" t="s">
        <v>2010</v>
      </c>
      <c r="I1070" s="22" t="s">
        <v>26</v>
      </c>
    </row>
    <row r="1071" spans="1:9" x14ac:dyDescent="0.35">
      <c r="A1071" s="22" t="s">
        <v>2011</v>
      </c>
      <c r="B1071" s="22" t="s">
        <v>2921</v>
      </c>
      <c r="C1071" s="22" t="s">
        <v>2349</v>
      </c>
      <c r="D1071" s="22" t="s">
        <v>2347</v>
      </c>
      <c r="E1071" s="23">
        <v>9999</v>
      </c>
      <c r="F1071" s="23">
        <v>369.37</v>
      </c>
      <c r="G1071" s="23">
        <v>1846.85</v>
      </c>
      <c r="H1071" s="22" t="s">
        <v>84</v>
      </c>
      <c r="I1071" s="22"/>
    </row>
    <row r="1072" spans="1:9" x14ac:dyDescent="0.35">
      <c r="A1072" s="22" t="s">
        <v>2012</v>
      </c>
      <c r="B1072" s="22" t="s">
        <v>3087</v>
      </c>
      <c r="C1072" s="22" t="s">
        <v>2358</v>
      </c>
      <c r="D1072" s="22" t="s">
        <v>12</v>
      </c>
      <c r="E1072" s="23">
        <v>7</v>
      </c>
      <c r="F1072" s="23">
        <v>436.93</v>
      </c>
      <c r="G1072" s="23">
        <v>3058.51</v>
      </c>
      <c r="H1072" s="22" t="s">
        <v>2013</v>
      </c>
      <c r="I1072" s="22" t="s">
        <v>26</v>
      </c>
    </row>
    <row r="1073" spans="1:9" x14ac:dyDescent="0.35">
      <c r="A1073" s="22" t="s">
        <v>2014</v>
      </c>
      <c r="B1073" s="22" t="s">
        <v>2371</v>
      </c>
      <c r="C1073" s="22" t="s">
        <v>2349</v>
      </c>
      <c r="D1073" s="22" t="s">
        <v>2364</v>
      </c>
      <c r="E1073" s="23">
        <v>3</v>
      </c>
      <c r="F1073" s="23">
        <v>104.36</v>
      </c>
      <c r="G1073" s="23">
        <v>313.08</v>
      </c>
      <c r="H1073" s="22" t="s">
        <v>2015</v>
      </c>
      <c r="I1073" s="22" t="s">
        <v>26</v>
      </c>
    </row>
    <row r="1074" spans="1:9" x14ac:dyDescent="0.35">
      <c r="A1074" s="22" t="s">
        <v>2016</v>
      </c>
      <c r="B1074" s="22" t="s">
        <v>2518</v>
      </c>
      <c r="C1074" s="22" t="s">
        <v>11</v>
      </c>
      <c r="D1074" s="22" t="s">
        <v>24</v>
      </c>
      <c r="E1074" s="23">
        <v>5</v>
      </c>
      <c r="F1074" s="23">
        <v>57.83</v>
      </c>
      <c r="G1074" s="23">
        <v>289.14999999999998</v>
      </c>
      <c r="H1074" s="22" t="s">
        <v>2017</v>
      </c>
      <c r="I1074" s="22" t="s">
        <v>26</v>
      </c>
    </row>
    <row r="1075" spans="1:9" x14ac:dyDescent="0.35">
      <c r="A1075" s="22" t="s">
        <v>2018</v>
      </c>
      <c r="B1075" s="22" t="s">
        <v>2830</v>
      </c>
      <c r="C1075" s="22" t="s">
        <v>2342</v>
      </c>
      <c r="D1075" s="22" t="s">
        <v>2347</v>
      </c>
      <c r="E1075" s="23">
        <v>7</v>
      </c>
      <c r="F1075" s="23">
        <v>449.92</v>
      </c>
      <c r="G1075" s="23">
        <v>3149.44</v>
      </c>
      <c r="H1075" s="22" t="s">
        <v>2019</v>
      </c>
      <c r="I1075" s="22" t="s">
        <v>2340</v>
      </c>
    </row>
    <row r="1076" spans="1:9" x14ac:dyDescent="0.35">
      <c r="A1076" s="22" t="s">
        <v>2020</v>
      </c>
      <c r="B1076" s="22" t="s">
        <v>3088</v>
      </c>
      <c r="C1076" s="22" t="s">
        <v>19</v>
      </c>
      <c r="D1076" s="22" t="s">
        <v>32</v>
      </c>
      <c r="E1076" s="23">
        <v>9999</v>
      </c>
      <c r="F1076" s="23">
        <v>181.45</v>
      </c>
      <c r="G1076" s="23">
        <v>362.9</v>
      </c>
      <c r="H1076" s="22" t="s">
        <v>2021</v>
      </c>
      <c r="I1076" s="22" t="s">
        <v>2340</v>
      </c>
    </row>
    <row r="1077" spans="1:9" x14ac:dyDescent="0.35">
      <c r="A1077" s="22" t="s">
        <v>2022</v>
      </c>
      <c r="B1077" s="22" t="s">
        <v>3089</v>
      </c>
      <c r="C1077" s="22" t="s">
        <v>2282</v>
      </c>
      <c r="D1077" s="22" t="s">
        <v>24</v>
      </c>
      <c r="E1077" s="23">
        <v>8</v>
      </c>
      <c r="F1077" s="23">
        <v>280.14999999999998</v>
      </c>
      <c r="G1077" s="23">
        <v>2241.1999999999998</v>
      </c>
      <c r="H1077" s="22" t="s">
        <v>2023</v>
      </c>
      <c r="I1077" s="22" t="s">
        <v>2378</v>
      </c>
    </row>
    <row r="1078" spans="1:9" x14ac:dyDescent="0.35">
      <c r="A1078" s="22" t="s">
        <v>2024</v>
      </c>
      <c r="B1078" s="22" t="s">
        <v>3090</v>
      </c>
      <c r="C1078" s="22" t="s">
        <v>11</v>
      </c>
      <c r="D1078" s="22" t="s">
        <v>32</v>
      </c>
      <c r="E1078" s="23">
        <v>4</v>
      </c>
      <c r="F1078" s="23">
        <v>186.18</v>
      </c>
      <c r="G1078" s="23">
        <v>744.72</v>
      </c>
      <c r="H1078" s="22" t="s">
        <v>2025</v>
      </c>
      <c r="I1078" s="22" t="s">
        <v>2298</v>
      </c>
    </row>
    <row r="1079" spans="1:9" x14ac:dyDescent="0.35">
      <c r="A1079" s="22" t="s">
        <v>2026</v>
      </c>
      <c r="B1079" s="22" t="s">
        <v>2979</v>
      </c>
      <c r="C1079" s="22" t="s">
        <v>2349</v>
      </c>
      <c r="D1079" s="22" t="s">
        <v>46</v>
      </c>
      <c r="E1079" s="23">
        <v>2</v>
      </c>
      <c r="F1079" s="23">
        <v>71.64</v>
      </c>
      <c r="G1079" s="23">
        <v>143.28</v>
      </c>
      <c r="H1079" s="22" t="s">
        <v>49</v>
      </c>
      <c r="I1079" s="22" t="s">
        <v>2340</v>
      </c>
    </row>
    <row r="1080" spans="1:9" x14ac:dyDescent="0.35">
      <c r="A1080" s="22" t="s">
        <v>2027</v>
      </c>
      <c r="B1080" s="22" t="s">
        <v>3091</v>
      </c>
      <c r="C1080" s="22" t="s">
        <v>2349</v>
      </c>
      <c r="D1080" s="22" t="s">
        <v>12</v>
      </c>
      <c r="E1080" s="23">
        <v>5</v>
      </c>
      <c r="F1080" s="23">
        <v>298.77</v>
      </c>
      <c r="G1080" s="23">
        <v>1493.85</v>
      </c>
      <c r="H1080" s="22" t="s">
        <v>2028</v>
      </c>
      <c r="I1080" s="22"/>
    </row>
    <row r="1081" spans="1:9" x14ac:dyDescent="0.35">
      <c r="A1081" s="22" t="s">
        <v>2029</v>
      </c>
      <c r="B1081" s="22" t="s">
        <v>2708</v>
      </c>
      <c r="C1081" s="22" t="s">
        <v>2349</v>
      </c>
      <c r="D1081" s="22" t="s">
        <v>46</v>
      </c>
      <c r="E1081" s="23">
        <v>5</v>
      </c>
      <c r="F1081" s="23">
        <v>267.32</v>
      </c>
      <c r="G1081" s="23">
        <v>1756.82</v>
      </c>
      <c r="H1081" s="22" t="s">
        <v>2030</v>
      </c>
      <c r="I1081" s="22" t="s">
        <v>2356</v>
      </c>
    </row>
    <row r="1082" spans="1:9" x14ac:dyDescent="0.35">
      <c r="A1082" s="22" t="s">
        <v>2031</v>
      </c>
      <c r="B1082" s="22" t="s">
        <v>2753</v>
      </c>
      <c r="C1082" s="22" t="s">
        <v>23</v>
      </c>
      <c r="D1082" s="22" t="s">
        <v>46</v>
      </c>
      <c r="E1082" s="23">
        <v>4</v>
      </c>
      <c r="F1082" s="23">
        <v>109.47</v>
      </c>
      <c r="G1082" s="23">
        <v>437.88</v>
      </c>
      <c r="H1082" s="22" t="s">
        <v>2032</v>
      </c>
      <c r="I1082" s="22" t="s">
        <v>2298</v>
      </c>
    </row>
    <row r="1083" spans="1:9" x14ac:dyDescent="0.35">
      <c r="A1083" s="22" t="s">
        <v>2033</v>
      </c>
      <c r="B1083" s="22" t="s">
        <v>2396</v>
      </c>
      <c r="C1083" s="22"/>
      <c r="D1083" s="22" t="s">
        <v>32</v>
      </c>
      <c r="E1083" s="23">
        <v>6</v>
      </c>
      <c r="F1083" s="23" t="s">
        <v>332</v>
      </c>
      <c r="G1083" s="23">
        <v>1388.52</v>
      </c>
      <c r="H1083" s="22" t="s">
        <v>2034</v>
      </c>
      <c r="I1083" s="22" t="s">
        <v>2344</v>
      </c>
    </row>
    <row r="1084" spans="1:9" x14ac:dyDescent="0.35">
      <c r="A1084" s="22" t="s">
        <v>2035</v>
      </c>
      <c r="B1084" s="22" t="s">
        <v>3092</v>
      </c>
      <c r="C1084" s="22" t="s">
        <v>2342</v>
      </c>
      <c r="D1084" s="22" t="s">
        <v>32</v>
      </c>
      <c r="E1084" s="23">
        <v>8</v>
      </c>
      <c r="F1084" s="23">
        <v>400.5</v>
      </c>
      <c r="G1084" s="23">
        <v>3204</v>
      </c>
      <c r="H1084" s="22" t="s">
        <v>2036</v>
      </c>
      <c r="I1084" s="22"/>
    </row>
    <row r="1085" spans="1:9" x14ac:dyDescent="0.35">
      <c r="A1085" s="22" t="s">
        <v>2037</v>
      </c>
      <c r="B1085" s="22" t="s">
        <v>2492</v>
      </c>
      <c r="C1085" s="22" t="s">
        <v>11</v>
      </c>
      <c r="D1085" s="22" t="s">
        <v>12</v>
      </c>
      <c r="E1085" s="23">
        <v>4</v>
      </c>
      <c r="F1085" s="23">
        <v>299.31</v>
      </c>
      <c r="G1085" s="23">
        <v>1197.24</v>
      </c>
      <c r="H1085" s="22" t="s">
        <v>2038</v>
      </c>
      <c r="I1085" s="22" t="s">
        <v>14</v>
      </c>
    </row>
    <row r="1086" spans="1:9" x14ac:dyDescent="0.35">
      <c r="A1086" s="22" t="s">
        <v>2039</v>
      </c>
      <c r="B1086" s="22" t="s">
        <v>2806</v>
      </c>
      <c r="C1086" s="22" t="s">
        <v>2346</v>
      </c>
      <c r="D1086" s="22" t="s">
        <v>2364</v>
      </c>
      <c r="E1086" s="23">
        <v>3</v>
      </c>
      <c r="F1086" s="23">
        <v>-40.08</v>
      </c>
      <c r="G1086" s="23">
        <v>172.47</v>
      </c>
      <c r="H1086" s="22" t="s">
        <v>2040</v>
      </c>
      <c r="I1086" s="22" t="s">
        <v>2356</v>
      </c>
    </row>
    <row r="1087" spans="1:9" x14ac:dyDescent="0.35">
      <c r="A1087" s="22" t="s">
        <v>2041</v>
      </c>
      <c r="B1087" s="22" t="s">
        <v>3093</v>
      </c>
      <c r="C1087" s="22" t="s">
        <v>23</v>
      </c>
      <c r="D1087" s="22" t="s">
        <v>2347</v>
      </c>
      <c r="E1087" s="23">
        <v>6</v>
      </c>
      <c r="F1087" s="23">
        <v>278.52999999999997</v>
      </c>
      <c r="G1087" s="23">
        <v>1671.18</v>
      </c>
      <c r="H1087" s="22" t="s">
        <v>2042</v>
      </c>
      <c r="I1087" s="22" t="s">
        <v>2356</v>
      </c>
    </row>
    <row r="1088" spans="1:9" x14ac:dyDescent="0.35">
      <c r="A1088" s="22" t="s">
        <v>2043</v>
      </c>
      <c r="B1088" s="22" t="s">
        <v>3094</v>
      </c>
      <c r="C1088" s="22" t="s">
        <v>2342</v>
      </c>
      <c r="D1088" s="22" t="s">
        <v>32</v>
      </c>
      <c r="E1088" s="23">
        <v>4</v>
      </c>
      <c r="F1088" s="23">
        <v>354.34</v>
      </c>
      <c r="G1088" s="23">
        <v>1417.36</v>
      </c>
      <c r="H1088" s="22" t="s">
        <v>2044</v>
      </c>
      <c r="I1088" s="22" t="s">
        <v>2340</v>
      </c>
    </row>
    <row r="1089" spans="1:9" x14ac:dyDescent="0.35">
      <c r="A1089" s="22" t="s">
        <v>2045</v>
      </c>
      <c r="B1089" s="22" t="s">
        <v>2397</v>
      </c>
      <c r="C1089" s="22" t="s">
        <v>2358</v>
      </c>
      <c r="D1089" s="22" t="s">
        <v>2350</v>
      </c>
      <c r="E1089" s="23">
        <v>2</v>
      </c>
      <c r="F1089" s="23">
        <v>398.42</v>
      </c>
      <c r="G1089" s="23">
        <v>796.84</v>
      </c>
      <c r="H1089" s="22" t="s">
        <v>2046</v>
      </c>
      <c r="I1089" s="22" t="s">
        <v>2340</v>
      </c>
    </row>
    <row r="1090" spans="1:9" x14ac:dyDescent="0.35">
      <c r="A1090" s="22" t="s">
        <v>2047</v>
      </c>
      <c r="B1090" s="22" t="s">
        <v>2527</v>
      </c>
      <c r="C1090" s="22" t="s">
        <v>2358</v>
      </c>
      <c r="D1090" s="22" t="s">
        <v>2350</v>
      </c>
      <c r="E1090" s="23">
        <v>3</v>
      </c>
      <c r="F1090" s="23">
        <v>318.27</v>
      </c>
      <c r="G1090" s="23">
        <v>1394.71</v>
      </c>
      <c r="H1090" s="22" t="s">
        <v>2048</v>
      </c>
      <c r="I1090" s="22" t="s">
        <v>2298</v>
      </c>
    </row>
    <row r="1091" spans="1:9" x14ac:dyDescent="0.35">
      <c r="A1091" s="22" t="s">
        <v>2049</v>
      </c>
      <c r="B1091" s="22" t="s">
        <v>3095</v>
      </c>
      <c r="C1091" s="22" t="s">
        <v>2358</v>
      </c>
      <c r="D1091" s="22" t="s">
        <v>32</v>
      </c>
      <c r="E1091" s="23">
        <v>1</v>
      </c>
      <c r="F1091" s="23">
        <v>84.8</v>
      </c>
      <c r="G1091" s="23">
        <v>84.8</v>
      </c>
      <c r="H1091" s="22" t="s">
        <v>2050</v>
      </c>
      <c r="I1091" s="22" t="s">
        <v>14</v>
      </c>
    </row>
    <row r="1092" spans="1:9" x14ac:dyDescent="0.35">
      <c r="A1092" s="22" t="s">
        <v>2051</v>
      </c>
      <c r="B1092" s="22" t="s">
        <v>3000</v>
      </c>
      <c r="C1092" s="22" t="s">
        <v>11</v>
      </c>
      <c r="D1092" s="22" t="s">
        <v>2347</v>
      </c>
      <c r="E1092" s="23"/>
      <c r="F1092" s="23">
        <v>357.98</v>
      </c>
      <c r="G1092" s="23">
        <v>3221.82</v>
      </c>
      <c r="H1092" s="22" t="s">
        <v>2052</v>
      </c>
      <c r="I1092" s="22" t="s">
        <v>2378</v>
      </c>
    </row>
    <row r="1093" spans="1:9" x14ac:dyDescent="0.35">
      <c r="A1093" s="22" t="s">
        <v>2053</v>
      </c>
      <c r="B1093" s="22" t="s">
        <v>2649</v>
      </c>
      <c r="C1093" s="22"/>
      <c r="D1093" s="22" t="s">
        <v>24</v>
      </c>
      <c r="E1093" s="23">
        <v>5</v>
      </c>
      <c r="F1093" s="23">
        <v>341.9</v>
      </c>
      <c r="G1093" s="23">
        <v>1709.5</v>
      </c>
      <c r="H1093" s="22" t="s">
        <v>2054</v>
      </c>
      <c r="I1093" s="22" t="s">
        <v>2344</v>
      </c>
    </row>
    <row r="1094" spans="1:9" x14ac:dyDescent="0.35">
      <c r="A1094" s="22" t="s">
        <v>2055</v>
      </c>
      <c r="B1094" s="22" t="s">
        <v>2397</v>
      </c>
      <c r="C1094" s="22" t="s">
        <v>2349</v>
      </c>
      <c r="D1094" s="22" t="s">
        <v>2347</v>
      </c>
      <c r="E1094" s="23">
        <v>3</v>
      </c>
      <c r="F1094" s="23">
        <v>21.97</v>
      </c>
      <c r="G1094" s="23">
        <v>65.91</v>
      </c>
      <c r="H1094" s="22" t="s">
        <v>2056</v>
      </c>
      <c r="I1094" s="22" t="s">
        <v>2340</v>
      </c>
    </row>
    <row r="1095" spans="1:9" x14ac:dyDescent="0.35">
      <c r="A1095" s="22" t="s">
        <v>2057</v>
      </c>
      <c r="B1095" s="22" t="s">
        <v>2500</v>
      </c>
      <c r="C1095" s="22" t="s">
        <v>2346</v>
      </c>
      <c r="D1095" s="22" t="s">
        <v>46</v>
      </c>
      <c r="E1095" s="23">
        <v>4</v>
      </c>
      <c r="F1095" s="23">
        <v>211.76</v>
      </c>
      <c r="G1095" s="23">
        <v>847.04</v>
      </c>
      <c r="H1095" s="22" t="s">
        <v>2058</v>
      </c>
      <c r="I1095" s="22" t="s">
        <v>2340</v>
      </c>
    </row>
    <row r="1096" spans="1:9" x14ac:dyDescent="0.35">
      <c r="A1096" s="22" t="s">
        <v>2059</v>
      </c>
      <c r="B1096" s="22" t="s">
        <v>3096</v>
      </c>
      <c r="C1096" s="22" t="s">
        <v>16</v>
      </c>
      <c r="D1096" s="22" t="s">
        <v>12</v>
      </c>
      <c r="E1096" s="23">
        <v>3</v>
      </c>
      <c r="F1096" s="23">
        <v>173.15</v>
      </c>
      <c r="G1096" s="23">
        <v>519.45000000000005</v>
      </c>
      <c r="H1096" s="22"/>
      <c r="I1096" s="22" t="s">
        <v>2298</v>
      </c>
    </row>
    <row r="1097" spans="1:9" x14ac:dyDescent="0.35">
      <c r="A1097" s="22" t="s">
        <v>2060</v>
      </c>
      <c r="B1097" s="22" t="s">
        <v>3097</v>
      </c>
      <c r="C1097" s="22" t="s">
        <v>11</v>
      </c>
      <c r="D1097" s="22" t="s">
        <v>12</v>
      </c>
      <c r="E1097" s="23"/>
      <c r="F1097" s="23">
        <v>-149.25</v>
      </c>
      <c r="G1097" s="23">
        <v>1352.04</v>
      </c>
      <c r="H1097" s="22" t="s">
        <v>2061</v>
      </c>
      <c r="I1097" s="22" t="s">
        <v>2378</v>
      </c>
    </row>
    <row r="1098" spans="1:9" x14ac:dyDescent="0.35">
      <c r="A1098" s="22" t="s">
        <v>2062</v>
      </c>
      <c r="B1098" s="22" t="s">
        <v>3098</v>
      </c>
      <c r="C1098" s="22" t="s">
        <v>16</v>
      </c>
      <c r="D1098" s="22" t="s">
        <v>32</v>
      </c>
      <c r="E1098" s="23">
        <v>6</v>
      </c>
      <c r="F1098" s="23">
        <v>115.91</v>
      </c>
      <c r="G1098" s="23">
        <v>695.46</v>
      </c>
      <c r="H1098" s="22" t="s">
        <v>2063</v>
      </c>
      <c r="I1098" s="22" t="s">
        <v>50</v>
      </c>
    </row>
    <row r="1099" spans="1:9" x14ac:dyDescent="0.35">
      <c r="A1099" s="22" t="s">
        <v>2064</v>
      </c>
      <c r="B1099" s="22" t="s">
        <v>2458</v>
      </c>
      <c r="C1099" s="22" t="s">
        <v>2349</v>
      </c>
      <c r="D1099" s="22" t="s">
        <v>2350</v>
      </c>
      <c r="E1099" s="23">
        <v>4</v>
      </c>
      <c r="F1099" s="23">
        <v>299.52999999999997</v>
      </c>
      <c r="G1099" s="23">
        <v>1198.1199999999999</v>
      </c>
      <c r="H1099" s="22" t="s">
        <v>2065</v>
      </c>
      <c r="I1099" s="22" t="s">
        <v>2356</v>
      </c>
    </row>
    <row r="1100" spans="1:9" x14ac:dyDescent="0.35">
      <c r="A1100" s="22" t="s">
        <v>2066</v>
      </c>
      <c r="B1100" s="22" t="s">
        <v>2371</v>
      </c>
      <c r="C1100" s="22"/>
      <c r="D1100" s="22" t="s">
        <v>32</v>
      </c>
      <c r="E1100" s="23">
        <v>2</v>
      </c>
      <c r="F1100" s="23">
        <v>457.47</v>
      </c>
      <c r="G1100" s="23">
        <v>914.94</v>
      </c>
      <c r="H1100" s="22" t="s">
        <v>2067</v>
      </c>
      <c r="I1100" s="22" t="s">
        <v>2344</v>
      </c>
    </row>
    <row r="1101" spans="1:9" x14ac:dyDescent="0.35">
      <c r="A1101" s="22" t="s">
        <v>2068</v>
      </c>
      <c r="B1101" s="22" t="s">
        <v>2835</v>
      </c>
      <c r="C1101" s="22"/>
      <c r="D1101" s="22" t="s">
        <v>46</v>
      </c>
      <c r="E1101" s="23">
        <v>6</v>
      </c>
      <c r="F1101" s="23">
        <v>400.92</v>
      </c>
      <c r="G1101" s="23">
        <v>2405.52</v>
      </c>
      <c r="H1101" s="22" t="s">
        <v>2069</v>
      </c>
      <c r="I1101" s="22" t="s">
        <v>2356</v>
      </c>
    </row>
    <row r="1102" spans="1:9" x14ac:dyDescent="0.35">
      <c r="A1102" s="22" t="s">
        <v>2070</v>
      </c>
      <c r="B1102" s="22" t="s">
        <v>3099</v>
      </c>
      <c r="C1102" s="22" t="s">
        <v>2349</v>
      </c>
      <c r="D1102" s="22" t="s">
        <v>2350</v>
      </c>
      <c r="E1102" s="23">
        <v>3</v>
      </c>
      <c r="F1102" s="23">
        <v>461.51</v>
      </c>
      <c r="G1102" s="23">
        <v>1384.53</v>
      </c>
      <c r="H1102" s="22" t="s">
        <v>2071</v>
      </c>
      <c r="I1102" s="22" t="s">
        <v>14</v>
      </c>
    </row>
    <row r="1103" spans="1:9" x14ac:dyDescent="0.35">
      <c r="A1103" s="22" t="s">
        <v>2072</v>
      </c>
      <c r="B1103" s="22" t="s">
        <v>2371</v>
      </c>
      <c r="C1103" s="22" t="s">
        <v>2349</v>
      </c>
      <c r="D1103" s="22" t="s">
        <v>2347</v>
      </c>
      <c r="E1103" s="23">
        <v>6</v>
      </c>
      <c r="F1103" s="23" t="s">
        <v>332</v>
      </c>
      <c r="G1103" s="23">
        <v>2936.82</v>
      </c>
      <c r="H1103" s="22"/>
      <c r="I1103" s="22"/>
    </row>
    <row r="1104" spans="1:9" x14ac:dyDescent="0.35">
      <c r="A1104" s="22" t="s">
        <v>2073</v>
      </c>
      <c r="B1104" s="22" t="s">
        <v>3100</v>
      </c>
      <c r="C1104" s="22" t="s">
        <v>19</v>
      </c>
      <c r="D1104" s="22" t="s">
        <v>32</v>
      </c>
      <c r="E1104" s="23">
        <v>2</v>
      </c>
      <c r="F1104" s="23">
        <v>15.23</v>
      </c>
      <c r="G1104" s="23">
        <v>30.46</v>
      </c>
      <c r="H1104" s="22" t="s">
        <v>2074</v>
      </c>
      <c r="I1104" s="22" t="s">
        <v>2298</v>
      </c>
    </row>
    <row r="1105" spans="1:9" x14ac:dyDescent="0.35">
      <c r="A1105" s="22" t="s">
        <v>2075</v>
      </c>
      <c r="B1105" s="22" t="s">
        <v>3101</v>
      </c>
      <c r="C1105" s="22" t="s">
        <v>16</v>
      </c>
      <c r="D1105" s="22" t="s">
        <v>12</v>
      </c>
      <c r="E1105" s="23">
        <v>9999</v>
      </c>
      <c r="F1105" s="23">
        <v>315.14</v>
      </c>
      <c r="G1105" s="23">
        <v>2521.12</v>
      </c>
      <c r="H1105" s="22" t="s">
        <v>84</v>
      </c>
      <c r="I1105" s="22" t="s">
        <v>2298</v>
      </c>
    </row>
    <row r="1106" spans="1:9" x14ac:dyDescent="0.35">
      <c r="A1106" s="22" t="s">
        <v>2076</v>
      </c>
      <c r="B1106" s="22" t="s">
        <v>2671</v>
      </c>
      <c r="C1106" s="22"/>
      <c r="D1106" s="22" t="s">
        <v>2364</v>
      </c>
      <c r="E1106" s="23">
        <v>3</v>
      </c>
      <c r="F1106" s="23">
        <v>212.29</v>
      </c>
      <c r="G1106" s="23">
        <v>636.87</v>
      </c>
      <c r="H1106" s="22" t="s">
        <v>2077</v>
      </c>
      <c r="I1106" s="22" t="s">
        <v>50</v>
      </c>
    </row>
    <row r="1107" spans="1:9" x14ac:dyDescent="0.35">
      <c r="A1107" s="22" t="s">
        <v>2078</v>
      </c>
      <c r="B1107" s="22" t="s">
        <v>3102</v>
      </c>
      <c r="C1107" s="22" t="s">
        <v>2349</v>
      </c>
      <c r="D1107" s="22" t="s">
        <v>24</v>
      </c>
      <c r="E1107" s="23">
        <v>6</v>
      </c>
      <c r="F1107" s="23">
        <v>431.33</v>
      </c>
      <c r="G1107" s="23">
        <v>2661.42</v>
      </c>
      <c r="H1107" s="22" t="s">
        <v>2079</v>
      </c>
      <c r="I1107" s="22" t="s">
        <v>14</v>
      </c>
    </row>
    <row r="1108" spans="1:9" x14ac:dyDescent="0.35">
      <c r="A1108" s="22" t="s">
        <v>2080</v>
      </c>
      <c r="B1108" s="22" t="s">
        <v>2371</v>
      </c>
      <c r="C1108" s="22" t="s">
        <v>16</v>
      </c>
      <c r="D1108" s="22" t="s">
        <v>2350</v>
      </c>
      <c r="E1108" s="23">
        <v>4</v>
      </c>
      <c r="F1108" s="23">
        <v>133.38999999999999</v>
      </c>
      <c r="G1108" s="23">
        <v>533.55999999999995</v>
      </c>
      <c r="H1108" s="22" t="s">
        <v>2081</v>
      </c>
      <c r="I1108" s="22" t="s">
        <v>14</v>
      </c>
    </row>
    <row r="1109" spans="1:9" x14ac:dyDescent="0.35">
      <c r="A1109" s="22" t="s">
        <v>2082</v>
      </c>
      <c r="B1109" s="22" t="s">
        <v>2978</v>
      </c>
      <c r="C1109" s="22" t="s">
        <v>2349</v>
      </c>
      <c r="D1109" s="22" t="s">
        <v>24</v>
      </c>
      <c r="E1109" s="23">
        <v>5</v>
      </c>
      <c r="F1109" s="23">
        <v>490.7</v>
      </c>
      <c r="G1109" s="23">
        <v>2453.5</v>
      </c>
      <c r="H1109" s="22" t="s">
        <v>2083</v>
      </c>
      <c r="I1109" s="22" t="s">
        <v>2344</v>
      </c>
    </row>
    <row r="1110" spans="1:9" x14ac:dyDescent="0.35">
      <c r="A1110" s="22" t="s">
        <v>2084</v>
      </c>
      <c r="B1110" s="22"/>
      <c r="C1110" s="22" t="s">
        <v>2282</v>
      </c>
      <c r="D1110" s="22" t="s">
        <v>2364</v>
      </c>
      <c r="E1110" s="23">
        <v>6</v>
      </c>
      <c r="F1110" s="23">
        <v>-192.37</v>
      </c>
      <c r="G1110" s="23">
        <v>1864.32</v>
      </c>
      <c r="H1110" s="22" t="s">
        <v>2085</v>
      </c>
      <c r="I1110" s="22" t="s">
        <v>50</v>
      </c>
    </row>
    <row r="1111" spans="1:9" x14ac:dyDescent="0.35">
      <c r="A1111" s="22" t="s">
        <v>2086</v>
      </c>
      <c r="B1111" s="22" t="s">
        <v>2910</v>
      </c>
      <c r="C1111" s="22" t="s">
        <v>2349</v>
      </c>
      <c r="D1111" s="22" t="s">
        <v>24</v>
      </c>
      <c r="E1111" s="23">
        <v>9999</v>
      </c>
      <c r="F1111" s="23">
        <v>398.83</v>
      </c>
      <c r="G1111" s="23"/>
      <c r="H1111" s="22" t="s">
        <v>2087</v>
      </c>
      <c r="I1111" s="22" t="s">
        <v>26</v>
      </c>
    </row>
    <row r="1112" spans="1:9" x14ac:dyDescent="0.35">
      <c r="A1112" s="22" t="s">
        <v>2088</v>
      </c>
      <c r="B1112" s="22" t="s">
        <v>3103</v>
      </c>
      <c r="C1112" s="22" t="s">
        <v>19</v>
      </c>
      <c r="D1112" s="22" t="s">
        <v>2347</v>
      </c>
      <c r="E1112" s="23">
        <v>5</v>
      </c>
      <c r="F1112" s="23">
        <v>51.94</v>
      </c>
      <c r="G1112" s="23">
        <v>259.7</v>
      </c>
      <c r="H1112" s="22" t="s">
        <v>2089</v>
      </c>
      <c r="I1112" s="22" t="s">
        <v>2344</v>
      </c>
    </row>
    <row r="1113" spans="1:9" x14ac:dyDescent="0.35">
      <c r="A1113" s="22" t="s">
        <v>2090</v>
      </c>
      <c r="B1113" s="22" t="s">
        <v>3104</v>
      </c>
      <c r="C1113" s="22" t="s">
        <v>2346</v>
      </c>
      <c r="D1113" s="22" t="s">
        <v>2343</v>
      </c>
      <c r="E1113" s="23">
        <v>7</v>
      </c>
      <c r="F1113" s="23">
        <v>99.89</v>
      </c>
      <c r="G1113" s="23">
        <v>699.23</v>
      </c>
      <c r="H1113" s="22" t="s">
        <v>2091</v>
      </c>
      <c r="I1113" s="22" t="s">
        <v>50</v>
      </c>
    </row>
    <row r="1114" spans="1:9" x14ac:dyDescent="0.35">
      <c r="A1114" s="22" t="s">
        <v>2092</v>
      </c>
      <c r="B1114" s="22" t="s">
        <v>3105</v>
      </c>
      <c r="C1114" s="22"/>
      <c r="D1114" s="22" t="s">
        <v>24</v>
      </c>
      <c r="E1114" s="23">
        <v>6</v>
      </c>
      <c r="F1114" s="23">
        <v>381.62</v>
      </c>
      <c r="G1114" s="23">
        <v>2289.7199999999998</v>
      </c>
      <c r="H1114" s="22" t="s">
        <v>2093</v>
      </c>
      <c r="I1114" s="22" t="s">
        <v>2356</v>
      </c>
    </row>
    <row r="1115" spans="1:9" x14ac:dyDescent="0.35">
      <c r="A1115" s="22" t="s">
        <v>2094</v>
      </c>
      <c r="B1115" s="22"/>
      <c r="C1115" s="22"/>
      <c r="D1115" s="22" t="s">
        <v>2347</v>
      </c>
      <c r="E1115" s="23">
        <v>6</v>
      </c>
      <c r="F1115" s="23">
        <v>20.77</v>
      </c>
      <c r="G1115" s="23">
        <v>245.64</v>
      </c>
      <c r="H1115" s="22" t="s">
        <v>2095</v>
      </c>
      <c r="I1115" s="22" t="s">
        <v>2298</v>
      </c>
    </row>
    <row r="1116" spans="1:9" x14ac:dyDescent="0.35">
      <c r="A1116" s="22" t="s">
        <v>2096</v>
      </c>
      <c r="B1116" s="22" t="s">
        <v>2397</v>
      </c>
      <c r="C1116" s="22" t="s">
        <v>16</v>
      </c>
      <c r="D1116" s="22" t="s">
        <v>2343</v>
      </c>
      <c r="E1116" s="23">
        <v>7</v>
      </c>
      <c r="F1116" s="23">
        <v>410.27</v>
      </c>
      <c r="G1116" s="23">
        <v>2871.89</v>
      </c>
      <c r="H1116" s="22" t="s">
        <v>2097</v>
      </c>
      <c r="I1116" s="22" t="s">
        <v>14</v>
      </c>
    </row>
    <row r="1117" spans="1:9" x14ac:dyDescent="0.35">
      <c r="A1117" s="22" t="s">
        <v>2098</v>
      </c>
      <c r="B1117" s="22" t="s">
        <v>3106</v>
      </c>
      <c r="C1117" s="22" t="s">
        <v>2282</v>
      </c>
      <c r="D1117" s="22" t="s">
        <v>2343</v>
      </c>
      <c r="E1117" s="23">
        <v>4</v>
      </c>
      <c r="F1117" s="23">
        <v>16.84</v>
      </c>
      <c r="G1117" s="23">
        <v>67.36</v>
      </c>
      <c r="H1117" s="22" t="s">
        <v>2099</v>
      </c>
      <c r="I1117" s="22" t="s">
        <v>2378</v>
      </c>
    </row>
    <row r="1118" spans="1:9" x14ac:dyDescent="0.35">
      <c r="A1118" s="22" t="s">
        <v>2100</v>
      </c>
      <c r="B1118" s="22" t="s">
        <v>2371</v>
      </c>
      <c r="C1118" s="22" t="s">
        <v>2342</v>
      </c>
      <c r="D1118" s="22" t="s">
        <v>2350</v>
      </c>
      <c r="E1118" s="23">
        <v>3</v>
      </c>
      <c r="F1118" s="23">
        <v>331.99</v>
      </c>
      <c r="G1118" s="23">
        <v>995.97</v>
      </c>
      <c r="H1118" s="22" t="s">
        <v>2101</v>
      </c>
      <c r="I1118" s="22" t="s">
        <v>2378</v>
      </c>
    </row>
    <row r="1119" spans="1:9" x14ac:dyDescent="0.35">
      <c r="A1119" s="22" t="s">
        <v>2102</v>
      </c>
      <c r="B1119" s="22" t="s">
        <v>2969</v>
      </c>
      <c r="C1119" s="22" t="s">
        <v>11</v>
      </c>
      <c r="D1119" s="22" t="s">
        <v>2364</v>
      </c>
      <c r="E1119" s="23">
        <v>8</v>
      </c>
      <c r="F1119" s="23">
        <v>188.9</v>
      </c>
      <c r="G1119" s="23">
        <v>1511.2</v>
      </c>
      <c r="H1119" s="22" t="s">
        <v>2103</v>
      </c>
      <c r="I1119" s="22" t="s">
        <v>2344</v>
      </c>
    </row>
    <row r="1120" spans="1:9" x14ac:dyDescent="0.35">
      <c r="A1120" s="22" t="s">
        <v>2104</v>
      </c>
      <c r="B1120" s="22"/>
      <c r="C1120" s="22" t="s">
        <v>2358</v>
      </c>
      <c r="D1120" s="22" t="s">
        <v>12</v>
      </c>
      <c r="E1120" s="23" t="s">
        <v>2351</v>
      </c>
      <c r="F1120" s="23">
        <v>309.63</v>
      </c>
      <c r="G1120" s="23"/>
      <c r="H1120" s="22" t="s">
        <v>2105</v>
      </c>
      <c r="I1120" s="22" t="s">
        <v>26</v>
      </c>
    </row>
    <row r="1121" spans="1:9" x14ac:dyDescent="0.35">
      <c r="A1121" s="22" t="s">
        <v>2106</v>
      </c>
      <c r="B1121" s="22" t="s">
        <v>2991</v>
      </c>
      <c r="C1121" s="22"/>
      <c r="D1121" s="22" t="s">
        <v>32</v>
      </c>
      <c r="E1121" s="23">
        <v>5</v>
      </c>
      <c r="F1121" s="23">
        <v>351.06</v>
      </c>
      <c r="G1121" s="23">
        <v>1755.3</v>
      </c>
      <c r="H1121" s="22" t="s">
        <v>2107</v>
      </c>
      <c r="I1121" s="22"/>
    </row>
    <row r="1122" spans="1:9" x14ac:dyDescent="0.35">
      <c r="A1122" s="22" t="s">
        <v>2108</v>
      </c>
      <c r="B1122" s="22" t="s">
        <v>3107</v>
      </c>
      <c r="C1122" s="22" t="s">
        <v>2358</v>
      </c>
      <c r="D1122" s="22" t="s">
        <v>12</v>
      </c>
      <c r="E1122" s="23">
        <v>5</v>
      </c>
      <c r="F1122" s="23">
        <v>177.81</v>
      </c>
      <c r="G1122" s="23">
        <v>889.05</v>
      </c>
      <c r="H1122" s="22" t="s">
        <v>2109</v>
      </c>
      <c r="I1122" s="22" t="s">
        <v>2340</v>
      </c>
    </row>
    <row r="1123" spans="1:9" x14ac:dyDescent="0.35">
      <c r="A1123" s="22" t="s">
        <v>2110</v>
      </c>
      <c r="B1123" s="22"/>
      <c r="C1123" s="22" t="s">
        <v>2358</v>
      </c>
      <c r="D1123" s="22" t="s">
        <v>46</v>
      </c>
      <c r="E1123" s="23">
        <v>3</v>
      </c>
      <c r="F1123" s="23">
        <v>62.9</v>
      </c>
      <c r="G1123" s="23">
        <v>188.7</v>
      </c>
      <c r="H1123" s="22" t="s">
        <v>2111</v>
      </c>
      <c r="I1123" s="22" t="s">
        <v>2298</v>
      </c>
    </row>
    <row r="1124" spans="1:9" x14ac:dyDescent="0.35">
      <c r="A1124" s="22" t="s">
        <v>2112</v>
      </c>
      <c r="B1124" s="22" t="s">
        <v>3108</v>
      </c>
      <c r="C1124" s="22" t="s">
        <v>2349</v>
      </c>
      <c r="D1124" s="22" t="s">
        <v>2347</v>
      </c>
      <c r="E1124" s="23">
        <v>9</v>
      </c>
      <c r="F1124" s="23">
        <v>44.13</v>
      </c>
      <c r="G1124" s="23">
        <v>397.17</v>
      </c>
      <c r="H1124" s="22" t="s">
        <v>2113</v>
      </c>
      <c r="I1124" s="22" t="s">
        <v>2344</v>
      </c>
    </row>
    <row r="1125" spans="1:9" x14ac:dyDescent="0.35">
      <c r="A1125" s="22" t="s">
        <v>2114</v>
      </c>
      <c r="B1125" s="22" t="s">
        <v>3109</v>
      </c>
      <c r="C1125" s="22" t="s">
        <v>11</v>
      </c>
      <c r="D1125" s="22" t="s">
        <v>2364</v>
      </c>
      <c r="E1125" s="23">
        <v>8</v>
      </c>
      <c r="F1125" s="23">
        <v>298.58</v>
      </c>
      <c r="G1125" s="23">
        <v>2388.64</v>
      </c>
      <c r="H1125" s="22" t="s">
        <v>2115</v>
      </c>
      <c r="I1125" s="22" t="s">
        <v>2298</v>
      </c>
    </row>
    <row r="1126" spans="1:9" x14ac:dyDescent="0.35">
      <c r="A1126" s="22" t="s">
        <v>2116</v>
      </c>
      <c r="B1126" s="22" t="s">
        <v>3110</v>
      </c>
      <c r="C1126" s="22" t="s">
        <v>2346</v>
      </c>
      <c r="D1126" s="22" t="s">
        <v>2350</v>
      </c>
      <c r="E1126" s="23">
        <v>6</v>
      </c>
      <c r="F1126" s="23">
        <v>265.12</v>
      </c>
      <c r="G1126" s="23">
        <v>1590.72</v>
      </c>
      <c r="H1126" s="22" t="s">
        <v>2117</v>
      </c>
      <c r="I1126" s="22" t="s">
        <v>50</v>
      </c>
    </row>
    <row r="1127" spans="1:9" x14ac:dyDescent="0.35">
      <c r="A1127" s="22" t="s">
        <v>2118</v>
      </c>
      <c r="B1127" s="22" t="s">
        <v>2887</v>
      </c>
      <c r="C1127" s="22"/>
      <c r="D1127" s="22" t="s">
        <v>2347</v>
      </c>
      <c r="E1127" s="23">
        <v>3</v>
      </c>
      <c r="F1127" s="23">
        <v>373.68</v>
      </c>
      <c r="G1127" s="23"/>
      <c r="H1127" s="22" t="s">
        <v>2119</v>
      </c>
      <c r="I1127" s="22" t="s">
        <v>2356</v>
      </c>
    </row>
    <row r="1128" spans="1:9" x14ac:dyDescent="0.35">
      <c r="A1128" s="22" t="s">
        <v>2120</v>
      </c>
      <c r="B1128" s="22" t="s">
        <v>2365</v>
      </c>
      <c r="C1128" s="22" t="s">
        <v>2349</v>
      </c>
      <c r="D1128" s="22" t="s">
        <v>2364</v>
      </c>
      <c r="E1128" s="23">
        <v>5</v>
      </c>
      <c r="F1128" s="23">
        <v>259.77</v>
      </c>
      <c r="G1128" s="23">
        <v>1298.8499999999999</v>
      </c>
      <c r="H1128" s="22" t="s">
        <v>2121</v>
      </c>
      <c r="I1128" s="22" t="s">
        <v>14</v>
      </c>
    </row>
    <row r="1129" spans="1:9" x14ac:dyDescent="0.35">
      <c r="A1129" s="22" t="s">
        <v>2122</v>
      </c>
      <c r="B1129" s="22" t="s">
        <v>3111</v>
      </c>
      <c r="C1129" s="22"/>
      <c r="D1129" s="22" t="s">
        <v>2347</v>
      </c>
      <c r="E1129" s="23" t="s">
        <v>2351</v>
      </c>
      <c r="F1129" s="23">
        <v>217</v>
      </c>
      <c r="G1129" s="23">
        <v>1085</v>
      </c>
      <c r="H1129" s="22" t="s">
        <v>2123</v>
      </c>
      <c r="I1129" s="22" t="s">
        <v>2356</v>
      </c>
    </row>
    <row r="1130" spans="1:9" x14ac:dyDescent="0.35">
      <c r="A1130" s="22" t="s">
        <v>2124</v>
      </c>
      <c r="B1130" s="22" t="s">
        <v>2371</v>
      </c>
      <c r="C1130" s="22" t="s">
        <v>2349</v>
      </c>
      <c r="D1130" s="22" t="s">
        <v>2364</v>
      </c>
      <c r="E1130" s="23">
        <v>5</v>
      </c>
      <c r="F1130" s="23">
        <v>205.06</v>
      </c>
      <c r="G1130" s="23">
        <v>1025.3</v>
      </c>
      <c r="H1130" s="22" t="s">
        <v>2125</v>
      </c>
      <c r="I1130" s="22" t="s">
        <v>2340</v>
      </c>
    </row>
    <row r="1131" spans="1:9" x14ac:dyDescent="0.35">
      <c r="A1131" s="22" t="s">
        <v>2126</v>
      </c>
      <c r="B1131" s="22" t="s">
        <v>2503</v>
      </c>
      <c r="C1131" s="22"/>
      <c r="D1131" s="22" t="s">
        <v>32</v>
      </c>
      <c r="E1131" s="23"/>
      <c r="F1131" s="23">
        <v>22.96</v>
      </c>
      <c r="G1131" s="23">
        <v>68.88</v>
      </c>
      <c r="H1131" s="22" t="s">
        <v>2127</v>
      </c>
      <c r="I1131" s="22" t="s">
        <v>2298</v>
      </c>
    </row>
    <row r="1132" spans="1:9" x14ac:dyDescent="0.35">
      <c r="A1132" s="22" t="s">
        <v>2128</v>
      </c>
      <c r="B1132" s="22" t="s">
        <v>3112</v>
      </c>
      <c r="C1132" s="22" t="s">
        <v>19</v>
      </c>
      <c r="D1132" s="22" t="s">
        <v>2364</v>
      </c>
      <c r="E1132" s="23">
        <v>7</v>
      </c>
      <c r="F1132" s="23">
        <v>174.42</v>
      </c>
      <c r="G1132" s="23">
        <v>1220.94</v>
      </c>
      <c r="H1132" s="22" t="s">
        <v>2129</v>
      </c>
      <c r="I1132" s="22"/>
    </row>
    <row r="1133" spans="1:9" x14ac:dyDescent="0.35">
      <c r="A1133" s="22" t="s">
        <v>2130</v>
      </c>
      <c r="B1133" s="22" t="s">
        <v>2778</v>
      </c>
      <c r="C1133" s="22" t="s">
        <v>2282</v>
      </c>
      <c r="D1133" s="22" t="s">
        <v>2364</v>
      </c>
      <c r="E1133" s="23">
        <v>3</v>
      </c>
      <c r="F1133" s="23">
        <v>488.25</v>
      </c>
      <c r="G1133" s="23">
        <v>1464.75</v>
      </c>
      <c r="H1133" s="22" t="s">
        <v>2131</v>
      </c>
      <c r="I1133" s="22" t="s">
        <v>26</v>
      </c>
    </row>
    <row r="1134" spans="1:9" x14ac:dyDescent="0.35">
      <c r="A1134" s="22" t="s">
        <v>2132</v>
      </c>
      <c r="B1134" s="22" t="s">
        <v>3113</v>
      </c>
      <c r="C1134" s="22" t="s">
        <v>2349</v>
      </c>
      <c r="D1134" s="22" t="s">
        <v>46</v>
      </c>
      <c r="E1134" s="23">
        <v>0</v>
      </c>
      <c r="F1134" s="23">
        <v>438.04</v>
      </c>
      <c r="G1134" s="23">
        <v>0</v>
      </c>
      <c r="H1134" s="22" t="s">
        <v>2133</v>
      </c>
      <c r="I1134" s="22"/>
    </row>
    <row r="1135" spans="1:9" x14ac:dyDescent="0.35">
      <c r="A1135" s="22" t="s">
        <v>2134</v>
      </c>
      <c r="B1135" s="22" t="s">
        <v>3048</v>
      </c>
      <c r="C1135" s="22" t="s">
        <v>23</v>
      </c>
      <c r="D1135" s="22" t="s">
        <v>46</v>
      </c>
      <c r="E1135" s="23">
        <v>6</v>
      </c>
      <c r="F1135" s="23">
        <v>171.4</v>
      </c>
      <c r="G1135" s="23">
        <v>1028.4000000000001</v>
      </c>
      <c r="H1135" s="22" t="s">
        <v>49</v>
      </c>
      <c r="I1135" s="22" t="s">
        <v>2344</v>
      </c>
    </row>
    <row r="1136" spans="1:9" x14ac:dyDescent="0.35">
      <c r="A1136" s="22" t="s">
        <v>81</v>
      </c>
      <c r="B1136" s="22" t="s">
        <v>2908</v>
      </c>
      <c r="C1136" s="22" t="s">
        <v>2358</v>
      </c>
      <c r="D1136" s="22" t="s">
        <v>2350</v>
      </c>
      <c r="E1136" s="23">
        <v>6</v>
      </c>
      <c r="F1136" s="23">
        <v>298.02</v>
      </c>
      <c r="G1136" s="23">
        <v>1788.12</v>
      </c>
      <c r="H1136" s="22" t="s">
        <v>3114</v>
      </c>
      <c r="I1136" s="22" t="s">
        <v>2344</v>
      </c>
    </row>
    <row r="1137" spans="1:9" x14ac:dyDescent="0.35">
      <c r="A1137" s="22" t="s">
        <v>2135</v>
      </c>
      <c r="B1137" s="22" t="s">
        <v>3115</v>
      </c>
      <c r="C1137" s="22"/>
      <c r="D1137" s="22" t="s">
        <v>32</v>
      </c>
      <c r="E1137" s="23">
        <v>4</v>
      </c>
      <c r="F1137" s="23">
        <v>425.18</v>
      </c>
      <c r="G1137" s="23">
        <v>1700.72</v>
      </c>
      <c r="H1137" s="22" t="s">
        <v>2136</v>
      </c>
      <c r="I1137" s="22"/>
    </row>
    <row r="1138" spans="1:9" x14ac:dyDescent="0.35">
      <c r="A1138" s="22" t="s">
        <v>2137</v>
      </c>
      <c r="B1138" s="22" t="s">
        <v>3116</v>
      </c>
      <c r="C1138" s="22"/>
      <c r="D1138" s="22" t="s">
        <v>12</v>
      </c>
      <c r="E1138" s="23">
        <v>5</v>
      </c>
      <c r="F1138" s="23">
        <v>226.22</v>
      </c>
      <c r="G1138" s="23">
        <v>1131.0999999999999</v>
      </c>
      <c r="H1138" s="22" t="s">
        <v>2138</v>
      </c>
      <c r="I1138" s="22" t="s">
        <v>50</v>
      </c>
    </row>
    <row r="1139" spans="1:9" x14ac:dyDescent="0.35">
      <c r="A1139" s="22" t="s">
        <v>2139</v>
      </c>
      <c r="B1139" s="22" t="s">
        <v>2664</v>
      </c>
      <c r="C1139" s="22" t="s">
        <v>2342</v>
      </c>
      <c r="D1139" s="22" t="s">
        <v>2343</v>
      </c>
      <c r="E1139" s="23">
        <v>9</v>
      </c>
      <c r="F1139" s="23">
        <v>-158.55000000000001</v>
      </c>
      <c r="G1139" s="23">
        <v>169.2</v>
      </c>
      <c r="H1139" s="22" t="s">
        <v>2140</v>
      </c>
      <c r="I1139" s="22" t="s">
        <v>14</v>
      </c>
    </row>
    <row r="1140" spans="1:9" x14ac:dyDescent="0.35">
      <c r="A1140" s="22" t="s">
        <v>2141</v>
      </c>
      <c r="B1140" s="22" t="s">
        <v>3117</v>
      </c>
      <c r="C1140" s="22" t="s">
        <v>11</v>
      </c>
      <c r="D1140" s="22" t="s">
        <v>2350</v>
      </c>
      <c r="E1140" s="23">
        <v>5</v>
      </c>
      <c r="F1140" s="23">
        <v>46.51</v>
      </c>
      <c r="G1140" s="23">
        <v>232.55</v>
      </c>
      <c r="H1140" s="22" t="s">
        <v>2142</v>
      </c>
      <c r="I1140" s="22" t="s">
        <v>2340</v>
      </c>
    </row>
    <row r="1141" spans="1:9" x14ac:dyDescent="0.35">
      <c r="A1141" s="22" t="s">
        <v>2143</v>
      </c>
      <c r="B1141" s="22" t="s">
        <v>3118</v>
      </c>
      <c r="C1141" s="22" t="s">
        <v>2346</v>
      </c>
      <c r="D1141" s="22" t="s">
        <v>12</v>
      </c>
      <c r="E1141" s="23">
        <v>-8</v>
      </c>
      <c r="F1141" s="23"/>
      <c r="G1141" s="23">
        <v>1040.3599999999999</v>
      </c>
      <c r="H1141" s="22" t="s">
        <v>2144</v>
      </c>
      <c r="I1141" s="22" t="s">
        <v>2340</v>
      </c>
    </row>
    <row r="1142" spans="1:9" x14ac:dyDescent="0.35">
      <c r="A1142" s="22" t="s">
        <v>2145</v>
      </c>
      <c r="B1142" s="22" t="s">
        <v>2739</v>
      </c>
      <c r="C1142" s="22" t="s">
        <v>2346</v>
      </c>
      <c r="D1142" s="22" t="s">
        <v>12</v>
      </c>
      <c r="E1142" s="23">
        <v>3</v>
      </c>
      <c r="F1142" s="23">
        <v>485.03</v>
      </c>
      <c r="G1142" s="23">
        <v>1455.09</v>
      </c>
      <c r="H1142" s="22" t="s">
        <v>2146</v>
      </c>
      <c r="I1142" s="22" t="s">
        <v>2378</v>
      </c>
    </row>
    <row r="1143" spans="1:9" x14ac:dyDescent="0.35">
      <c r="A1143" s="22" t="s">
        <v>2147</v>
      </c>
      <c r="B1143" s="22" t="s">
        <v>2361</v>
      </c>
      <c r="C1143" s="22" t="s">
        <v>2349</v>
      </c>
      <c r="D1143" s="22" t="s">
        <v>2364</v>
      </c>
      <c r="E1143" s="23">
        <v>6</v>
      </c>
      <c r="F1143" s="23">
        <v>349.67</v>
      </c>
      <c r="G1143" s="23">
        <v>2098.02</v>
      </c>
      <c r="H1143" s="22" t="s">
        <v>2148</v>
      </c>
      <c r="I1143" s="22"/>
    </row>
    <row r="1144" spans="1:9" x14ac:dyDescent="0.35">
      <c r="A1144" s="22" t="s">
        <v>2149</v>
      </c>
      <c r="B1144" s="22" t="s">
        <v>3119</v>
      </c>
      <c r="C1144" s="22" t="s">
        <v>2342</v>
      </c>
      <c r="D1144" s="22" t="s">
        <v>2364</v>
      </c>
      <c r="E1144" s="23">
        <v>2</v>
      </c>
      <c r="F1144" s="23">
        <v>44.75</v>
      </c>
      <c r="G1144" s="23">
        <v>89.5</v>
      </c>
      <c r="H1144" s="22" t="s">
        <v>2150</v>
      </c>
      <c r="I1144" s="22"/>
    </row>
    <row r="1145" spans="1:9" x14ac:dyDescent="0.35">
      <c r="A1145" s="22" t="s">
        <v>2151</v>
      </c>
      <c r="B1145" s="22" t="s">
        <v>3120</v>
      </c>
      <c r="C1145" s="22" t="s">
        <v>16</v>
      </c>
      <c r="D1145" s="22" t="s">
        <v>24</v>
      </c>
      <c r="E1145" s="23">
        <v>6</v>
      </c>
      <c r="F1145" s="23"/>
      <c r="G1145" s="23">
        <v>616.74</v>
      </c>
      <c r="H1145" s="22" t="s">
        <v>2152</v>
      </c>
      <c r="I1145" s="22" t="s">
        <v>14</v>
      </c>
    </row>
    <row r="1146" spans="1:9" x14ac:dyDescent="0.35">
      <c r="A1146" s="22" t="s">
        <v>2153</v>
      </c>
      <c r="B1146" s="22" t="s">
        <v>2986</v>
      </c>
      <c r="C1146" s="22" t="s">
        <v>11</v>
      </c>
      <c r="D1146" s="22" t="s">
        <v>2347</v>
      </c>
      <c r="E1146" s="23">
        <v>6</v>
      </c>
      <c r="F1146" s="23">
        <v>387.95</v>
      </c>
      <c r="G1146" s="23">
        <v>2327.6999999999998</v>
      </c>
      <c r="H1146" s="22" t="s">
        <v>2154</v>
      </c>
      <c r="I1146" s="22" t="s">
        <v>2344</v>
      </c>
    </row>
    <row r="1147" spans="1:9" x14ac:dyDescent="0.35">
      <c r="A1147" s="22" t="s">
        <v>2155</v>
      </c>
      <c r="B1147" s="22" t="s">
        <v>3121</v>
      </c>
      <c r="C1147" s="22" t="s">
        <v>19</v>
      </c>
      <c r="D1147" s="22" t="s">
        <v>2364</v>
      </c>
      <c r="E1147" s="23">
        <v>6</v>
      </c>
      <c r="F1147" s="23">
        <v>422.31</v>
      </c>
      <c r="G1147" s="23">
        <v>2533.86</v>
      </c>
      <c r="H1147" s="22" t="s">
        <v>2156</v>
      </c>
      <c r="I1147" s="22" t="s">
        <v>50</v>
      </c>
    </row>
    <row r="1148" spans="1:9" x14ac:dyDescent="0.35">
      <c r="A1148" s="22" t="s">
        <v>2157</v>
      </c>
      <c r="B1148" s="22" t="s">
        <v>2953</v>
      </c>
      <c r="C1148" s="22" t="s">
        <v>19</v>
      </c>
      <c r="D1148" s="22" t="s">
        <v>2347</v>
      </c>
      <c r="E1148" s="23">
        <v>5</v>
      </c>
      <c r="F1148" s="23">
        <v>-146.77000000000001</v>
      </c>
      <c r="G1148" s="23">
        <v>1563.35</v>
      </c>
      <c r="H1148" s="22" t="s">
        <v>2158</v>
      </c>
      <c r="I1148" s="22" t="s">
        <v>50</v>
      </c>
    </row>
    <row r="1149" spans="1:9" x14ac:dyDescent="0.35">
      <c r="A1149" s="22" t="s">
        <v>2159</v>
      </c>
      <c r="B1149" s="22" t="s">
        <v>3122</v>
      </c>
      <c r="C1149" s="22" t="s">
        <v>2346</v>
      </c>
      <c r="D1149" s="22" t="s">
        <v>12</v>
      </c>
      <c r="E1149" s="23"/>
      <c r="F1149" s="23">
        <v>325.77</v>
      </c>
      <c r="G1149" s="23">
        <v>1192.8699999999999</v>
      </c>
      <c r="H1149" s="22" t="s">
        <v>2160</v>
      </c>
      <c r="I1149" s="22" t="s">
        <v>14</v>
      </c>
    </row>
    <row r="1150" spans="1:9" x14ac:dyDescent="0.35">
      <c r="A1150" s="22" t="s">
        <v>2161</v>
      </c>
      <c r="B1150" s="22" t="s">
        <v>2576</v>
      </c>
      <c r="C1150" s="22" t="s">
        <v>2349</v>
      </c>
      <c r="D1150" s="22" t="s">
        <v>2364</v>
      </c>
      <c r="E1150" s="23" t="s">
        <v>2351</v>
      </c>
      <c r="F1150" s="23">
        <v>23.89</v>
      </c>
      <c r="G1150" s="23">
        <v>95.56</v>
      </c>
      <c r="H1150" s="22" t="s">
        <v>2162</v>
      </c>
      <c r="I1150" s="22" t="s">
        <v>2344</v>
      </c>
    </row>
    <row r="1151" spans="1:9" x14ac:dyDescent="0.35">
      <c r="A1151" s="22" t="s">
        <v>2163</v>
      </c>
      <c r="B1151" s="22"/>
      <c r="C1151" s="22"/>
      <c r="D1151" s="22" t="s">
        <v>2364</v>
      </c>
      <c r="E1151" s="23">
        <v>4</v>
      </c>
      <c r="F1151" s="23">
        <v>415.98</v>
      </c>
      <c r="G1151" s="23">
        <v>1663.92</v>
      </c>
      <c r="H1151" s="22" t="s">
        <v>2164</v>
      </c>
      <c r="I1151" s="22" t="s">
        <v>2340</v>
      </c>
    </row>
    <row r="1152" spans="1:9" x14ac:dyDescent="0.35">
      <c r="A1152" s="22" t="s">
        <v>2165</v>
      </c>
      <c r="B1152" s="22"/>
      <c r="C1152" s="22" t="s">
        <v>2342</v>
      </c>
      <c r="D1152" s="22" t="s">
        <v>2350</v>
      </c>
      <c r="E1152" s="23">
        <v>5</v>
      </c>
      <c r="F1152" s="23">
        <v>396.25</v>
      </c>
      <c r="G1152" s="23">
        <v>1981.25</v>
      </c>
      <c r="H1152" s="22" t="s">
        <v>2166</v>
      </c>
      <c r="I1152" s="22" t="s">
        <v>2298</v>
      </c>
    </row>
    <row r="1153" spans="1:9" x14ac:dyDescent="0.35">
      <c r="A1153" s="22" t="s">
        <v>2167</v>
      </c>
      <c r="B1153" s="22" t="s">
        <v>3123</v>
      </c>
      <c r="C1153" s="22" t="s">
        <v>2349</v>
      </c>
      <c r="D1153" s="22" t="s">
        <v>32</v>
      </c>
      <c r="E1153" s="23">
        <v>4</v>
      </c>
      <c r="F1153" s="23">
        <v>136.93</v>
      </c>
      <c r="G1153" s="23">
        <v>547.72</v>
      </c>
      <c r="H1153" s="22" t="s">
        <v>2168</v>
      </c>
      <c r="I1153" s="22" t="s">
        <v>14</v>
      </c>
    </row>
    <row r="1154" spans="1:9" x14ac:dyDescent="0.35">
      <c r="A1154" s="22" t="s">
        <v>2169</v>
      </c>
      <c r="B1154" s="22"/>
      <c r="C1154" s="22" t="s">
        <v>2358</v>
      </c>
      <c r="D1154" s="22" t="s">
        <v>12</v>
      </c>
      <c r="E1154" s="23">
        <v>4</v>
      </c>
      <c r="F1154" s="23">
        <v>357.25</v>
      </c>
      <c r="G1154" s="23">
        <v>1429</v>
      </c>
      <c r="H1154" s="22" t="s">
        <v>2170</v>
      </c>
      <c r="I1154" s="22" t="s">
        <v>2378</v>
      </c>
    </row>
    <row r="1155" spans="1:9" x14ac:dyDescent="0.35">
      <c r="A1155" s="22" t="s">
        <v>2171</v>
      </c>
      <c r="B1155" s="22" t="s">
        <v>3124</v>
      </c>
      <c r="C1155" s="22"/>
      <c r="D1155" s="22" t="s">
        <v>2350</v>
      </c>
      <c r="E1155" s="23">
        <v>5</v>
      </c>
      <c r="F1155" s="23">
        <v>115.28</v>
      </c>
      <c r="G1155" s="23">
        <v>576.4</v>
      </c>
      <c r="H1155" s="22" t="s">
        <v>2172</v>
      </c>
      <c r="I1155" s="22" t="s">
        <v>14</v>
      </c>
    </row>
    <row r="1156" spans="1:9" x14ac:dyDescent="0.35">
      <c r="A1156" s="22" t="s">
        <v>2173</v>
      </c>
      <c r="B1156" s="22" t="s">
        <v>3125</v>
      </c>
      <c r="C1156" s="22"/>
      <c r="D1156" s="22" t="s">
        <v>2347</v>
      </c>
      <c r="E1156" s="23">
        <v>5</v>
      </c>
      <c r="F1156" s="23">
        <v>29.76</v>
      </c>
      <c r="G1156" s="23">
        <v>148.80000000000001</v>
      </c>
      <c r="H1156" s="22" t="s">
        <v>2174</v>
      </c>
      <c r="I1156" s="22" t="s">
        <v>14</v>
      </c>
    </row>
    <row r="1157" spans="1:9" x14ac:dyDescent="0.35">
      <c r="A1157" s="22" t="s">
        <v>2175</v>
      </c>
      <c r="B1157" s="22"/>
      <c r="C1157" s="22" t="s">
        <v>16</v>
      </c>
      <c r="D1157" s="22" t="s">
        <v>2343</v>
      </c>
      <c r="E1157" s="23">
        <v>5</v>
      </c>
      <c r="F1157" s="23">
        <v>108.56</v>
      </c>
      <c r="G1157" s="23">
        <v>542.79999999999995</v>
      </c>
      <c r="H1157" s="22" t="s">
        <v>49</v>
      </c>
      <c r="I1157" s="22" t="s">
        <v>2378</v>
      </c>
    </row>
    <row r="1158" spans="1:9" x14ac:dyDescent="0.35">
      <c r="A1158" s="22" t="s">
        <v>2176</v>
      </c>
      <c r="B1158" s="22" t="s">
        <v>3126</v>
      </c>
      <c r="C1158" s="22" t="s">
        <v>19</v>
      </c>
      <c r="D1158" s="22" t="s">
        <v>2347</v>
      </c>
      <c r="E1158" s="23">
        <v>7</v>
      </c>
      <c r="F1158" s="23"/>
      <c r="G1158" s="23">
        <v>682.71</v>
      </c>
      <c r="H1158" s="22" t="s">
        <v>2177</v>
      </c>
      <c r="I1158" s="22" t="s">
        <v>2340</v>
      </c>
    </row>
    <row r="1159" spans="1:9" x14ac:dyDescent="0.35">
      <c r="A1159" s="22" t="s">
        <v>2178</v>
      </c>
      <c r="B1159" s="22" t="s">
        <v>3127</v>
      </c>
      <c r="C1159" s="22" t="s">
        <v>19</v>
      </c>
      <c r="D1159" s="22" t="s">
        <v>12</v>
      </c>
      <c r="E1159" s="23">
        <v>3</v>
      </c>
      <c r="F1159" s="23">
        <v>175.5</v>
      </c>
      <c r="G1159" s="23">
        <v>526.5</v>
      </c>
      <c r="H1159" s="22" t="s">
        <v>2179</v>
      </c>
      <c r="I1159" s="22" t="s">
        <v>2298</v>
      </c>
    </row>
    <row r="1160" spans="1:9" x14ac:dyDescent="0.35">
      <c r="A1160" s="22" t="s">
        <v>2180</v>
      </c>
      <c r="B1160" s="22" t="s">
        <v>3128</v>
      </c>
      <c r="C1160" s="22" t="s">
        <v>2342</v>
      </c>
      <c r="D1160" s="22" t="s">
        <v>2347</v>
      </c>
      <c r="E1160" s="23">
        <v>2</v>
      </c>
      <c r="F1160" s="23">
        <v>215.04</v>
      </c>
      <c r="G1160" s="23">
        <v>430.08</v>
      </c>
      <c r="H1160" s="22" t="s">
        <v>2181</v>
      </c>
      <c r="I1160" s="22" t="s">
        <v>14</v>
      </c>
    </row>
    <row r="1161" spans="1:9" x14ac:dyDescent="0.35">
      <c r="A1161" s="22" t="s">
        <v>2182</v>
      </c>
      <c r="B1161" s="22" t="s">
        <v>3129</v>
      </c>
      <c r="C1161" s="22" t="s">
        <v>2342</v>
      </c>
      <c r="D1161" s="22" t="s">
        <v>32</v>
      </c>
      <c r="E1161" s="23">
        <v>4</v>
      </c>
      <c r="F1161" s="23">
        <v>259.18</v>
      </c>
      <c r="G1161" s="23">
        <v>1036.72</v>
      </c>
      <c r="H1161" s="22" t="s">
        <v>2183</v>
      </c>
      <c r="I1161" s="22"/>
    </row>
    <row r="1162" spans="1:9" x14ac:dyDescent="0.35">
      <c r="A1162" s="22" t="s">
        <v>2184</v>
      </c>
      <c r="B1162" s="22" t="s">
        <v>2379</v>
      </c>
      <c r="C1162" s="22" t="s">
        <v>2358</v>
      </c>
      <c r="D1162" s="22" t="s">
        <v>2364</v>
      </c>
      <c r="E1162" s="23">
        <v>4</v>
      </c>
      <c r="F1162" s="23">
        <v>243.61</v>
      </c>
      <c r="G1162" s="23">
        <v>974.44</v>
      </c>
      <c r="H1162" s="22" t="s">
        <v>2185</v>
      </c>
      <c r="I1162" s="22" t="s">
        <v>2340</v>
      </c>
    </row>
    <row r="1163" spans="1:9" x14ac:dyDescent="0.35">
      <c r="A1163" s="22" t="s">
        <v>2186</v>
      </c>
      <c r="B1163" s="22" t="s">
        <v>3044</v>
      </c>
      <c r="C1163" s="22" t="s">
        <v>2349</v>
      </c>
      <c r="D1163" s="22" t="s">
        <v>2343</v>
      </c>
      <c r="E1163" s="23">
        <v>6</v>
      </c>
      <c r="F1163" s="23">
        <v>142.63</v>
      </c>
      <c r="G1163" s="23">
        <v>855.78</v>
      </c>
      <c r="H1163" s="22" t="s">
        <v>2187</v>
      </c>
      <c r="I1163" s="22" t="s">
        <v>14</v>
      </c>
    </row>
    <row r="1164" spans="1:9" x14ac:dyDescent="0.35">
      <c r="A1164" s="22" t="s">
        <v>2188</v>
      </c>
      <c r="B1164" s="22" t="s">
        <v>2657</v>
      </c>
      <c r="C1164" s="22"/>
      <c r="D1164" s="22" t="s">
        <v>2343</v>
      </c>
      <c r="E1164" s="23">
        <v>3</v>
      </c>
      <c r="F1164" s="23">
        <v>24.29</v>
      </c>
      <c r="G1164" s="23">
        <v>72.87</v>
      </c>
      <c r="H1164" s="22" t="s">
        <v>2189</v>
      </c>
      <c r="I1164" s="22" t="s">
        <v>2356</v>
      </c>
    </row>
    <row r="1165" spans="1:9" x14ac:dyDescent="0.35">
      <c r="A1165" s="22" t="s">
        <v>2190</v>
      </c>
      <c r="B1165" s="22" t="s">
        <v>2394</v>
      </c>
      <c r="C1165" s="22" t="s">
        <v>19</v>
      </c>
      <c r="D1165" s="22" t="s">
        <v>46</v>
      </c>
      <c r="E1165" s="23">
        <v>9999</v>
      </c>
      <c r="F1165" s="23">
        <v>306.5</v>
      </c>
      <c r="G1165" s="23">
        <v>1532.5</v>
      </c>
      <c r="H1165" s="22" t="s">
        <v>2191</v>
      </c>
      <c r="I1165" s="22" t="s">
        <v>2378</v>
      </c>
    </row>
    <row r="1166" spans="1:9" x14ac:dyDescent="0.35">
      <c r="A1166" s="22" t="s">
        <v>2192</v>
      </c>
      <c r="B1166" s="22" t="s">
        <v>3130</v>
      </c>
      <c r="C1166" s="22" t="s">
        <v>16</v>
      </c>
      <c r="D1166" s="22" t="s">
        <v>46</v>
      </c>
      <c r="E1166" s="23">
        <v>5</v>
      </c>
      <c r="F1166" s="23">
        <v>203.91</v>
      </c>
      <c r="G1166" s="23">
        <v>1019.55</v>
      </c>
      <c r="H1166" s="22" t="s">
        <v>2193</v>
      </c>
      <c r="I1166" s="22" t="s">
        <v>26</v>
      </c>
    </row>
    <row r="1167" spans="1:9" x14ac:dyDescent="0.35">
      <c r="A1167" s="22" t="s">
        <v>2194</v>
      </c>
      <c r="B1167" s="22" t="s">
        <v>3091</v>
      </c>
      <c r="C1167" s="22" t="s">
        <v>2346</v>
      </c>
      <c r="D1167" s="22" t="s">
        <v>2350</v>
      </c>
      <c r="E1167" s="23">
        <v>5</v>
      </c>
      <c r="F1167" s="23">
        <v>156.35</v>
      </c>
      <c r="G1167" s="23">
        <v>781.75</v>
      </c>
      <c r="H1167" s="22" t="s">
        <v>2195</v>
      </c>
      <c r="I1167" s="22" t="s">
        <v>2378</v>
      </c>
    </row>
    <row r="1168" spans="1:9" x14ac:dyDescent="0.35">
      <c r="A1168" s="22" t="s">
        <v>2196</v>
      </c>
      <c r="B1168" s="22" t="s">
        <v>2804</v>
      </c>
      <c r="C1168" s="22" t="s">
        <v>19</v>
      </c>
      <c r="D1168" s="22" t="s">
        <v>2364</v>
      </c>
      <c r="E1168" s="23">
        <v>5</v>
      </c>
      <c r="F1168" s="23" t="s">
        <v>332</v>
      </c>
      <c r="G1168" s="23">
        <v>2174</v>
      </c>
      <c r="H1168" s="22" t="s">
        <v>2197</v>
      </c>
      <c r="I1168" s="22" t="s">
        <v>2356</v>
      </c>
    </row>
    <row r="1169" spans="1:9" x14ac:dyDescent="0.35">
      <c r="A1169" s="22" t="s">
        <v>2198</v>
      </c>
      <c r="B1169" s="22" t="s">
        <v>3064</v>
      </c>
      <c r="C1169" s="22" t="s">
        <v>2346</v>
      </c>
      <c r="D1169" s="22" t="s">
        <v>2343</v>
      </c>
      <c r="E1169" s="23">
        <v>3</v>
      </c>
      <c r="F1169" s="23">
        <v>375.9</v>
      </c>
      <c r="G1169" s="23"/>
      <c r="H1169" s="22" t="s">
        <v>2199</v>
      </c>
      <c r="I1169" s="22" t="s">
        <v>2298</v>
      </c>
    </row>
    <row r="1170" spans="1:9" x14ac:dyDescent="0.35">
      <c r="A1170" s="22" t="s">
        <v>2200</v>
      </c>
      <c r="B1170" s="22" t="s">
        <v>3131</v>
      </c>
      <c r="C1170" s="22" t="s">
        <v>23</v>
      </c>
      <c r="D1170" s="22" t="s">
        <v>2347</v>
      </c>
      <c r="E1170" s="23">
        <v>10</v>
      </c>
      <c r="F1170" s="23">
        <v>430.31</v>
      </c>
      <c r="G1170" s="23">
        <v>4303.1000000000004</v>
      </c>
      <c r="H1170" s="22" t="s">
        <v>2201</v>
      </c>
      <c r="I1170" s="22" t="s">
        <v>2356</v>
      </c>
    </row>
    <row r="1171" spans="1:9" x14ac:dyDescent="0.35">
      <c r="A1171" s="22" t="s">
        <v>2202</v>
      </c>
      <c r="B1171" s="22" t="s">
        <v>3132</v>
      </c>
      <c r="C1171" s="22" t="s">
        <v>16</v>
      </c>
      <c r="D1171" s="22" t="s">
        <v>12</v>
      </c>
      <c r="E1171" s="23">
        <v>9999</v>
      </c>
      <c r="F1171" s="23">
        <v>252.54</v>
      </c>
      <c r="G1171" s="23">
        <v>1262.7</v>
      </c>
      <c r="H1171" s="22" t="s">
        <v>2203</v>
      </c>
      <c r="I1171" s="22" t="s">
        <v>26</v>
      </c>
    </row>
    <row r="1172" spans="1:9" x14ac:dyDescent="0.35">
      <c r="A1172" s="22" t="s">
        <v>2204</v>
      </c>
      <c r="B1172" s="22" t="s">
        <v>3133</v>
      </c>
      <c r="C1172" s="22" t="s">
        <v>19</v>
      </c>
      <c r="D1172" s="22" t="s">
        <v>46</v>
      </c>
      <c r="E1172" s="23">
        <v>4</v>
      </c>
      <c r="F1172" s="23">
        <v>74.16</v>
      </c>
      <c r="G1172" s="23">
        <v>296.64</v>
      </c>
      <c r="H1172" s="22" t="s">
        <v>2205</v>
      </c>
      <c r="I1172" s="22" t="s">
        <v>50</v>
      </c>
    </row>
    <row r="1173" spans="1:9" x14ac:dyDescent="0.35">
      <c r="A1173" s="22" t="s">
        <v>2206</v>
      </c>
      <c r="B1173" s="22" t="s">
        <v>2989</v>
      </c>
      <c r="C1173" s="22" t="s">
        <v>2346</v>
      </c>
      <c r="D1173" s="22" t="s">
        <v>2343</v>
      </c>
      <c r="E1173" s="23">
        <v>4</v>
      </c>
      <c r="F1173" s="23">
        <v>351.15</v>
      </c>
      <c r="G1173" s="23">
        <v>1404.6</v>
      </c>
      <c r="H1173" s="22" t="s">
        <v>2207</v>
      </c>
      <c r="I1173" s="22" t="s">
        <v>2356</v>
      </c>
    </row>
    <row r="1174" spans="1:9" x14ac:dyDescent="0.35">
      <c r="A1174" s="22" t="s">
        <v>2208</v>
      </c>
      <c r="B1174" s="22" t="s">
        <v>2430</v>
      </c>
      <c r="C1174" s="22" t="s">
        <v>11</v>
      </c>
      <c r="D1174" s="22" t="s">
        <v>2343</v>
      </c>
      <c r="E1174" s="23">
        <v>7</v>
      </c>
      <c r="F1174" s="23">
        <v>110.98</v>
      </c>
      <c r="G1174" s="23">
        <v>776.86</v>
      </c>
      <c r="H1174" s="22" t="s">
        <v>2209</v>
      </c>
      <c r="I1174" s="22" t="s">
        <v>2356</v>
      </c>
    </row>
    <row r="1175" spans="1:9" x14ac:dyDescent="0.35">
      <c r="A1175" s="22" t="s">
        <v>2210</v>
      </c>
      <c r="B1175" s="22" t="s">
        <v>3134</v>
      </c>
      <c r="C1175" s="22" t="s">
        <v>2358</v>
      </c>
      <c r="D1175" s="22" t="s">
        <v>12</v>
      </c>
      <c r="E1175" s="23">
        <v>3</v>
      </c>
      <c r="F1175" s="23">
        <v>226.2</v>
      </c>
      <c r="G1175" s="23"/>
      <c r="H1175" s="22" t="s">
        <v>2211</v>
      </c>
      <c r="I1175" s="22" t="s">
        <v>2344</v>
      </c>
    </row>
    <row r="1176" spans="1:9" x14ac:dyDescent="0.35">
      <c r="A1176" s="22" t="s">
        <v>2212</v>
      </c>
      <c r="B1176" s="22" t="s">
        <v>2520</v>
      </c>
      <c r="C1176" s="22" t="s">
        <v>2346</v>
      </c>
      <c r="D1176" s="22" t="s">
        <v>46</v>
      </c>
      <c r="E1176" s="23">
        <v>6</v>
      </c>
      <c r="F1176" s="23">
        <v>41.85</v>
      </c>
      <c r="G1176" s="23">
        <v>251.1</v>
      </c>
      <c r="H1176" s="22" t="s">
        <v>2213</v>
      </c>
      <c r="I1176" s="22" t="s">
        <v>2356</v>
      </c>
    </row>
    <row r="1177" spans="1:9" x14ac:dyDescent="0.35">
      <c r="A1177" s="22" t="s">
        <v>2214</v>
      </c>
      <c r="B1177" s="22"/>
      <c r="C1177" s="22" t="s">
        <v>23</v>
      </c>
      <c r="D1177" s="22" t="s">
        <v>2350</v>
      </c>
      <c r="E1177" s="23">
        <v>2</v>
      </c>
      <c r="F1177" s="23">
        <v>414.4</v>
      </c>
      <c r="G1177" s="23">
        <v>828.8</v>
      </c>
      <c r="H1177" s="22" t="s">
        <v>2215</v>
      </c>
      <c r="I1177" s="22"/>
    </row>
    <row r="1178" spans="1:9" x14ac:dyDescent="0.35">
      <c r="A1178" s="22" t="s">
        <v>2216</v>
      </c>
      <c r="B1178" s="22" t="s">
        <v>2503</v>
      </c>
      <c r="C1178" s="22"/>
      <c r="D1178" s="22" t="s">
        <v>2347</v>
      </c>
      <c r="E1178" s="23">
        <v>4</v>
      </c>
      <c r="F1178" s="23">
        <v>71.709999999999994</v>
      </c>
      <c r="G1178" s="23">
        <v>286.83999999999997</v>
      </c>
      <c r="H1178" s="22"/>
      <c r="I1178" s="22" t="s">
        <v>50</v>
      </c>
    </row>
    <row r="1179" spans="1:9" x14ac:dyDescent="0.35">
      <c r="A1179" s="22" t="s">
        <v>2217</v>
      </c>
      <c r="B1179" s="22" t="s">
        <v>3135</v>
      </c>
      <c r="C1179" s="22"/>
      <c r="D1179" s="22" t="s">
        <v>2364</v>
      </c>
      <c r="E1179" s="23">
        <v>4</v>
      </c>
      <c r="F1179" s="23">
        <v>452.52</v>
      </c>
      <c r="G1179" s="23">
        <v>1810.08</v>
      </c>
      <c r="H1179" s="22" t="s">
        <v>2218</v>
      </c>
      <c r="I1179" s="22" t="s">
        <v>2298</v>
      </c>
    </row>
    <row r="1180" spans="1:9" x14ac:dyDescent="0.35">
      <c r="A1180" s="22" t="s">
        <v>2219</v>
      </c>
      <c r="B1180" s="22" t="s">
        <v>3136</v>
      </c>
      <c r="C1180" s="22" t="s">
        <v>2342</v>
      </c>
      <c r="D1180" s="22" t="s">
        <v>2347</v>
      </c>
      <c r="E1180" s="23">
        <v>4</v>
      </c>
      <c r="F1180" s="23">
        <v>433.47</v>
      </c>
      <c r="G1180" s="23">
        <v>1843.82</v>
      </c>
      <c r="H1180" s="22" t="s">
        <v>84</v>
      </c>
      <c r="I1180" s="22" t="s">
        <v>2344</v>
      </c>
    </row>
    <row r="1181" spans="1:9" x14ac:dyDescent="0.35">
      <c r="A1181" s="22" t="s">
        <v>2220</v>
      </c>
      <c r="B1181" s="22" t="s">
        <v>2462</v>
      </c>
      <c r="C1181" s="22" t="s">
        <v>2346</v>
      </c>
      <c r="D1181" s="22" t="s">
        <v>2364</v>
      </c>
      <c r="E1181" s="23">
        <v>-5</v>
      </c>
      <c r="F1181" s="23">
        <v>237.65</v>
      </c>
      <c r="G1181" s="23">
        <v>1901.2</v>
      </c>
      <c r="H1181" s="22" t="s">
        <v>2221</v>
      </c>
      <c r="I1181" s="22" t="s">
        <v>26</v>
      </c>
    </row>
    <row r="1182" spans="1:9" x14ac:dyDescent="0.35">
      <c r="A1182" s="22" t="s">
        <v>2222</v>
      </c>
      <c r="B1182" s="22" t="s">
        <v>2428</v>
      </c>
      <c r="C1182" s="22" t="s">
        <v>2349</v>
      </c>
      <c r="D1182" s="22" t="s">
        <v>12</v>
      </c>
      <c r="E1182" s="23">
        <v>5</v>
      </c>
      <c r="F1182" s="23">
        <v>374.74</v>
      </c>
      <c r="G1182" s="23">
        <v>1873.7</v>
      </c>
      <c r="H1182" s="22" t="s">
        <v>2223</v>
      </c>
      <c r="I1182" s="22" t="s">
        <v>2344</v>
      </c>
    </row>
    <row r="1183" spans="1:9" x14ac:dyDescent="0.35">
      <c r="A1183" s="22" t="s">
        <v>2224</v>
      </c>
      <c r="B1183" s="22" t="s">
        <v>2845</v>
      </c>
      <c r="C1183" s="22" t="s">
        <v>2282</v>
      </c>
      <c r="D1183" s="22" t="s">
        <v>2347</v>
      </c>
      <c r="E1183" s="23">
        <v>8</v>
      </c>
      <c r="F1183" s="23">
        <v>313.52999999999997</v>
      </c>
      <c r="G1183" s="23">
        <v>2508.2399999999998</v>
      </c>
      <c r="H1183" s="22" t="s">
        <v>2225</v>
      </c>
      <c r="I1183" s="22" t="s">
        <v>2378</v>
      </c>
    </row>
    <row r="1184" spans="1:9" x14ac:dyDescent="0.35">
      <c r="A1184" s="22" t="s">
        <v>2226</v>
      </c>
      <c r="B1184" s="22" t="s">
        <v>3137</v>
      </c>
      <c r="C1184" s="22" t="s">
        <v>2358</v>
      </c>
      <c r="D1184" s="22" t="s">
        <v>2364</v>
      </c>
      <c r="E1184" s="23">
        <v>5</v>
      </c>
      <c r="F1184" s="23">
        <v>403.51</v>
      </c>
      <c r="G1184" s="23">
        <v>2017.55</v>
      </c>
      <c r="H1184" s="22" t="s">
        <v>2227</v>
      </c>
      <c r="I1184" s="22" t="s">
        <v>26</v>
      </c>
    </row>
    <row r="1185" spans="1:9" x14ac:dyDescent="0.35">
      <c r="A1185" s="22" t="s">
        <v>2228</v>
      </c>
      <c r="B1185" s="22" t="s">
        <v>3138</v>
      </c>
      <c r="C1185" s="22" t="s">
        <v>11</v>
      </c>
      <c r="D1185" s="22" t="s">
        <v>2350</v>
      </c>
      <c r="E1185" s="23">
        <v>7</v>
      </c>
      <c r="F1185" s="23">
        <v>221.58</v>
      </c>
      <c r="G1185" s="23">
        <v>1551.06</v>
      </c>
      <c r="H1185" s="22" t="s">
        <v>2229</v>
      </c>
      <c r="I1185" s="22" t="s">
        <v>2344</v>
      </c>
    </row>
    <row r="1186" spans="1:9" x14ac:dyDescent="0.35">
      <c r="A1186" s="22" t="s">
        <v>2230</v>
      </c>
      <c r="B1186" s="22" t="s">
        <v>3139</v>
      </c>
      <c r="C1186" s="22" t="s">
        <v>2342</v>
      </c>
      <c r="D1186" s="22" t="s">
        <v>32</v>
      </c>
      <c r="E1186" s="23">
        <v>8</v>
      </c>
      <c r="F1186" s="23">
        <v>395.05</v>
      </c>
      <c r="G1186" s="23">
        <v>3160.4</v>
      </c>
      <c r="H1186" s="22" t="s">
        <v>84</v>
      </c>
      <c r="I1186" s="22" t="s">
        <v>50</v>
      </c>
    </row>
    <row r="1187" spans="1:9" x14ac:dyDescent="0.35">
      <c r="A1187" s="22" t="s">
        <v>2231</v>
      </c>
      <c r="B1187" s="22" t="s">
        <v>2980</v>
      </c>
      <c r="C1187" s="22" t="s">
        <v>2282</v>
      </c>
      <c r="D1187" s="22" t="s">
        <v>2343</v>
      </c>
      <c r="E1187" s="23">
        <v>3</v>
      </c>
      <c r="F1187" s="23">
        <v>236.6</v>
      </c>
      <c r="G1187" s="23">
        <v>709.8</v>
      </c>
      <c r="H1187" s="22" t="s">
        <v>2232</v>
      </c>
      <c r="I1187" s="22" t="s">
        <v>14</v>
      </c>
    </row>
    <row r="1188" spans="1:9" x14ac:dyDescent="0.35">
      <c r="A1188" s="22" t="s">
        <v>2233</v>
      </c>
      <c r="B1188" s="22" t="s">
        <v>3140</v>
      </c>
      <c r="C1188" s="22"/>
      <c r="D1188" s="22" t="s">
        <v>2347</v>
      </c>
      <c r="E1188" s="23">
        <v>4</v>
      </c>
      <c r="F1188" s="23">
        <v>471.07</v>
      </c>
      <c r="G1188" s="23">
        <v>1960.72</v>
      </c>
      <c r="H1188" s="22" t="s">
        <v>2234</v>
      </c>
      <c r="I1188" s="22" t="s">
        <v>2378</v>
      </c>
    </row>
    <row r="1189" spans="1:9" x14ac:dyDescent="0.35">
      <c r="A1189" s="22" t="s">
        <v>2235</v>
      </c>
      <c r="B1189" s="22" t="s">
        <v>2527</v>
      </c>
      <c r="C1189" s="22" t="s">
        <v>19</v>
      </c>
      <c r="D1189" s="22" t="s">
        <v>2347</v>
      </c>
      <c r="E1189" s="23" t="s">
        <v>2351</v>
      </c>
      <c r="F1189" s="23">
        <v>248.32</v>
      </c>
      <c r="G1189" s="23">
        <v>1489.92</v>
      </c>
      <c r="H1189" s="22" t="s">
        <v>2236</v>
      </c>
      <c r="I1189" s="22" t="s">
        <v>26</v>
      </c>
    </row>
    <row r="1190" spans="1:9" x14ac:dyDescent="0.35">
      <c r="A1190" s="22" t="s">
        <v>2237</v>
      </c>
      <c r="B1190" s="22"/>
      <c r="C1190" s="22" t="s">
        <v>2346</v>
      </c>
      <c r="D1190" s="22" t="s">
        <v>2343</v>
      </c>
      <c r="E1190" s="23">
        <v>4</v>
      </c>
      <c r="F1190" s="23">
        <v>236.68</v>
      </c>
      <c r="G1190" s="23">
        <v>946.72</v>
      </c>
      <c r="H1190" s="22" t="s">
        <v>2238</v>
      </c>
      <c r="I1190" s="22" t="s">
        <v>2344</v>
      </c>
    </row>
    <row r="1191" spans="1:9" x14ac:dyDescent="0.35">
      <c r="A1191" s="22" t="s">
        <v>2239</v>
      </c>
      <c r="B1191" s="22" t="s">
        <v>3141</v>
      </c>
      <c r="C1191" s="22" t="s">
        <v>2282</v>
      </c>
      <c r="D1191" s="22" t="s">
        <v>12</v>
      </c>
      <c r="E1191" s="23">
        <v>4</v>
      </c>
      <c r="F1191" s="23">
        <v>394.69</v>
      </c>
      <c r="G1191" s="23">
        <v>1578.76</v>
      </c>
      <c r="H1191" s="22" t="s">
        <v>2240</v>
      </c>
      <c r="I1191" s="22" t="s">
        <v>14</v>
      </c>
    </row>
    <row r="1192" spans="1:9" x14ac:dyDescent="0.35">
      <c r="A1192" s="22" t="s">
        <v>2241</v>
      </c>
      <c r="B1192" s="22" t="s">
        <v>2977</v>
      </c>
      <c r="C1192" s="22" t="s">
        <v>11</v>
      </c>
      <c r="D1192" s="22" t="s">
        <v>2364</v>
      </c>
      <c r="E1192" s="23">
        <v>6</v>
      </c>
      <c r="F1192" s="23">
        <v>412.57</v>
      </c>
      <c r="G1192" s="23">
        <v>2475.42</v>
      </c>
      <c r="H1192" s="22" t="s">
        <v>2242</v>
      </c>
      <c r="I1192" s="22" t="s">
        <v>2356</v>
      </c>
    </row>
    <row r="1193" spans="1:9" x14ac:dyDescent="0.35">
      <c r="A1193" s="22" t="s">
        <v>2243</v>
      </c>
      <c r="B1193" s="22" t="s">
        <v>2880</v>
      </c>
      <c r="C1193" s="22" t="s">
        <v>16</v>
      </c>
      <c r="D1193" s="22" t="s">
        <v>24</v>
      </c>
      <c r="E1193" s="23">
        <v>2</v>
      </c>
      <c r="F1193" s="23">
        <v>281.7</v>
      </c>
      <c r="G1193" s="23"/>
      <c r="H1193" s="22" t="s">
        <v>2244</v>
      </c>
      <c r="I1193" s="22" t="s">
        <v>2378</v>
      </c>
    </row>
    <row r="1194" spans="1:9" x14ac:dyDescent="0.35">
      <c r="A1194" s="22" t="s">
        <v>2245</v>
      </c>
      <c r="B1194" s="22" t="s">
        <v>2371</v>
      </c>
      <c r="C1194" s="22" t="s">
        <v>16</v>
      </c>
      <c r="D1194" s="22" t="s">
        <v>2347</v>
      </c>
      <c r="E1194" s="23">
        <v>4</v>
      </c>
      <c r="F1194" s="23" t="s">
        <v>332</v>
      </c>
      <c r="G1194" s="23">
        <v>392.4</v>
      </c>
      <c r="H1194" s="22" t="s">
        <v>2246</v>
      </c>
      <c r="I1194" s="22"/>
    </row>
    <row r="1195" spans="1:9" x14ac:dyDescent="0.35">
      <c r="A1195" s="22" t="s">
        <v>2247</v>
      </c>
      <c r="B1195" s="22" t="s">
        <v>2913</v>
      </c>
      <c r="C1195" s="22"/>
      <c r="D1195" s="22" t="s">
        <v>46</v>
      </c>
      <c r="E1195" s="23">
        <v>2</v>
      </c>
      <c r="F1195" s="23">
        <v>239.2</v>
      </c>
      <c r="G1195" s="23"/>
      <c r="H1195" s="22" t="s">
        <v>2248</v>
      </c>
      <c r="I1195" s="22" t="s">
        <v>2298</v>
      </c>
    </row>
    <row r="1196" spans="1:9" x14ac:dyDescent="0.35">
      <c r="A1196" s="22" t="s">
        <v>2249</v>
      </c>
      <c r="B1196" s="22" t="s">
        <v>2777</v>
      </c>
      <c r="C1196" s="22" t="s">
        <v>19</v>
      </c>
      <c r="D1196" s="22" t="s">
        <v>2350</v>
      </c>
      <c r="E1196" s="23">
        <v>8</v>
      </c>
      <c r="F1196" s="23"/>
      <c r="G1196" s="23">
        <v>3874.88</v>
      </c>
      <c r="H1196" s="22" t="s">
        <v>49</v>
      </c>
      <c r="I1196" s="22" t="s">
        <v>2378</v>
      </c>
    </row>
    <row r="1197" spans="1:9" x14ac:dyDescent="0.35">
      <c r="A1197" s="22" t="s">
        <v>2250</v>
      </c>
      <c r="B1197" s="22" t="s">
        <v>3142</v>
      </c>
      <c r="C1197" s="22" t="s">
        <v>2342</v>
      </c>
      <c r="D1197" s="22" t="s">
        <v>24</v>
      </c>
      <c r="E1197" s="23">
        <v>7</v>
      </c>
      <c r="F1197" s="23">
        <v>378.96</v>
      </c>
      <c r="G1197" s="23">
        <v>2816.87</v>
      </c>
      <c r="H1197" s="22" t="s">
        <v>2251</v>
      </c>
      <c r="I1197" s="22" t="s">
        <v>2344</v>
      </c>
    </row>
    <row r="1198" spans="1:9" x14ac:dyDescent="0.35">
      <c r="A1198" s="22" t="s">
        <v>2252</v>
      </c>
      <c r="B1198" s="22" t="s">
        <v>2672</v>
      </c>
      <c r="C1198" s="22" t="s">
        <v>19</v>
      </c>
      <c r="D1198" s="22" t="s">
        <v>2350</v>
      </c>
      <c r="E1198" s="23">
        <v>2</v>
      </c>
      <c r="F1198" s="23">
        <v>407.47</v>
      </c>
      <c r="G1198" s="23">
        <v>814.94</v>
      </c>
      <c r="H1198" s="22" t="s">
        <v>2253</v>
      </c>
      <c r="I1198" s="22" t="s">
        <v>50</v>
      </c>
    </row>
    <row r="1199" spans="1:9" x14ac:dyDescent="0.35">
      <c r="A1199" s="22" t="s">
        <v>2254</v>
      </c>
      <c r="B1199" s="22" t="s">
        <v>3002</v>
      </c>
      <c r="C1199" s="22" t="s">
        <v>16</v>
      </c>
      <c r="D1199" s="22" t="s">
        <v>2350</v>
      </c>
      <c r="E1199" s="23">
        <v>5</v>
      </c>
      <c r="F1199" s="23">
        <v>26.08</v>
      </c>
      <c r="G1199" s="23">
        <v>130.4</v>
      </c>
      <c r="H1199" s="22"/>
      <c r="I1199" s="22" t="s">
        <v>2298</v>
      </c>
    </row>
    <row r="1200" spans="1:9" x14ac:dyDescent="0.35">
      <c r="A1200" s="22" t="s">
        <v>2255</v>
      </c>
      <c r="B1200" s="22" t="s">
        <v>2457</v>
      </c>
      <c r="C1200" s="22" t="s">
        <v>2346</v>
      </c>
      <c r="D1200" s="22" t="s">
        <v>2364</v>
      </c>
      <c r="E1200" s="23">
        <v>6</v>
      </c>
      <c r="F1200" s="23">
        <v>239.25</v>
      </c>
      <c r="G1200" s="23">
        <v>1435.5</v>
      </c>
      <c r="H1200" s="22" t="s">
        <v>2256</v>
      </c>
      <c r="I1200" s="22" t="s">
        <v>2378</v>
      </c>
    </row>
    <row r="1201" spans="1:9" x14ac:dyDescent="0.35">
      <c r="A1201" s="22" t="s">
        <v>2257</v>
      </c>
      <c r="B1201" s="22" t="s">
        <v>3143</v>
      </c>
      <c r="C1201" s="22" t="s">
        <v>11</v>
      </c>
      <c r="D1201" s="22" t="s">
        <v>32</v>
      </c>
      <c r="E1201" s="23">
        <v>7</v>
      </c>
      <c r="F1201" s="23">
        <v>326.83999999999997</v>
      </c>
      <c r="G1201" s="23">
        <v>2287.88</v>
      </c>
      <c r="H1201" s="22" t="s">
        <v>2258</v>
      </c>
      <c r="I1201" s="22" t="s">
        <v>2378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0A7D1-6A30-4132-8E25-088B85F10713}">
  <dimension ref="A1:T1177"/>
  <sheetViews>
    <sheetView topLeftCell="I1" workbookViewId="0">
      <selection activeCell="T5" sqref="T5"/>
    </sheetView>
  </sheetViews>
  <sheetFormatPr defaultRowHeight="14.5" x14ac:dyDescent="0.35"/>
  <cols>
    <col min="1" max="1" width="15.6328125" bestFit="1" customWidth="1"/>
    <col min="2" max="2" width="10.08984375" bestFit="1" customWidth="1"/>
    <col min="3" max="3" width="14.1796875" bestFit="1" customWidth="1"/>
    <col min="4" max="4" width="13" bestFit="1" customWidth="1"/>
    <col min="5" max="5" width="12.08984375" bestFit="1" customWidth="1"/>
    <col min="6" max="6" width="19" bestFit="1" customWidth="1"/>
    <col min="7" max="7" width="11.7265625" bestFit="1" customWidth="1"/>
    <col min="8" max="8" width="14.54296875" bestFit="1" customWidth="1"/>
    <col min="9" max="9" width="23.26953125" bestFit="1" customWidth="1"/>
    <col min="10" max="10" width="17.6328125" bestFit="1" customWidth="1"/>
    <col min="11" max="11" width="24.90625" customWidth="1"/>
    <col min="14" max="14" width="14.1796875" customWidth="1"/>
    <col min="16" max="16" width="12.36328125" customWidth="1"/>
    <col min="17" max="17" width="11.6328125" customWidth="1"/>
  </cols>
  <sheetData>
    <row r="1" spans="1:20" x14ac:dyDescent="0.35">
      <c r="A1" t="s">
        <v>0</v>
      </c>
      <c r="B1" t="s">
        <v>1</v>
      </c>
      <c r="C1" t="s">
        <v>2</v>
      </c>
      <c r="D1" t="s">
        <v>3</v>
      </c>
      <c r="E1" t="s">
        <v>2264</v>
      </c>
      <c r="F1" t="s">
        <v>4</v>
      </c>
      <c r="G1" t="s">
        <v>2309</v>
      </c>
      <c r="H1" t="s">
        <v>2259</v>
      </c>
      <c r="I1" t="s">
        <v>5</v>
      </c>
      <c r="J1" t="s">
        <v>2260</v>
      </c>
      <c r="K1" t="s">
        <v>2261</v>
      </c>
      <c r="L1" t="s">
        <v>6</v>
      </c>
      <c r="M1" t="s">
        <v>7</v>
      </c>
      <c r="N1" t="s">
        <v>8</v>
      </c>
      <c r="O1" t="s">
        <v>9</v>
      </c>
      <c r="Q1" t="s">
        <v>2278</v>
      </c>
    </row>
    <row r="2" spans="1:20" x14ac:dyDescent="0.35">
      <c r="A2" s="1" t="s">
        <v>10</v>
      </c>
      <c r="B2" s="2">
        <v>45120</v>
      </c>
      <c r="C2" s="1" t="s">
        <v>11</v>
      </c>
      <c r="D2" s="1" t="s">
        <v>12</v>
      </c>
      <c r="E2" s="1" t="str">
        <f>TRIM(CLEAN(Sheet1[[#This Row],[Category]]))</f>
        <v>Office Supplies</v>
      </c>
      <c r="F2">
        <v>5</v>
      </c>
      <c r="G2" t="str">
        <f>IF(H2=0, "Non-Billable / Zero", IF(H2&lt;=3, "1. Retail (1-3 Units)", IF(H2&lt;=7, "2. Mid-Market (4-7 Units)", "3. Wholesale / Bulk (8+ Units)")))</f>
        <v>2. Mid-Market (4-7 Units)</v>
      </c>
      <c r="H2">
        <v>5</v>
      </c>
      <c r="I2">
        <v>387.29</v>
      </c>
      <c r="J2">
        <f>IF(ISBLANK(I2), ROUND(I2/ABS(VALUE(_xlfn.TEXTBEFORE(F2&amp;" ", " "))), 2), ABS(VALUE(SUBSTITUTE(I2, "$", ""))))</f>
        <v>387.29</v>
      </c>
      <c r="K2">
        <f>ROUND(Sheet1[[#This Row],[CleanedUnits_sold]]*Sheet1[[#This Row],[Cleaned_Unit_Price]],2)</f>
        <v>1936.45</v>
      </c>
      <c r="L2">
        <v>1936.45</v>
      </c>
      <c r="M2" s="1" t="s">
        <v>13</v>
      </c>
      <c r="N2" s="1" t="s">
        <v>14</v>
      </c>
      <c r="O2" s="1" t="s">
        <v>13</v>
      </c>
      <c r="Q2">
        <f>AVERAGEIF(Sheet1[Cleaned_Category],E1162,Sheet1[Cleaned_total_amount])</f>
        <v>1146.8824573378836</v>
      </c>
      <c r="R2" t="s">
        <v>46</v>
      </c>
      <c r="T2" t="s">
        <v>2328</v>
      </c>
    </row>
    <row r="3" spans="1:20" x14ac:dyDescent="0.35">
      <c r="A3" s="1" t="s">
        <v>15</v>
      </c>
      <c r="B3" s="2">
        <v>45248</v>
      </c>
      <c r="C3" s="1" t="s">
        <v>16</v>
      </c>
      <c r="D3" s="1" t="s">
        <v>12</v>
      </c>
      <c r="E3" s="1" t="str">
        <f>TRIM(CLEAN(Sheet1[[#This Row],[Category]]))</f>
        <v>Office Supplies</v>
      </c>
      <c r="F3">
        <v>4</v>
      </c>
      <c r="G3" t="str">
        <f>IF(H3=0, "Non-Billable / Zero", IF(H3&lt;=3, "1. Retail (1-3 Units)", IF(H3&lt;=7, "2. Mid-Market (4-7 Units)", "3. Wholesale / Bulk (8+ Units)")))</f>
        <v>2. Mid-Market (4-7 Units)</v>
      </c>
      <c r="H3">
        <v>4</v>
      </c>
      <c r="I3">
        <v>60.94</v>
      </c>
      <c r="J3">
        <f>IF(ISBLANK(I3), ROUND(I3/ABS(VALUE(_xlfn.TEXTBEFORE(F3&amp;" ", " "))), 2), ABS(VALUE(SUBSTITUTE(I3, "$", ""))))</f>
        <v>60.94</v>
      </c>
      <c r="K3">
        <f>ROUND(Sheet1[[#This Row],[CleanedUnits_sold]]*Sheet1[[#This Row],[Cleaned_Unit_Price]],2)</f>
        <v>243.76</v>
      </c>
      <c r="L3">
        <v>243.76</v>
      </c>
      <c r="M3" s="1" t="s">
        <v>17</v>
      </c>
      <c r="N3" s="1" t="s">
        <v>14</v>
      </c>
      <c r="O3" s="1" t="s">
        <v>17</v>
      </c>
      <c r="T3">
        <f>SUMIF(Sheet1[Market Tier],G25,Sheet1[Cleaned_Unit_Price])</f>
        <v>36486.250000000015</v>
      </c>
    </row>
    <row r="4" spans="1:20" x14ac:dyDescent="0.35">
      <c r="A4" s="1" t="s">
        <v>18</v>
      </c>
      <c r="B4" s="2">
        <v>45287</v>
      </c>
      <c r="C4" s="1" t="s">
        <v>19</v>
      </c>
      <c r="D4" s="1" t="s">
        <v>12</v>
      </c>
      <c r="E4" s="1" t="str">
        <f>TRIM(CLEAN(Sheet1[[#This Row],[Category]]))</f>
        <v>Office Supplies</v>
      </c>
      <c r="F4">
        <v>4</v>
      </c>
      <c r="G4" t="str">
        <f t="shared" ref="G2:G65" si="0">IF(H4=0, "Non-Billable / Zero", IF(H4&lt;=3, "1. Retail (1-3 Units)", IF(H4&lt;=7, "2. Mid-Market (4-7 Units)", "3. Wholesale / Bulk (8+ Units)")))</f>
        <v>2. Mid-Market (4-7 Units)</v>
      </c>
      <c r="H4">
        <v>4</v>
      </c>
      <c r="I4">
        <v>481.56</v>
      </c>
      <c r="J4">
        <f>IF(ISBLANK(I4), ROUND(I4/ABS(VALUE(_xlfn.TEXTBEFORE(F4&amp;" ", " "))), 2), ABS(VALUE(SUBSTITUTE(I4, "$", ""))))</f>
        <v>481.56</v>
      </c>
      <c r="K4">
        <f>ROUND(Sheet1[[#This Row],[CleanedUnits_sold]]*Sheet1[[#This Row],[Cleaned_Unit_Price]],2)</f>
        <v>1926.24</v>
      </c>
      <c r="L4">
        <v>1926.24</v>
      </c>
      <c r="M4" s="1" t="s">
        <v>20</v>
      </c>
      <c r="N4" s="1" t="s">
        <v>21</v>
      </c>
      <c r="O4" s="1" t="s">
        <v>20</v>
      </c>
      <c r="Q4">
        <f>AVERAGEIF(Sheet1[Cleaned_Category],E1159,Sheet1[Cleaned_total_amount])</f>
        <v>1197.9408314087757</v>
      </c>
      <c r="R4" t="s">
        <v>24</v>
      </c>
      <c r="T4" s="20">
        <v>145</v>
      </c>
    </row>
    <row r="5" spans="1:20" x14ac:dyDescent="0.35">
      <c r="A5" s="1" t="s">
        <v>22</v>
      </c>
      <c r="B5" s="2">
        <v>1</v>
      </c>
      <c r="C5" s="1" t="s">
        <v>23</v>
      </c>
      <c r="D5" s="1" t="s">
        <v>24</v>
      </c>
      <c r="E5" s="1" t="str">
        <f>TRIM(CLEAN(Sheet1[[#This Row],[Category]]))</f>
        <v>Electronics</v>
      </c>
      <c r="F5">
        <v>5</v>
      </c>
      <c r="G5" t="str">
        <f t="shared" si="0"/>
        <v>2. Mid-Market (4-7 Units)</v>
      </c>
      <c r="H5">
        <v>5</v>
      </c>
      <c r="I5">
        <v>446.21</v>
      </c>
      <c r="J5">
        <f>IF(ISBLANK(I5), ROUND(I5/ABS(VALUE(_xlfn.TEXTBEFORE(F5&amp;" ", " "))), 2), ABS(VALUE(SUBSTITUTE(I5, "$", ""))))</f>
        <v>446.21</v>
      </c>
      <c r="K5">
        <f>ROUND(Sheet1[[#This Row],[CleanedUnits_sold]]*Sheet1[[#This Row],[Cleaned_Unit_Price]],2)</f>
        <v>2231.0500000000002</v>
      </c>
      <c r="L5">
        <v>2231.0500000000002</v>
      </c>
      <c r="M5" s="1" t="s">
        <v>25</v>
      </c>
      <c r="N5" s="1" t="s">
        <v>26</v>
      </c>
      <c r="O5" s="1" t="s">
        <v>25</v>
      </c>
      <c r="T5">
        <f>(T3/T4)</f>
        <v>251.62931034482767</v>
      </c>
    </row>
    <row r="6" spans="1:20" x14ac:dyDescent="0.35">
      <c r="A6" s="1" t="s">
        <v>27</v>
      </c>
      <c r="B6" s="2">
        <v>45075</v>
      </c>
      <c r="C6" s="1" t="s">
        <v>16</v>
      </c>
      <c r="D6" s="1" t="s">
        <v>24</v>
      </c>
      <c r="E6" s="1" t="str">
        <f>TRIM(CLEAN(Sheet1[[#This Row],[Category]]))</f>
        <v>Electronics</v>
      </c>
      <c r="F6">
        <v>5</v>
      </c>
      <c r="G6" t="str">
        <f t="shared" si="0"/>
        <v>2. Mid-Market (4-7 Units)</v>
      </c>
      <c r="H6">
        <v>5</v>
      </c>
      <c r="I6">
        <v>142.47</v>
      </c>
      <c r="J6">
        <f>IF(ISBLANK(I6), ROUND(I6/ABS(VALUE(_xlfn.TEXTBEFORE(F6&amp;" ", " "))), 2), ABS(VALUE(SUBSTITUTE(I6, "$", ""))))</f>
        <v>142.47</v>
      </c>
      <c r="K6">
        <f>ROUND(Sheet1[[#This Row],[CleanedUnits_sold]]*Sheet1[[#This Row],[Cleaned_Unit_Price]],2)</f>
        <v>712.35</v>
      </c>
      <c r="L6">
        <v>712.35</v>
      </c>
      <c r="M6" s="1" t="s">
        <v>28</v>
      </c>
      <c r="N6" s="1" t="s">
        <v>14</v>
      </c>
      <c r="O6" s="1" t="s">
        <v>28</v>
      </c>
      <c r="Q6">
        <f>AVERAGEIF(Sheet1[Cleaned_Category],E1176,Sheet1[Cleaned_total_amount])</f>
        <v>1216.5431333333336</v>
      </c>
      <c r="R6" t="s">
        <v>2265</v>
      </c>
    </row>
    <row r="7" spans="1:20" x14ac:dyDescent="0.35">
      <c r="A7" s="1" t="s">
        <v>29</v>
      </c>
      <c r="B7" s="2">
        <v>44978</v>
      </c>
      <c r="C7" s="1" t="s">
        <v>23</v>
      </c>
      <c r="D7" s="1" t="s">
        <v>12</v>
      </c>
      <c r="E7" s="1" t="str">
        <f>TRIM(CLEAN(Sheet1[[#This Row],[Category]]))</f>
        <v>Office Supplies</v>
      </c>
      <c r="F7">
        <v>3</v>
      </c>
      <c r="G7" t="str">
        <f t="shared" si="0"/>
        <v>1. Retail (1-3 Units)</v>
      </c>
      <c r="H7">
        <v>3</v>
      </c>
      <c r="I7">
        <v>413.15</v>
      </c>
      <c r="J7">
        <f>IF(ISBLANK(I7), ROUND(I7/ABS(VALUE(_xlfn.TEXTBEFORE(F7&amp;" ", " "))), 2), ABS(VALUE(SUBSTITUTE(I7, "$", ""))))</f>
        <v>413.15</v>
      </c>
      <c r="K7">
        <f>ROUND(Sheet1[[#This Row],[CleanedUnits_sold]]*Sheet1[[#This Row],[Cleaned_Unit_Price]],2)</f>
        <v>1239.45</v>
      </c>
      <c r="L7">
        <v>1239.45</v>
      </c>
      <c r="M7" s="1" t="s">
        <v>30</v>
      </c>
      <c r="N7" s="1" t="s">
        <v>26</v>
      </c>
      <c r="O7" s="1" t="s">
        <v>30</v>
      </c>
      <c r="T7" t="s">
        <v>2329</v>
      </c>
    </row>
    <row r="8" spans="1:20" x14ac:dyDescent="0.35">
      <c r="A8" s="1" t="s">
        <v>31</v>
      </c>
      <c r="B8" s="2">
        <v>45252</v>
      </c>
      <c r="C8" s="1" t="s">
        <v>23</v>
      </c>
      <c r="D8" s="1" t="s">
        <v>32</v>
      </c>
      <c r="E8" s="1" t="str">
        <f>TRIM(CLEAN(Sheet1[[#This Row],[Category]]))</f>
        <v>Furniture</v>
      </c>
      <c r="F8">
        <v>5</v>
      </c>
      <c r="G8" t="str">
        <f t="shared" si="0"/>
        <v>2. Mid-Market (4-7 Units)</v>
      </c>
      <c r="H8">
        <v>5</v>
      </c>
      <c r="I8">
        <v>263.98</v>
      </c>
      <c r="J8">
        <f>IF(ISBLANK(I8), ROUND(I8/ABS(VALUE(_xlfn.TEXTBEFORE(F8&amp;" ", " "))), 2), ABS(VALUE(SUBSTITUTE(I8, "$", ""))))</f>
        <v>263.98</v>
      </c>
      <c r="K8">
        <f>ROUND(Sheet1[[#This Row],[CleanedUnits_sold]]*Sheet1[[#This Row],[Cleaned_Unit_Price]],2)</f>
        <v>1319.9</v>
      </c>
      <c r="L8">
        <v>1319.9</v>
      </c>
      <c r="M8" s="1" t="s">
        <v>33</v>
      </c>
      <c r="N8" s="1" t="s">
        <v>26</v>
      </c>
      <c r="O8" s="1" t="s">
        <v>33</v>
      </c>
      <c r="Q8">
        <f>COUNTIF(Sheet1[Cleaned_Category],E1177)</f>
        <v>293</v>
      </c>
      <c r="R8" t="s">
        <v>46</v>
      </c>
      <c r="T8">
        <f>SUMIF(Sheet1[Market Tier],G1174,Sheet1[Cleaned_Unit_Price])</f>
        <v>65817.89</v>
      </c>
    </row>
    <row r="9" spans="1:20" x14ac:dyDescent="0.35">
      <c r="A9" s="1" t="s">
        <v>34</v>
      </c>
      <c r="B9" s="2">
        <v>44933</v>
      </c>
      <c r="C9" s="1" t="s">
        <v>23</v>
      </c>
      <c r="D9" s="1" t="s">
        <v>32</v>
      </c>
      <c r="E9" s="1" t="str">
        <f>TRIM(CLEAN(Sheet1[[#This Row],[Category]]))</f>
        <v>Furniture</v>
      </c>
      <c r="F9">
        <v>4</v>
      </c>
      <c r="G9" t="str">
        <f t="shared" si="0"/>
        <v>2. Mid-Market (4-7 Units)</v>
      </c>
      <c r="H9">
        <v>4</v>
      </c>
      <c r="I9">
        <v>236.29</v>
      </c>
      <c r="J9">
        <f>IF(ISBLANK(I9), ROUND(I9/ABS(VALUE(_xlfn.TEXTBEFORE(F9&amp;" ", " "))), 2), ABS(VALUE(SUBSTITUTE(I9, "$", ""))))</f>
        <v>236.29</v>
      </c>
      <c r="K9">
        <f>ROUND(Sheet1[[#This Row],[CleanedUnits_sold]]*Sheet1[[#This Row],[Cleaned_Unit_Price]],2)</f>
        <v>945.16</v>
      </c>
      <c r="L9">
        <v>945.16</v>
      </c>
      <c r="M9" s="1" t="s">
        <v>35</v>
      </c>
      <c r="N9" s="1" t="s">
        <v>26</v>
      </c>
      <c r="O9" s="1" t="s">
        <v>35</v>
      </c>
      <c r="Q9">
        <f>COUNTIF(Sheet1[Cleaned_Category],E1173)</f>
        <v>433</v>
      </c>
      <c r="R9" t="s">
        <v>24</v>
      </c>
      <c r="T9">
        <v>293</v>
      </c>
    </row>
    <row r="10" spans="1:20" x14ac:dyDescent="0.35">
      <c r="A10" s="1" t="s">
        <v>36</v>
      </c>
      <c r="B10" s="2">
        <v>45286</v>
      </c>
      <c r="C10" s="1" t="s">
        <v>16</v>
      </c>
      <c r="D10" s="1" t="s">
        <v>12</v>
      </c>
      <c r="E10" s="1" t="str">
        <f>TRIM(CLEAN(Sheet1[[#This Row],[Category]]))</f>
        <v>Office Supplies</v>
      </c>
      <c r="F10">
        <v>6</v>
      </c>
      <c r="G10" t="str">
        <f t="shared" si="0"/>
        <v>2. Mid-Market (4-7 Units)</v>
      </c>
      <c r="H10">
        <v>6</v>
      </c>
      <c r="I10">
        <v>164.07</v>
      </c>
      <c r="J10">
        <f>IF(ISBLANK(I10), ROUND(I10/ABS(VALUE(_xlfn.TEXTBEFORE(F10&amp;" ", " "))), 2), ABS(VALUE(SUBSTITUTE(I10, "$", ""))))</f>
        <v>164.07</v>
      </c>
      <c r="K10">
        <f>ROUND(Sheet1[[#This Row],[CleanedUnits_sold]]*Sheet1[[#This Row],[Cleaned_Unit_Price]],2)</f>
        <v>984.42</v>
      </c>
      <c r="L10">
        <v>984.42</v>
      </c>
      <c r="M10" s="1" t="s">
        <v>37</v>
      </c>
      <c r="N10" s="1" t="s">
        <v>38</v>
      </c>
      <c r="O10" s="1" t="s">
        <v>37</v>
      </c>
      <c r="Q10">
        <f>COUNTIF(Sheet1[Cleaned_Category],E1163)</f>
        <v>450</v>
      </c>
      <c r="R10" t="s">
        <v>12</v>
      </c>
      <c r="T10">
        <f>(T8/T9)</f>
        <v>224.63443686006826</v>
      </c>
    </row>
    <row r="11" spans="1:20" x14ac:dyDescent="0.35">
      <c r="A11" s="1" t="s">
        <v>39</v>
      </c>
      <c r="B11" s="2">
        <v>1</v>
      </c>
      <c r="C11" s="1" t="s">
        <v>19</v>
      </c>
      <c r="D11" s="1" t="s">
        <v>12</v>
      </c>
      <c r="E11" s="1" t="str">
        <f>TRIM(CLEAN(Sheet1[[#This Row],[Category]]))</f>
        <v>Office Supplies</v>
      </c>
      <c r="F11">
        <v>7</v>
      </c>
      <c r="G11" t="str">
        <f t="shared" si="0"/>
        <v>2. Mid-Market (4-7 Units)</v>
      </c>
      <c r="H11">
        <v>7</v>
      </c>
      <c r="I11">
        <v>294.67</v>
      </c>
      <c r="J11">
        <f>IF(ISBLANK(I11), ROUND(I11/ABS(VALUE(_xlfn.TEXTBEFORE(F11&amp;" ", " "))), 2), ABS(VALUE(SUBSTITUTE(I11, "$", ""))))</f>
        <v>294.67</v>
      </c>
      <c r="K11">
        <f>ROUND(Sheet1[[#This Row],[CleanedUnits_sold]]*Sheet1[[#This Row],[Cleaned_Unit_Price]],2)</f>
        <v>2062.69</v>
      </c>
      <c r="L11">
        <v>2062.69</v>
      </c>
      <c r="M11" s="1" t="s">
        <v>40</v>
      </c>
      <c r="N11" s="1" t="s">
        <v>38</v>
      </c>
      <c r="O11" s="1" t="s">
        <v>40</v>
      </c>
    </row>
    <row r="12" spans="1:20" x14ac:dyDescent="0.35">
      <c r="A12" s="1" t="s">
        <v>41</v>
      </c>
      <c r="B12" s="2">
        <v>45121</v>
      </c>
      <c r="C12" s="1" t="s">
        <v>16</v>
      </c>
      <c r="D12" s="1" t="s">
        <v>32</v>
      </c>
      <c r="E12" s="1" t="str">
        <f>TRIM(CLEAN(Sheet1[[#This Row],[Category]]))</f>
        <v>Furniture</v>
      </c>
      <c r="F12">
        <v>2</v>
      </c>
      <c r="G12" t="str">
        <f t="shared" si="0"/>
        <v>1. Retail (1-3 Units)</v>
      </c>
      <c r="H12">
        <v>2</v>
      </c>
      <c r="I12">
        <v>367.65</v>
      </c>
      <c r="J12">
        <f>IF(ISBLANK(I12), ROUND(I12/ABS(VALUE(_xlfn.TEXTBEFORE(F12&amp;" ", " "))), 2), ABS(VALUE(SUBSTITUTE(I12, "$", ""))))</f>
        <v>367.65</v>
      </c>
      <c r="K12">
        <f>ROUND(Sheet1[[#This Row],[CleanedUnits_sold]]*Sheet1[[#This Row],[Cleaned_Unit_Price]],2)</f>
        <v>735.3</v>
      </c>
      <c r="M12" s="1" t="s">
        <v>42</v>
      </c>
      <c r="N12" s="1" t="s">
        <v>14</v>
      </c>
      <c r="O12" s="1" t="s">
        <v>42</v>
      </c>
      <c r="Q12" t="s">
        <v>2280</v>
      </c>
    </row>
    <row r="13" spans="1:20" x14ac:dyDescent="0.35">
      <c r="A13" s="1" t="s">
        <v>43</v>
      </c>
      <c r="B13" s="2">
        <v>1</v>
      </c>
      <c r="C13" s="1" t="s">
        <v>11</v>
      </c>
      <c r="D13" s="1" t="s">
        <v>12</v>
      </c>
      <c r="E13" s="1" t="str">
        <f>TRIM(CLEAN(Sheet1[[#This Row],[Category]]))</f>
        <v>Office Supplies</v>
      </c>
      <c r="F13">
        <v>5</v>
      </c>
      <c r="G13" t="str">
        <f t="shared" si="0"/>
        <v>2. Mid-Market (4-7 Units)</v>
      </c>
      <c r="H13">
        <v>5</v>
      </c>
      <c r="I13">
        <v>211.36</v>
      </c>
      <c r="J13">
        <f>IF(ISBLANK(I13), ROUND(I13/ABS(VALUE(_xlfn.TEXTBEFORE(F13&amp;" ", " "))), 2), ABS(VALUE(SUBSTITUTE(I13, "$", ""))))</f>
        <v>211.36</v>
      </c>
      <c r="K13">
        <f>ROUND(Sheet1[[#This Row],[CleanedUnits_sold]]*Sheet1[[#This Row],[Cleaned_Unit_Price]],2)</f>
        <v>1056.8</v>
      </c>
      <c r="M13" s="1" t="s">
        <v>44</v>
      </c>
      <c r="N13" s="1" t="s">
        <v>21</v>
      </c>
      <c r="O13" s="1" t="s">
        <v>44</v>
      </c>
      <c r="Q13">
        <f>AVERAGEIF(Sheet1[Region],C1175,Sheet1[Cleaned_total_amount])</f>
        <v>1246.0214971751407</v>
      </c>
      <c r="R13" t="s">
        <v>16</v>
      </c>
    </row>
    <row r="14" spans="1:20" x14ac:dyDescent="0.35">
      <c r="A14" s="1" t="s">
        <v>45</v>
      </c>
      <c r="B14" s="2">
        <v>1</v>
      </c>
      <c r="C14" s="1" t="s">
        <v>19</v>
      </c>
      <c r="D14" s="1" t="s">
        <v>46</v>
      </c>
      <c r="E14" s="1" t="str">
        <f>TRIM(CLEAN(Sheet1[[#This Row],[Category]]))</f>
        <v>Furniture</v>
      </c>
      <c r="F14">
        <v>5</v>
      </c>
      <c r="G14" t="str">
        <f t="shared" si="0"/>
        <v>2. Mid-Market (4-7 Units)</v>
      </c>
      <c r="H14">
        <v>5</v>
      </c>
      <c r="I14">
        <v>318.32</v>
      </c>
      <c r="J14">
        <f>IF(ISBLANK(I14), ROUND(I14/ABS(VALUE(_xlfn.TEXTBEFORE(F14&amp;" ", " "))), 2), ABS(VALUE(SUBSTITUTE(I14, "$", ""))))</f>
        <v>318.32</v>
      </c>
      <c r="K14">
        <f>ROUND(Sheet1[[#This Row],[CleanedUnits_sold]]*Sheet1[[#This Row],[Cleaned_Unit_Price]],2)</f>
        <v>1591.6</v>
      </c>
      <c r="L14">
        <v>1645.25</v>
      </c>
      <c r="M14" s="1" t="s">
        <v>47</v>
      </c>
      <c r="N14" s="1" t="s">
        <v>14</v>
      </c>
      <c r="O14" s="1" t="s">
        <v>47</v>
      </c>
      <c r="Q14">
        <f>AVERAGEIF(Sheet1[Region],C1167,Sheet1[Cleaned_total_amount])</f>
        <v>1060.095405405405</v>
      </c>
      <c r="R14" t="s">
        <v>11</v>
      </c>
    </row>
    <row r="15" spans="1:20" x14ac:dyDescent="0.35">
      <c r="A15" s="1" t="s">
        <v>48</v>
      </c>
      <c r="B15" s="2">
        <v>45088</v>
      </c>
      <c r="C15" s="1" t="s">
        <v>19</v>
      </c>
      <c r="D15" s="1" t="s">
        <v>12</v>
      </c>
      <c r="E15" s="1" t="str">
        <f>TRIM(CLEAN(Sheet1[[#This Row],[Category]]))</f>
        <v>Office Supplies</v>
      </c>
      <c r="F15">
        <v>6</v>
      </c>
      <c r="G15" t="str">
        <f t="shared" si="0"/>
        <v>2. Mid-Market (4-7 Units)</v>
      </c>
      <c r="H15">
        <v>6</v>
      </c>
      <c r="I15">
        <v>352.66</v>
      </c>
      <c r="J15">
        <f>IF(ISBLANK(I15), ROUND(I15/ABS(VALUE(_xlfn.TEXTBEFORE(F15&amp;" ", " "))), 2), ABS(VALUE(SUBSTITUTE(I15, "$", ""))))</f>
        <v>352.66</v>
      </c>
      <c r="K15">
        <f>ROUND(Sheet1[[#This Row],[CleanedUnits_sold]]*Sheet1[[#This Row],[Cleaned_Unit_Price]],2)</f>
        <v>2115.96</v>
      </c>
      <c r="M15" s="1" t="s">
        <v>49</v>
      </c>
      <c r="N15" s="1" t="s">
        <v>50</v>
      </c>
      <c r="O15" s="1" t="s">
        <v>51</v>
      </c>
      <c r="Q15">
        <f>AVERAGEIF(Sheet1[Region],C1166,Sheet1[Cleaned_total_amount])</f>
        <v>1218.1588053097341</v>
      </c>
      <c r="R15" t="s">
        <v>23</v>
      </c>
    </row>
    <row r="16" spans="1:20" x14ac:dyDescent="0.35">
      <c r="A16" s="1" t="s">
        <v>52</v>
      </c>
      <c r="B16" s="2">
        <v>45035</v>
      </c>
      <c r="C16" s="1" t="s">
        <v>11</v>
      </c>
      <c r="D16" s="1" t="s">
        <v>12</v>
      </c>
      <c r="E16" s="1" t="str">
        <f>TRIM(CLEAN(Sheet1[[#This Row],[Category]]))</f>
        <v>Office Supplies</v>
      </c>
      <c r="F16">
        <v>4</v>
      </c>
      <c r="G16" t="str">
        <f t="shared" si="0"/>
        <v>2. Mid-Market (4-7 Units)</v>
      </c>
      <c r="H16">
        <v>4</v>
      </c>
      <c r="I16">
        <v>358.45</v>
      </c>
      <c r="J16">
        <f>IF(ISBLANK(I16), ROUND(I16/ABS(VALUE(_xlfn.TEXTBEFORE(F16&amp;" ", " "))), 2), ABS(VALUE(SUBSTITUTE(I16, "$", ""))))</f>
        <v>358.45</v>
      </c>
      <c r="K16">
        <f>ROUND(Sheet1[[#This Row],[CleanedUnits_sold]]*Sheet1[[#This Row],[Cleaned_Unit_Price]],2)</f>
        <v>1433.8</v>
      </c>
      <c r="L16">
        <v>1433.8</v>
      </c>
      <c r="M16" s="1" t="s">
        <v>53</v>
      </c>
      <c r="N16" s="1" t="s">
        <v>14</v>
      </c>
      <c r="O16" s="1" t="s">
        <v>53</v>
      </c>
      <c r="Q16">
        <f>AVERAGEIF(Sheet1[Region],C4,Sheet1[Cleaned_total_amount])</f>
        <v>1249.903032786885</v>
      </c>
      <c r="R16" t="s">
        <v>2279</v>
      </c>
    </row>
    <row r="17" spans="1:20" x14ac:dyDescent="0.35">
      <c r="A17" s="1" t="s">
        <v>54</v>
      </c>
      <c r="B17" s="2">
        <v>45182</v>
      </c>
      <c r="C17" s="1" t="s">
        <v>11</v>
      </c>
      <c r="D17" s="1" t="s">
        <v>24</v>
      </c>
      <c r="E17" s="1" t="str">
        <f>TRIM(CLEAN(Sheet1[[#This Row],[Category]]))</f>
        <v>Electronics</v>
      </c>
      <c r="F17">
        <v>6</v>
      </c>
      <c r="G17" t="str">
        <f t="shared" si="0"/>
        <v>2. Mid-Market (4-7 Units)</v>
      </c>
      <c r="H17">
        <v>6</v>
      </c>
      <c r="I17">
        <v>35.46</v>
      </c>
      <c r="J17">
        <f>IF(ISBLANK(I17), ROUND(I17/ABS(VALUE(_xlfn.TEXTBEFORE(F17&amp;" ", " "))), 2), ABS(VALUE(SUBSTITUTE(I17, "$", ""))))</f>
        <v>35.46</v>
      </c>
      <c r="K17">
        <f>ROUND(Sheet1[[#This Row],[CleanedUnits_sold]]*Sheet1[[#This Row],[Cleaned_Unit_Price]],2)</f>
        <v>212.76</v>
      </c>
      <c r="L17">
        <v>212.76</v>
      </c>
      <c r="M17" s="1" t="s">
        <v>55</v>
      </c>
      <c r="N17" s="1" t="s">
        <v>26</v>
      </c>
      <c r="O17" s="1" t="s">
        <v>55</v>
      </c>
      <c r="Q17">
        <f>AVERAGEIF(Sheet1[Region],C1164,Sheet1[Cleaned_total_amount])</f>
        <v>1119.0486923076921</v>
      </c>
      <c r="R17" t="s">
        <v>2284</v>
      </c>
    </row>
    <row r="18" spans="1:20" x14ac:dyDescent="0.35">
      <c r="A18" s="1" t="s">
        <v>56</v>
      </c>
      <c r="B18" s="2">
        <v>45256</v>
      </c>
      <c r="C18" s="1" t="s">
        <v>11</v>
      </c>
      <c r="D18" s="1" t="s">
        <v>12</v>
      </c>
      <c r="E18" s="1" t="str">
        <f>TRIM(CLEAN(Sheet1[[#This Row],[Category]]))</f>
        <v>Office Supplies</v>
      </c>
      <c r="F18">
        <v>6</v>
      </c>
      <c r="G18" t="str">
        <f t="shared" si="0"/>
        <v>2. Mid-Market (4-7 Units)</v>
      </c>
      <c r="H18">
        <v>6</v>
      </c>
      <c r="I18">
        <v>431.28</v>
      </c>
      <c r="J18">
        <f>IF(ISBLANK(I18), ROUND(I18/ABS(VALUE(_xlfn.TEXTBEFORE(F18&amp;" ", " "))), 2), ABS(VALUE(SUBSTITUTE(I18, "$", ""))))</f>
        <v>431.28</v>
      </c>
      <c r="K18">
        <f>ROUND(Sheet1[[#This Row],[CleanedUnits_sold]]*Sheet1[[#This Row],[Cleaned_Unit_Price]],2)</f>
        <v>2587.6799999999998</v>
      </c>
      <c r="L18">
        <v>2587.6799999999998</v>
      </c>
      <c r="M18" s="1" t="s">
        <v>49</v>
      </c>
      <c r="N18" s="1" t="s">
        <v>38</v>
      </c>
      <c r="O18" s="1" t="s">
        <v>51</v>
      </c>
    </row>
    <row r="19" spans="1:20" x14ac:dyDescent="0.35">
      <c r="A19" s="1" t="s">
        <v>57</v>
      </c>
      <c r="B19" s="2">
        <v>1</v>
      </c>
      <c r="C19" s="1" t="s">
        <v>58</v>
      </c>
      <c r="D19" s="1" t="s">
        <v>12</v>
      </c>
      <c r="E19" s="1" t="str">
        <f>TRIM(CLEAN(Sheet1[[#This Row],[Category]]))</f>
        <v>Office Supplies</v>
      </c>
      <c r="F19">
        <v>1</v>
      </c>
      <c r="G19" t="str">
        <f t="shared" si="0"/>
        <v>1. Retail (1-3 Units)</v>
      </c>
      <c r="H19">
        <v>1</v>
      </c>
      <c r="I19">
        <v>234.54</v>
      </c>
      <c r="J19">
        <f>IF(ISBLANK(I19), ROUND(I19/ABS(VALUE(_xlfn.TEXTBEFORE(F19&amp;" ", " "))), 2), ABS(VALUE(SUBSTITUTE(I19, "$", ""))))</f>
        <v>234.54</v>
      </c>
      <c r="K19">
        <f>ROUND(Sheet1[[#This Row],[CleanedUnits_sold]]*Sheet1[[#This Row],[Cleaned_Unit_Price]],2)</f>
        <v>234.54</v>
      </c>
      <c r="L19">
        <v>234.54</v>
      </c>
      <c r="M19" s="1" t="s">
        <v>59</v>
      </c>
      <c r="N19" s="1" t="s">
        <v>14</v>
      </c>
      <c r="O19" s="1" t="s">
        <v>59</v>
      </c>
      <c r="Q19" t="s">
        <v>2297</v>
      </c>
    </row>
    <row r="20" spans="1:20" x14ac:dyDescent="0.35">
      <c r="A20" s="1" t="s">
        <v>60</v>
      </c>
      <c r="B20" s="2">
        <v>45202</v>
      </c>
      <c r="C20" s="1" t="s">
        <v>16</v>
      </c>
      <c r="D20" s="1" t="s">
        <v>32</v>
      </c>
      <c r="E20" s="1" t="str">
        <f>TRIM(CLEAN(Sheet1[[#This Row],[Category]]))</f>
        <v>Furniture</v>
      </c>
      <c r="F20">
        <v>7</v>
      </c>
      <c r="G20" t="str">
        <f t="shared" si="0"/>
        <v>2. Mid-Market (4-7 Units)</v>
      </c>
      <c r="H20">
        <v>7</v>
      </c>
      <c r="I20">
        <v>138.58000000000001</v>
      </c>
      <c r="J20">
        <f>IF(ISBLANK(I20), ROUND(I20/ABS(VALUE(_xlfn.TEXTBEFORE(F20&amp;" ", " "))), 2), ABS(VALUE(SUBSTITUTE(I20, "$", ""))))</f>
        <v>138.58000000000001</v>
      </c>
      <c r="K20">
        <f>ROUND(Sheet1[[#This Row],[CleanedUnits_sold]]*Sheet1[[#This Row],[Cleaned_Unit_Price]],2)</f>
        <v>970.06</v>
      </c>
      <c r="L20">
        <v>970.06</v>
      </c>
      <c r="M20" s="1" t="s">
        <v>61</v>
      </c>
      <c r="N20" s="1" t="s">
        <v>38</v>
      </c>
      <c r="O20" s="1" t="s">
        <v>61</v>
      </c>
      <c r="Q20">
        <f>AVERAGEIF(Sheet1[Payment_Method],N1173,Sheet1[Cleaned_total_amount])</f>
        <v>1203.5550260416665</v>
      </c>
      <c r="R20" t="s">
        <v>14</v>
      </c>
    </row>
    <row r="21" spans="1:20" x14ac:dyDescent="0.35">
      <c r="A21" s="1" t="s">
        <v>62</v>
      </c>
      <c r="B21" s="2">
        <v>45146</v>
      </c>
      <c r="C21" s="1" t="s">
        <v>16</v>
      </c>
      <c r="D21" s="1" t="s">
        <v>32</v>
      </c>
      <c r="E21" s="1" t="str">
        <f>TRIM(CLEAN(Sheet1[[#This Row],[Category]]))</f>
        <v>Furniture</v>
      </c>
      <c r="F21">
        <v>2</v>
      </c>
      <c r="G21" t="str">
        <f t="shared" si="0"/>
        <v>1. Retail (1-3 Units)</v>
      </c>
      <c r="H21">
        <v>2</v>
      </c>
      <c r="I21">
        <v>128.46</v>
      </c>
      <c r="J21">
        <f>IF(ISBLANK(I21), ROUND(I21/ABS(VALUE(_xlfn.TEXTBEFORE(F21&amp;" ", " "))), 2), ABS(VALUE(SUBSTITUTE(I21, "$", ""))))</f>
        <v>128.46</v>
      </c>
      <c r="K21">
        <f>ROUND(Sheet1[[#This Row],[CleanedUnits_sold]]*Sheet1[[#This Row],[Cleaned_Unit_Price]],2)</f>
        <v>256.92</v>
      </c>
      <c r="L21">
        <v>623.42999999999995</v>
      </c>
      <c r="M21" s="1" t="s">
        <v>63</v>
      </c>
      <c r="N21" s="1" t="s">
        <v>14</v>
      </c>
      <c r="O21" s="1" t="s">
        <v>63</v>
      </c>
      <c r="Q21">
        <f>AVERAGEIF(Sheet1[Payment_Method],N1152,Sheet1[Cleaned_total_amount])</f>
        <v>1128.4261029411766</v>
      </c>
      <c r="R21" t="s">
        <v>38</v>
      </c>
    </row>
    <row r="22" spans="1:20" x14ac:dyDescent="0.35">
      <c r="A22" s="1" t="s">
        <v>64</v>
      </c>
      <c r="B22" s="2">
        <v>44997</v>
      </c>
      <c r="C22" s="1" t="s">
        <v>16</v>
      </c>
      <c r="D22" s="1" t="s">
        <v>12</v>
      </c>
      <c r="E22" s="1" t="str">
        <f>TRIM(CLEAN(Sheet1[[#This Row],[Category]]))</f>
        <v>Office Supplies</v>
      </c>
      <c r="F22">
        <v>11</v>
      </c>
      <c r="G22" t="str">
        <f t="shared" si="0"/>
        <v>3. Wholesale / Bulk (8+ Units)</v>
      </c>
      <c r="H22">
        <v>11</v>
      </c>
      <c r="I22">
        <v>246.68</v>
      </c>
      <c r="J22">
        <f>IF(ISBLANK(I22), ROUND(I22/ABS(VALUE(_xlfn.TEXTBEFORE(F22&amp;" ", " "))), 2), ABS(VALUE(SUBSTITUTE(I22, "$", ""))))</f>
        <v>246.68</v>
      </c>
      <c r="K22">
        <f>ROUND(Sheet1[[#This Row],[CleanedUnits_sold]]*Sheet1[[#This Row],[Cleaned_Unit_Price]],2)</f>
        <v>2713.48</v>
      </c>
      <c r="L22">
        <v>2713.48</v>
      </c>
      <c r="M22" s="1" t="s">
        <v>65</v>
      </c>
      <c r="N22" s="1" t="s">
        <v>38</v>
      </c>
      <c r="O22" s="1" t="s">
        <v>65</v>
      </c>
      <c r="Q22">
        <f ca="1">AVERAGEIF(Sheet1[Payment_Method],N1171,Sheet1[[#Headers],[Cleaned_total_amount]])</f>
        <v>1291.4326562499998</v>
      </c>
      <c r="R22" t="s">
        <v>2298</v>
      </c>
    </row>
    <row r="23" spans="1:20" x14ac:dyDescent="0.35">
      <c r="A23" s="1" t="s">
        <v>66</v>
      </c>
      <c r="B23" s="2">
        <v>1</v>
      </c>
      <c r="C23" s="1" t="s">
        <v>16</v>
      </c>
      <c r="D23" s="1" t="s">
        <v>12</v>
      </c>
      <c r="E23" s="1" t="str">
        <f>TRIM(CLEAN(Sheet1[[#This Row],[Category]]))</f>
        <v>Office Supplies</v>
      </c>
      <c r="F23">
        <v>4</v>
      </c>
      <c r="G23" t="str">
        <f t="shared" si="0"/>
        <v>2. Mid-Market (4-7 Units)</v>
      </c>
      <c r="H23">
        <v>4</v>
      </c>
      <c r="I23">
        <v>444.55</v>
      </c>
      <c r="J23">
        <f>IF(ISBLANK(I23), ROUND(I23/ABS(VALUE(_xlfn.TEXTBEFORE(F23&amp;" ", " "))), 2), ABS(VALUE(SUBSTITUTE(I23, "$", ""))))</f>
        <v>444.55</v>
      </c>
      <c r="K23">
        <f>ROUND(Sheet1[[#This Row],[CleanedUnits_sold]]*Sheet1[[#This Row],[Cleaned_Unit_Price]],2)</f>
        <v>1778.2</v>
      </c>
      <c r="L23">
        <v>1778.2</v>
      </c>
      <c r="M23" s="1" t="s">
        <v>67</v>
      </c>
      <c r="N23" s="1" t="s">
        <v>26</v>
      </c>
      <c r="O23" s="1" t="s">
        <v>67</v>
      </c>
      <c r="Q23">
        <f>AVERAGEIF(Sheet1[Payment_Method],N1162,Sheet1[Cleaned_total_amount])</f>
        <v>1187.0164705882346</v>
      </c>
      <c r="R23" t="s">
        <v>50</v>
      </c>
    </row>
    <row r="24" spans="1:20" x14ac:dyDescent="0.35">
      <c r="A24" s="1" t="s">
        <v>68</v>
      </c>
      <c r="B24" s="2">
        <v>1</v>
      </c>
      <c r="C24" s="1" t="s">
        <v>23</v>
      </c>
      <c r="D24" s="1" t="s">
        <v>24</v>
      </c>
      <c r="E24" s="1" t="str">
        <f>TRIM(CLEAN(Sheet1[[#This Row],[Category]]))</f>
        <v>Electronics</v>
      </c>
      <c r="F24">
        <v>9999</v>
      </c>
      <c r="G24" t="str">
        <f t="shared" si="0"/>
        <v>2. Mid-Market (4-7 Units)</v>
      </c>
      <c r="H24">
        <v>5</v>
      </c>
      <c r="I24">
        <v>195.39</v>
      </c>
      <c r="J24">
        <f>IF(ISBLANK(I24), ROUND(I24/ABS(VALUE(_xlfn.TEXTBEFORE(F24&amp;" ", " "))), 2), ABS(VALUE(SUBSTITUTE(I24, "$", ""))))</f>
        <v>195.39</v>
      </c>
      <c r="K24">
        <f>ROUND(Sheet1[[#This Row],[CleanedUnits_sold]]*Sheet1[[#This Row],[Cleaned_Unit_Price]],2)</f>
        <v>976.95</v>
      </c>
      <c r="L24">
        <v>586.16999999999996</v>
      </c>
      <c r="M24" s="1" t="s">
        <v>69</v>
      </c>
      <c r="N24" s="1" t="s">
        <v>14</v>
      </c>
      <c r="O24" s="1" t="s">
        <v>69</v>
      </c>
      <c r="Q24">
        <f>AVERAGEIF(Sheet1[Payment_Method],N1170,Sheet1[Total_Amount])</f>
        <v>1254.3499999999995</v>
      </c>
      <c r="R24" t="s">
        <v>21</v>
      </c>
    </row>
    <row r="25" spans="1:20" x14ac:dyDescent="0.35">
      <c r="A25" s="1" t="s">
        <v>70</v>
      </c>
      <c r="B25" s="2">
        <v>1</v>
      </c>
      <c r="C25" s="1" t="s">
        <v>19</v>
      </c>
      <c r="D25" s="1" t="s">
        <v>24</v>
      </c>
      <c r="E25" s="1" t="str">
        <f>TRIM(CLEAN(Sheet1[[#This Row],[Category]]))</f>
        <v>Electronics</v>
      </c>
      <c r="F25">
        <v>8</v>
      </c>
      <c r="G25" t="str">
        <f t="shared" si="0"/>
        <v>3. Wholesale / Bulk (8+ Units)</v>
      </c>
      <c r="H25">
        <v>8</v>
      </c>
      <c r="I25">
        <v>377.37</v>
      </c>
      <c r="J25">
        <f>IF(ISBLANK(I25), ROUND(I25/ABS(VALUE(_xlfn.TEXTBEFORE(F25&amp;" ", " "))), 2), ABS(VALUE(SUBSTITUTE(I25, "$", ""))))</f>
        <v>377.37</v>
      </c>
      <c r="K25">
        <f>ROUND(Sheet1[[#This Row],[CleanedUnits_sold]]*Sheet1[[#This Row],[Cleaned_Unit_Price]],2)</f>
        <v>3018.96</v>
      </c>
      <c r="L25">
        <v>3018.96</v>
      </c>
      <c r="M25" s="1" t="s">
        <v>71</v>
      </c>
      <c r="N25" s="1" t="s">
        <v>21</v>
      </c>
      <c r="O25" s="1" t="s">
        <v>71</v>
      </c>
    </row>
    <row r="26" spans="1:20" x14ac:dyDescent="0.35">
      <c r="A26" s="1" t="s">
        <v>72</v>
      </c>
      <c r="B26" s="2">
        <v>45143</v>
      </c>
      <c r="C26" s="1" t="s">
        <v>23</v>
      </c>
      <c r="D26" s="1" t="s">
        <v>46</v>
      </c>
      <c r="E26" s="1" t="str">
        <f>TRIM(CLEAN(Sheet1[[#This Row],[Category]]))</f>
        <v>Furniture</v>
      </c>
      <c r="F26">
        <v>3</v>
      </c>
      <c r="G26" t="str">
        <f t="shared" si="0"/>
        <v>1. Retail (1-3 Units)</v>
      </c>
      <c r="H26">
        <v>3</v>
      </c>
      <c r="I26">
        <v>57.44</v>
      </c>
      <c r="J26">
        <f>IF(ISBLANK(I26), ROUND(I26/ABS(VALUE(_xlfn.TEXTBEFORE(F26&amp;" ", " "))), 2), ABS(VALUE(SUBSTITUTE(I26, "$", ""))))</f>
        <v>57.44</v>
      </c>
      <c r="K26">
        <f>ROUND(Sheet1[[#This Row],[CleanedUnits_sold]]*Sheet1[[#This Row],[Cleaned_Unit_Price]],2)</f>
        <v>172.32</v>
      </c>
      <c r="L26">
        <v>172.32</v>
      </c>
      <c r="M26" s="1" t="s">
        <v>73</v>
      </c>
      <c r="N26" s="1" t="s">
        <v>26</v>
      </c>
      <c r="O26" s="1" t="s">
        <v>73</v>
      </c>
      <c r="Q26" t="s">
        <v>2315</v>
      </c>
      <c r="T26" t="s">
        <v>2325</v>
      </c>
    </row>
    <row r="27" spans="1:20" x14ac:dyDescent="0.35">
      <c r="A27" s="1" t="s">
        <v>74</v>
      </c>
      <c r="B27" s="2">
        <v>45232</v>
      </c>
      <c r="C27" s="1" t="s">
        <v>58</v>
      </c>
      <c r="D27" s="1" t="s">
        <v>12</v>
      </c>
      <c r="E27" s="1" t="str">
        <f>TRIM(CLEAN(Sheet1[[#This Row],[Category]]))</f>
        <v>Office Supplies</v>
      </c>
      <c r="F27">
        <v>3</v>
      </c>
      <c r="G27" t="str">
        <f t="shared" si="0"/>
        <v>1. Retail (1-3 Units)</v>
      </c>
      <c r="H27">
        <v>3</v>
      </c>
      <c r="I27">
        <v>243.27</v>
      </c>
      <c r="J27">
        <f>IF(ISBLANK(I27), ROUND(I27/ABS(VALUE(_xlfn.TEXTBEFORE(F27&amp;" ", " "))), 2), ABS(VALUE(SUBSTITUTE(I27, "$", ""))))</f>
        <v>243.27</v>
      </c>
      <c r="K27">
        <f>ROUND(Sheet1[[#This Row],[CleanedUnits_sold]]*Sheet1[[#This Row],[Cleaned_Unit_Price]],2)</f>
        <v>729.81</v>
      </c>
      <c r="L27">
        <v>729.81</v>
      </c>
      <c r="M27" s="1" t="s">
        <v>75</v>
      </c>
      <c r="N27" s="1" t="s">
        <v>38</v>
      </c>
      <c r="O27" s="1" t="s">
        <v>75</v>
      </c>
      <c r="Q27">
        <f>AVERAGEIF(Sheet1[Market Tier],G1167,Sheet1[Cleaned_total_amount])</f>
        <v>1259.3289192886452</v>
      </c>
      <c r="R27" t="s">
        <v>2316</v>
      </c>
      <c r="T27">
        <f>COUNTIF(Sheet1[Market Tier],G1170)</f>
        <v>731</v>
      </c>
    </row>
    <row r="28" spans="1:20" x14ac:dyDescent="0.35">
      <c r="A28" s="1" t="s">
        <v>76</v>
      </c>
      <c r="B28" s="2">
        <v>45210</v>
      </c>
      <c r="C28" s="1" t="s">
        <v>11</v>
      </c>
      <c r="D28" s="1" t="s">
        <v>24</v>
      </c>
      <c r="E28" s="1" t="str">
        <f>TRIM(CLEAN(Sheet1[[#This Row],[Category]]))</f>
        <v>Electronics</v>
      </c>
      <c r="F28">
        <v>5</v>
      </c>
      <c r="G28" t="str">
        <f t="shared" si="0"/>
        <v>2. Mid-Market (4-7 Units)</v>
      </c>
      <c r="H28">
        <v>5</v>
      </c>
      <c r="I28">
        <v>495.93</v>
      </c>
      <c r="J28">
        <f>IF(ISBLANK(I28), ROUND(I28/ABS(VALUE(_xlfn.TEXTBEFORE(F28&amp;" ", " "))), 2), ABS(VALUE(SUBSTITUTE(I28, "$", ""))))</f>
        <v>495.93</v>
      </c>
      <c r="K28">
        <f>ROUND(Sheet1[[#This Row],[CleanedUnits_sold]]*Sheet1[[#This Row],[Cleaned_Unit_Price]],2)</f>
        <v>2479.65</v>
      </c>
      <c r="M28" s="1" t="s">
        <v>49</v>
      </c>
      <c r="N28" s="1" t="s">
        <v>26</v>
      </c>
      <c r="O28" s="1" t="s">
        <v>51</v>
      </c>
      <c r="Q28">
        <f>AVERAGEIF(Sheet1[Market Tier],G1171,Sheet1[Cleaned_total_amount])</f>
        <v>541.62348122866911</v>
      </c>
      <c r="R28" t="s">
        <v>2317</v>
      </c>
      <c r="T28">
        <f>COUNTIF(Sheet1[Market Tier],G1169)</f>
        <v>293</v>
      </c>
    </row>
    <row r="29" spans="1:20" x14ac:dyDescent="0.35">
      <c r="A29" s="1" t="s">
        <v>77</v>
      </c>
      <c r="B29" s="2">
        <v>44985</v>
      </c>
      <c r="C29" s="1" t="s">
        <v>19</v>
      </c>
      <c r="D29" s="1" t="s">
        <v>24</v>
      </c>
      <c r="E29" s="1" t="str">
        <f>TRIM(CLEAN(Sheet1[[#This Row],[Category]]))</f>
        <v>Electronics</v>
      </c>
      <c r="F29">
        <v>8</v>
      </c>
      <c r="G29" t="str">
        <f t="shared" si="0"/>
        <v>3. Wholesale / Bulk (8+ Units)</v>
      </c>
      <c r="H29">
        <v>8</v>
      </c>
      <c r="I29">
        <v>387.51</v>
      </c>
      <c r="J29">
        <f>IF(ISBLANK(I29), ROUND(I29/ABS(VALUE(_xlfn.TEXTBEFORE(F29&amp;" ", " "))), 2), ABS(VALUE(SUBSTITUTE(I29, "$", ""))))</f>
        <v>387.51</v>
      </c>
      <c r="K29">
        <f>ROUND(Sheet1[[#This Row],[CleanedUnits_sold]]*Sheet1[[#This Row],[Cleaned_Unit_Price]],2)</f>
        <v>3100.08</v>
      </c>
      <c r="L29">
        <v>3100.08</v>
      </c>
      <c r="M29" s="1" t="s">
        <v>78</v>
      </c>
      <c r="N29" s="1" t="s">
        <v>14</v>
      </c>
      <c r="O29" s="1" t="s">
        <v>78</v>
      </c>
      <c r="Q29">
        <f>AVERAGEIF(Sheet1[Market Tier],G1162,Sheet1[Cleaned_total_amount])</f>
        <v>2227.0636551724133</v>
      </c>
      <c r="R29" t="s">
        <v>2318</v>
      </c>
      <c r="T29">
        <f>COUNTIF(Sheet1[Market Tier],G1162)</f>
        <v>145</v>
      </c>
    </row>
    <row r="30" spans="1:20" x14ac:dyDescent="0.35">
      <c r="A30" s="1" t="s">
        <v>79</v>
      </c>
      <c r="B30" s="2">
        <v>45101</v>
      </c>
      <c r="C30" s="1" t="s">
        <v>16</v>
      </c>
      <c r="D30" s="1" t="s">
        <v>46</v>
      </c>
      <c r="E30" s="1" t="str">
        <f>TRIM(CLEAN(Sheet1[[#This Row],[Category]]))</f>
        <v>Furniture</v>
      </c>
      <c r="F30">
        <v>3</v>
      </c>
      <c r="G30" t="str">
        <f t="shared" si="0"/>
        <v>1. Retail (1-3 Units)</v>
      </c>
      <c r="H30">
        <v>3</v>
      </c>
      <c r="I30">
        <v>113.16</v>
      </c>
      <c r="J30">
        <f>IF(ISBLANK(I30), ROUND(I30/ABS(VALUE(_xlfn.TEXTBEFORE(F30&amp;" ", " "))), 2), ABS(VALUE(SUBSTITUTE(I30, "$", ""))))</f>
        <v>113.16</v>
      </c>
      <c r="K30">
        <f>ROUND(Sheet1[[#This Row],[CleanedUnits_sold]]*Sheet1[[#This Row],[Cleaned_Unit_Price]],2)</f>
        <v>339.48</v>
      </c>
      <c r="L30">
        <v>339.48</v>
      </c>
      <c r="M30" s="1" t="s">
        <v>80</v>
      </c>
      <c r="N30" s="1" t="s">
        <v>50</v>
      </c>
      <c r="O30" s="1" t="s">
        <v>80</v>
      </c>
      <c r="Q30">
        <f>AVERAGEIF(Sheet1[Market Tier],G318,Sheet1[Cleaned_Unit_Price])</f>
        <v>248.29714285714289</v>
      </c>
      <c r="R30" t="s">
        <v>2319</v>
      </c>
      <c r="T30">
        <f>COUNTIF(Sheet1[Market Tier],G318)</f>
        <v>7</v>
      </c>
    </row>
    <row r="31" spans="1:20" x14ac:dyDescent="0.35">
      <c r="A31" s="1" t="s">
        <v>81</v>
      </c>
      <c r="B31" s="2">
        <v>45007</v>
      </c>
      <c r="C31" s="1" t="s">
        <v>23</v>
      </c>
      <c r="D31" s="1" t="s">
        <v>12</v>
      </c>
      <c r="E31" s="1" t="str">
        <f>TRIM(CLEAN(Sheet1[[#This Row],[Category]]))</f>
        <v>Office Supplies</v>
      </c>
      <c r="F31">
        <v>2</v>
      </c>
      <c r="G31" t="str">
        <f t="shared" si="0"/>
        <v>1. Retail (1-3 Units)</v>
      </c>
      <c r="H31">
        <v>2</v>
      </c>
      <c r="I31">
        <v>255.71</v>
      </c>
      <c r="J31">
        <f>IF(ISBLANK(I31), ROUND(I31/ABS(VALUE(_xlfn.TEXTBEFORE(F31&amp;" ", " "))), 2), ABS(VALUE(SUBSTITUTE(I31, "$", ""))))</f>
        <v>255.71</v>
      </c>
      <c r="K31">
        <f>ROUND(Sheet1[[#This Row],[CleanedUnits_sold]]*Sheet1[[#This Row],[Cleaned_Unit_Price]],2)</f>
        <v>511.42</v>
      </c>
      <c r="L31">
        <v>511.42</v>
      </c>
      <c r="M31" s="1" t="s">
        <v>82</v>
      </c>
      <c r="N31" s="1" t="s">
        <v>14</v>
      </c>
      <c r="O31" s="1" t="s">
        <v>82</v>
      </c>
    </row>
    <row r="32" spans="1:20" x14ac:dyDescent="0.35">
      <c r="A32" s="1" t="s">
        <v>83</v>
      </c>
      <c r="B32" s="2">
        <v>1</v>
      </c>
      <c r="C32" s="1" t="s">
        <v>19</v>
      </c>
      <c r="D32" s="1" t="s">
        <v>12</v>
      </c>
      <c r="E32" s="1" t="str">
        <f>TRIM(CLEAN(Sheet1[[#This Row],[Category]]))</f>
        <v>Office Supplies</v>
      </c>
      <c r="F32">
        <v>5</v>
      </c>
      <c r="G32" t="str">
        <f t="shared" si="0"/>
        <v>2. Mid-Market (4-7 Units)</v>
      </c>
      <c r="H32">
        <v>5</v>
      </c>
      <c r="I32">
        <v>124.48</v>
      </c>
      <c r="J32">
        <f>IF(ISBLANK(I32), ROUND(I32/ABS(VALUE(_xlfn.TEXTBEFORE(F32&amp;" ", " "))), 2), ABS(VALUE(SUBSTITUTE(I32, "$", ""))))</f>
        <v>124.48</v>
      </c>
      <c r="K32">
        <f>ROUND(Sheet1[[#This Row],[CleanedUnits_sold]]*Sheet1[[#This Row],[Cleaned_Unit_Price]],2)</f>
        <v>622.4</v>
      </c>
      <c r="L32">
        <v>622.4</v>
      </c>
      <c r="M32" s="1" t="s">
        <v>84</v>
      </c>
      <c r="N32" s="1" t="s">
        <v>38</v>
      </c>
      <c r="O32" s="1" t="s">
        <v>85</v>
      </c>
    </row>
    <row r="33" spans="1:15" x14ac:dyDescent="0.35">
      <c r="A33" s="1" t="s">
        <v>86</v>
      </c>
      <c r="B33" s="2">
        <v>1</v>
      </c>
      <c r="C33" s="1" t="s">
        <v>23</v>
      </c>
      <c r="D33" s="1" t="s">
        <v>24</v>
      </c>
      <c r="E33" s="1" t="str">
        <f>TRIM(CLEAN(Sheet1[[#This Row],[Category]]))</f>
        <v>Electronics</v>
      </c>
      <c r="F33">
        <v>5</v>
      </c>
      <c r="G33" t="str">
        <f t="shared" si="0"/>
        <v>2. Mid-Market (4-7 Units)</v>
      </c>
      <c r="H33">
        <v>5</v>
      </c>
      <c r="I33">
        <v>210.68</v>
      </c>
      <c r="J33">
        <f>IF(ISBLANK(I33), ROUND(I33/ABS(VALUE(_xlfn.TEXTBEFORE(F33&amp;" ", " "))), 2), ABS(VALUE(SUBSTITUTE(I33, "$", ""))))</f>
        <v>210.68</v>
      </c>
      <c r="K33">
        <f>ROUND(Sheet1[[#This Row],[CleanedUnits_sold]]*Sheet1[[#This Row],[Cleaned_Unit_Price]],2)</f>
        <v>1053.4000000000001</v>
      </c>
      <c r="L33">
        <v>632.04</v>
      </c>
      <c r="M33" s="1" t="s">
        <v>84</v>
      </c>
      <c r="N33" s="1" t="s">
        <v>26</v>
      </c>
      <c r="O33" s="1" t="s">
        <v>85</v>
      </c>
    </row>
    <row r="34" spans="1:15" x14ac:dyDescent="0.35">
      <c r="A34" s="1" t="s">
        <v>87</v>
      </c>
      <c r="B34" s="2">
        <v>44981</v>
      </c>
      <c r="C34" s="1" t="s">
        <v>19</v>
      </c>
      <c r="D34" s="1" t="s">
        <v>24</v>
      </c>
      <c r="E34" s="1" t="str">
        <f>TRIM(CLEAN(Sheet1[[#This Row],[Category]]))</f>
        <v>Electronics</v>
      </c>
      <c r="F34">
        <v>8</v>
      </c>
      <c r="G34" t="str">
        <f t="shared" si="0"/>
        <v>3. Wholesale / Bulk (8+ Units)</v>
      </c>
      <c r="H34">
        <v>8</v>
      </c>
      <c r="I34">
        <v>392.24</v>
      </c>
      <c r="J34">
        <f>IF(ISBLANK(I34), ROUND(I34/ABS(VALUE(_xlfn.TEXTBEFORE(F34&amp;" ", " "))), 2), ABS(VALUE(SUBSTITUTE(I34, "$", ""))))</f>
        <v>392.24</v>
      </c>
      <c r="K34">
        <f>ROUND(Sheet1[[#This Row],[CleanedUnits_sold]]*Sheet1[[#This Row],[Cleaned_Unit_Price]],2)</f>
        <v>3137.92</v>
      </c>
      <c r="L34">
        <v>3137.92</v>
      </c>
      <c r="M34" s="1" t="s">
        <v>88</v>
      </c>
      <c r="N34" s="1" t="s">
        <v>38</v>
      </c>
      <c r="O34" s="1" t="s">
        <v>88</v>
      </c>
    </row>
    <row r="35" spans="1:15" x14ac:dyDescent="0.35">
      <c r="A35" s="1" t="s">
        <v>89</v>
      </c>
      <c r="B35" s="2">
        <v>1</v>
      </c>
      <c r="C35" s="1" t="s">
        <v>19</v>
      </c>
      <c r="D35" s="1" t="s">
        <v>12</v>
      </c>
      <c r="E35" s="1" t="str">
        <f>TRIM(CLEAN(Sheet1[[#This Row],[Category]]))</f>
        <v>Office Supplies</v>
      </c>
      <c r="F35">
        <v>10</v>
      </c>
      <c r="G35" t="str">
        <f t="shared" si="0"/>
        <v>3. Wholesale / Bulk (8+ Units)</v>
      </c>
      <c r="H35">
        <v>10</v>
      </c>
      <c r="I35">
        <v>387.9</v>
      </c>
      <c r="J35">
        <f>IF(ISBLANK(I35), ROUND(I35/ABS(VALUE(_xlfn.TEXTBEFORE(F35&amp;" ", " "))), 2), ABS(VALUE(SUBSTITUTE(I35, "$", ""))))</f>
        <v>387.9</v>
      </c>
      <c r="K35">
        <f>ROUND(Sheet1[[#This Row],[CleanedUnits_sold]]*Sheet1[[#This Row],[Cleaned_Unit_Price]],2)</f>
        <v>3879</v>
      </c>
      <c r="L35">
        <v>3879</v>
      </c>
      <c r="M35" s="1" t="s">
        <v>90</v>
      </c>
      <c r="N35" s="1" t="s">
        <v>14</v>
      </c>
      <c r="O35" s="1" t="s">
        <v>90</v>
      </c>
    </row>
    <row r="36" spans="1:15" x14ac:dyDescent="0.35">
      <c r="A36" s="1" t="s">
        <v>91</v>
      </c>
      <c r="B36" s="2">
        <v>45009</v>
      </c>
      <c r="C36" s="1" t="s">
        <v>58</v>
      </c>
      <c r="D36" s="1" t="s">
        <v>24</v>
      </c>
      <c r="E36" s="1" t="str">
        <f>TRIM(CLEAN(Sheet1[[#This Row],[Category]]))</f>
        <v>Electronics</v>
      </c>
      <c r="F36">
        <v>3</v>
      </c>
      <c r="G36" t="str">
        <f t="shared" si="0"/>
        <v>1. Retail (1-3 Units)</v>
      </c>
      <c r="H36">
        <v>3</v>
      </c>
      <c r="I36">
        <v>121.77</v>
      </c>
      <c r="J36">
        <f>IF(ISBLANK(I36), ROUND(I36/ABS(VALUE(_xlfn.TEXTBEFORE(F36&amp;" ", " "))), 2), ABS(VALUE(SUBSTITUTE(I36, "$", ""))))</f>
        <v>121.77</v>
      </c>
      <c r="K36">
        <f>ROUND(Sheet1[[#This Row],[CleanedUnits_sold]]*Sheet1[[#This Row],[Cleaned_Unit_Price]],2)</f>
        <v>365.31</v>
      </c>
      <c r="L36">
        <v>365.31</v>
      </c>
      <c r="M36" s="1" t="s">
        <v>92</v>
      </c>
      <c r="N36" s="1" t="s">
        <v>26</v>
      </c>
      <c r="O36" s="1" t="s">
        <v>92</v>
      </c>
    </row>
    <row r="37" spans="1:15" x14ac:dyDescent="0.35">
      <c r="A37" s="1" t="s">
        <v>93</v>
      </c>
      <c r="B37" s="2">
        <v>45177</v>
      </c>
      <c r="C37" s="1" t="s">
        <v>11</v>
      </c>
      <c r="D37" s="1" t="s">
        <v>24</v>
      </c>
      <c r="E37" s="1" t="str">
        <f>TRIM(CLEAN(Sheet1[[#This Row],[Category]]))</f>
        <v>Electronics</v>
      </c>
      <c r="F37">
        <v>2</v>
      </c>
      <c r="G37" t="str">
        <f t="shared" si="0"/>
        <v>1. Retail (1-3 Units)</v>
      </c>
      <c r="H37">
        <v>2</v>
      </c>
      <c r="I37">
        <v>461.89</v>
      </c>
      <c r="J37">
        <f>IF(ISBLANK(I37), ROUND(I37/ABS(VALUE(_xlfn.TEXTBEFORE(F37&amp;" ", " "))), 2), ABS(VALUE(SUBSTITUTE(I37, "$", ""))))</f>
        <v>461.89</v>
      </c>
      <c r="K37">
        <f>ROUND(Sheet1[[#This Row],[CleanedUnits_sold]]*Sheet1[[#This Row],[Cleaned_Unit_Price]],2)</f>
        <v>923.78</v>
      </c>
      <c r="L37">
        <v>923.78</v>
      </c>
      <c r="M37" s="1" t="s">
        <v>94</v>
      </c>
      <c r="N37" s="1" t="s">
        <v>50</v>
      </c>
      <c r="O37" s="1" t="s">
        <v>94</v>
      </c>
    </row>
    <row r="38" spans="1:15" x14ac:dyDescent="0.35">
      <c r="A38" s="1" t="s">
        <v>95</v>
      </c>
      <c r="B38" s="2">
        <v>45112</v>
      </c>
      <c r="C38" s="1" t="s">
        <v>19</v>
      </c>
      <c r="D38" s="1" t="s">
        <v>24</v>
      </c>
      <c r="E38" s="1" t="str">
        <f>TRIM(CLEAN(Sheet1[[#This Row],[Category]]))</f>
        <v>Electronics</v>
      </c>
      <c r="F38">
        <v>5</v>
      </c>
      <c r="G38" t="str">
        <f t="shared" si="0"/>
        <v>2. Mid-Market (4-7 Units)</v>
      </c>
      <c r="H38">
        <v>5</v>
      </c>
      <c r="I38">
        <v>300.36</v>
      </c>
      <c r="J38">
        <f>IF(ISBLANK(I38), ROUND(I38/ABS(VALUE(_xlfn.TEXTBEFORE(F38&amp;" ", " "))), 2), ABS(VALUE(SUBSTITUTE(I38, "$", ""))))</f>
        <v>300.36</v>
      </c>
      <c r="K38">
        <f>ROUND(Sheet1[[#This Row],[CleanedUnits_sold]]*Sheet1[[#This Row],[Cleaned_Unit_Price]],2)</f>
        <v>1501.8</v>
      </c>
      <c r="L38">
        <v>1501.8</v>
      </c>
      <c r="M38" s="1" t="s">
        <v>96</v>
      </c>
      <c r="N38" s="1" t="s">
        <v>26</v>
      </c>
      <c r="O38" s="1" t="s">
        <v>96</v>
      </c>
    </row>
    <row r="39" spans="1:15" x14ac:dyDescent="0.35">
      <c r="A39" s="1" t="s">
        <v>97</v>
      </c>
      <c r="B39" s="2">
        <v>45050</v>
      </c>
      <c r="C39" s="1" t="s">
        <v>11</v>
      </c>
      <c r="D39" s="1" t="s">
        <v>12</v>
      </c>
      <c r="E39" s="1" t="str">
        <f>TRIM(CLEAN(Sheet1[[#This Row],[Category]]))</f>
        <v>Office Supplies</v>
      </c>
      <c r="F39">
        <v>7</v>
      </c>
      <c r="G39" t="str">
        <f t="shared" si="0"/>
        <v>2. Mid-Market (4-7 Units)</v>
      </c>
      <c r="H39">
        <v>7</v>
      </c>
      <c r="I39">
        <v>196.16</v>
      </c>
      <c r="J39">
        <f>IF(ISBLANK(I39), ROUND(I39/ABS(VALUE(_xlfn.TEXTBEFORE(F39&amp;" ", " "))), 2), ABS(VALUE(SUBSTITUTE(I39, "$", ""))))</f>
        <v>196.16</v>
      </c>
      <c r="K39">
        <f>ROUND(Sheet1[[#This Row],[CleanedUnits_sold]]*Sheet1[[#This Row],[Cleaned_Unit_Price]],2)</f>
        <v>1373.12</v>
      </c>
      <c r="L39">
        <v>1373.12</v>
      </c>
      <c r="M39" s="1" t="s">
        <v>98</v>
      </c>
      <c r="N39" s="1" t="s">
        <v>38</v>
      </c>
      <c r="O39" s="1" t="s">
        <v>98</v>
      </c>
    </row>
    <row r="40" spans="1:15" x14ac:dyDescent="0.35">
      <c r="A40" s="1" t="s">
        <v>99</v>
      </c>
      <c r="B40" s="2">
        <v>1</v>
      </c>
      <c r="C40" s="1" t="s">
        <v>16</v>
      </c>
      <c r="D40" s="1" t="s">
        <v>12</v>
      </c>
      <c r="E40" s="1" t="str">
        <f>TRIM(CLEAN(Sheet1[[#This Row],[Category]]))</f>
        <v>Office Supplies</v>
      </c>
      <c r="F40">
        <v>6</v>
      </c>
      <c r="G40" t="str">
        <f t="shared" si="0"/>
        <v>2. Mid-Market (4-7 Units)</v>
      </c>
      <c r="H40">
        <v>6</v>
      </c>
      <c r="I40">
        <v>255.95</v>
      </c>
      <c r="J40">
        <f>IF(ISBLANK(I40), ROUND(I40/ABS(VALUE(_xlfn.TEXTBEFORE(F40&amp;" ", " "))), 2), ABS(VALUE(SUBSTITUTE(I40, "$", ""))))</f>
        <v>255.95</v>
      </c>
      <c r="K40">
        <f>ROUND(Sheet1[[#This Row],[CleanedUnits_sold]]*Sheet1[[#This Row],[Cleaned_Unit_Price]],2)</f>
        <v>1535.7</v>
      </c>
      <c r="L40">
        <v>1535.7</v>
      </c>
      <c r="M40" s="1" t="s">
        <v>100</v>
      </c>
      <c r="N40" s="1" t="s">
        <v>14</v>
      </c>
      <c r="O40" s="1" t="s">
        <v>100</v>
      </c>
    </row>
    <row r="41" spans="1:15" x14ac:dyDescent="0.35">
      <c r="A41" s="1" t="s">
        <v>101</v>
      </c>
      <c r="B41" s="2">
        <v>45048</v>
      </c>
      <c r="C41" s="1" t="s">
        <v>23</v>
      </c>
      <c r="D41" s="1" t="s">
        <v>24</v>
      </c>
      <c r="E41" s="1" t="str">
        <f>TRIM(CLEAN(Sheet1[[#This Row],[Category]]))</f>
        <v>Electronics</v>
      </c>
      <c r="F41">
        <v>6</v>
      </c>
      <c r="G41" t="str">
        <f t="shared" si="0"/>
        <v>2. Mid-Market (4-7 Units)</v>
      </c>
      <c r="H41">
        <v>6</v>
      </c>
      <c r="I41">
        <v>306.48</v>
      </c>
      <c r="J41">
        <f>IF(ISBLANK(I41), ROUND(I41/ABS(VALUE(_xlfn.TEXTBEFORE(F41&amp;" ", " "))), 2), ABS(VALUE(SUBSTITUTE(I41, "$", ""))))</f>
        <v>306.48</v>
      </c>
      <c r="K41">
        <f>ROUND(Sheet1[[#This Row],[CleanedUnits_sold]]*Sheet1[[#This Row],[Cleaned_Unit_Price]],2)</f>
        <v>1838.88</v>
      </c>
      <c r="L41">
        <v>1838.88</v>
      </c>
      <c r="M41" s="1" t="s">
        <v>102</v>
      </c>
      <c r="N41" s="1" t="s">
        <v>50</v>
      </c>
      <c r="O41" s="1" t="s">
        <v>102</v>
      </c>
    </row>
    <row r="42" spans="1:15" x14ac:dyDescent="0.35">
      <c r="A42" s="1" t="s">
        <v>103</v>
      </c>
      <c r="B42" s="2">
        <v>44935</v>
      </c>
      <c r="C42" s="1" t="s">
        <v>16</v>
      </c>
      <c r="D42" s="1" t="s">
        <v>24</v>
      </c>
      <c r="E42" s="1" t="str">
        <f>TRIM(CLEAN(Sheet1[[#This Row],[Category]]))</f>
        <v>Electronics</v>
      </c>
      <c r="F42">
        <v>2</v>
      </c>
      <c r="G42" t="str">
        <f t="shared" si="0"/>
        <v>1. Retail (1-3 Units)</v>
      </c>
      <c r="H42">
        <v>2</v>
      </c>
      <c r="I42">
        <v>284.35000000000002</v>
      </c>
      <c r="J42">
        <f>IF(ISBLANK(I42), ROUND(I42/ABS(VALUE(_xlfn.TEXTBEFORE(F42&amp;" ", " "))), 2), ABS(VALUE(SUBSTITUTE(I42, "$", ""))))</f>
        <v>284.35000000000002</v>
      </c>
      <c r="K42">
        <f>ROUND(Sheet1[[#This Row],[CleanedUnits_sold]]*Sheet1[[#This Row],[Cleaned_Unit_Price]],2)</f>
        <v>568.70000000000005</v>
      </c>
      <c r="L42">
        <v>568.70000000000005</v>
      </c>
      <c r="M42" s="1" t="s">
        <v>104</v>
      </c>
      <c r="N42" s="1" t="s">
        <v>21</v>
      </c>
      <c r="O42" s="1" t="s">
        <v>104</v>
      </c>
    </row>
    <row r="43" spans="1:15" x14ac:dyDescent="0.35">
      <c r="A43" s="1" t="s">
        <v>105</v>
      </c>
      <c r="B43" s="2">
        <v>45237</v>
      </c>
      <c r="C43" s="1" t="s">
        <v>19</v>
      </c>
      <c r="D43" s="1" t="s">
        <v>32</v>
      </c>
      <c r="E43" s="1" t="str">
        <f>TRIM(CLEAN(Sheet1[[#This Row],[Category]]))</f>
        <v>Furniture</v>
      </c>
      <c r="F43">
        <v>4</v>
      </c>
      <c r="G43" t="str">
        <f t="shared" si="0"/>
        <v>2. Mid-Market (4-7 Units)</v>
      </c>
      <c r="H43">
        <v>4</v>
      </c>
      <c r="I43">
        <v>248.34</v>
      </c>
      <c r="J43">
        <f>IF(ISBLANK(I43), ROUND(I43/ABS(VALUE(_xlfn.TEXTBEFORE(F43&amp;" ", " "))), 2), ABS(VALUE(SUBSTITUTE(I43, "$", ""))))</f>
        <v>248.34</v>
      </c>
      <c r="K43">
        <f>ROUND(Sheet1[[#This Row],[CleanedUnits_sold]]*Sheet1[[#This Row],[Cleaned_Unit_Price]],2)</f>
        <v>993.36</v>
      </c>
      <c r="L43">
        <v>1050.43</v>
      </c>
      <c r="M43" s="1" t="s">
        <v>84</v>
      </c>
      <c r="N43" s="1" t="s">
        <v>38</v>
      </c>
      <c r="O43" s="1" t="s">
        <v>85</v>
      </c>
    </row>
    <row r="44" spans="1:15" x14ac:dyDescent="0.35">
      <c r="A44" s="1" t="s">
        <v>106</v>
      </c>
      <c r="B44" s="2">
        <v>45026</v>
      </c>
      <c r="C44" s="1" t="s">
        <v>58</v>
      </c>
      <c r="D44" s="1" t="s">
        <v>46</v>
      </c>
      <c r="E44" s="1" t="str">
        <f>TRIM(CLEAN(Sheet1[[#This Row],[Category]]))</f>
        <v>Furniture</v>
      </c>
      <c r="F44">
        <v>9</v>
      </c>
      <c r="G44" t="str">
        <f t="shared" si="0"/>
        <v>3. Wholesale / Bulk (8+ Units)</v>
      </c>
      <c r="H44">
        <v>9</v>
      </c>
      <c r="I44">
        <v>257.42</v>
      </c>
      <c r="J44">
        <f>IF(ISBLANK(I44), ROUND(I44/ABS(VALUE(_xlfn.TEXTBEFORE(F44&amp;" ", " "))), 2), ABS(VALUE(SUBSTITUTE(I44, "$", ""))))</f>
        <v>257.42</v>
      </c>
      <c r="K44">
        <f>ROUND(Sheet1[[#This Row],[CleanedUnits_sold]]*Sheet1[[#This Row],[Cleaned_Unit_Price]],2)</f>
        <v>2316.7800000000002</v>
      </c>
      <c r="M44" s="1" t="s">
        <v>107</v>
      </c>
      <c r="N44" s="1" t="s">
        <v>21</v>
      </c>
      <c r="O44" s="1" t="s">
        <v>107</v>
      </c>
    </row>
    <row r="45" spans="1:15" x14ac:dyDescent="0.35">
      <c r="A45" s="1" t="s">
        <v>108</v>
      </c>
      <c r="B45" s="2">
        <v>45131</v>
      </c>
      <c r="C45" s="1" t="s">
        <v>19</v>
      </c>
      <c r="D45" s="1" t="s">
        <v>12</v>
      </c>
      <c r="E45" s="1" t="str">
        <f>TRIM(CLEAN(Sheet1[[#This Row],[Category]]))</f>
        <v>Office Supplies</v>
      </c>
      <c r="F45">
        <v>7</v>
      </c>
      <c r="G45" t="str">
        <f t="shared" si="0"/>
        <v>2. Mid-Market (4-7 Units)</v>
      </c>
      <c r="H45">
        <v>7</v>
      </c>
      <c r="I45">
        <v>96.44</v>
      </c>
      <c r="J45">
        <f>IF(ISBLANK(I45), ROUND(I45/ABS(VALUE(_xlfn.TEXTBEFORE(F45&amp;" ", " "))), 2), ABS(VALUE(SUBSTITUTE(I45, "$", ""))))</f>
        <v>96.44</v>
      </c>
      <c r="K45">
        <f>ROUND(Sheet1[[#This Row],[CleanedUnits_sold]]*Sheet1[[#This Row],[Cleaned_Unit_Price]],2)</f>
        <v>675.08</v>
      </c>
      <c r="L45">
        <v>675.08</v>
      </c>
      <c r="M45" s="1" t="s">
        <v>109</v>
      </c>
      <c r="N45" s="1" t="s">
        <v>26</v>
      </c>
      <c r="O45" s="1" t="s">
        <v>109</v>
      </c>
    </row>
    <row r="46" spans="1:15" x14ac:dyDescent="0.35">
      <c r="A46" s="1" t="s">
        <v>110</v>
      </c>
      <c r="B46" s="2">
        <v>45191</v>
      </c>
      <c r="C46" s="1" t="s">
        <v>58</v>
      </c>
      <c r="D46" s="1" t="s">
        <v>24</v>
      </c>
      <c r="E46" s="1" t="str">
        <f>TRIM(CLEAN(Sheet1[[#This Row],[Category]]))</f>
        <v>Electronics</v>
      </c>
      <c r="F46">
        <v>11</v>
      </c>
      <c r="G46" t="str">
        <f t="shared" si="0"/>
        <v>3. Wholesale / Bulk (8+ Units)</v>
      </c>
      <c r="H46">
        <v>11</v>
      </c>
      <c r="I46">
        <v>408.24</v>
      </c>
      <c r="J46">
        <f>IF(ISBLANK(I46), ROUND(I46/ABS(VALUE(_xlfn.TEXTBEFORE(F46&amp;" ", " "))), 2), ABS(VALUE(SUBSTITUTE(I46, "$", ""))))</f>
        <v>408.24</v>
      </c>
      <c r="K46">
        <f>ROUND(Sheet1[[#This Row],[CleanedUnits_sold]]*Sheet1[[#This Row],[Cleaned_Unit_Price]],2)</f>
        <v>4490.6400000000003</v>
      </c>
      <c r="L46">
        <v>4490.6400000000003</v>
      </c>
      <c r="M46" s="1" t="s">
        <v>111</v>
      </c>
      <c r="N46" s="1" t="s">
        <v>26</v>
      </c>
      <c r="O46" s="1" t="s">
        <v>111</v>
      </c>
    </row>
    <row r="47" spans="1:15" x14ac:dyDescent="0.35">
      <c r="A47" s="1" t="s">
        <v>112</v>
      </c>
      <c r="B47" s="2">
        <v>45042</v>
      </c>
      <c r="C47" s="1" t="s">
        <v>58</v>
      </c>
      <c r="D47" s="1" t="s">
        <v>24</v>
      </c>
      <c r="E47" s="1" t="str">
        <f>TRIM(CLEAN(Sheet1[[#This Row],[Category]]))</f>
        <v>Electronics</v>
      </c>
      <c r="F47">
        <v>8</v>
      </c>
      <c r="G47" t="str">
        <f t="shared" si="0"/>
        <v>3. Wholesale / Bulk (8+ Units)</v>
      </c>
      <c r="H47">
        <v>8</v>
      </c>
      <c r="I47">
        <v>275.45999999999998</v>
      </c>
      <c r="J47">
        <f>IF(ISBLANK(I47), ROUND(I47/ABS(VALUE(_xlfn.TEXTBEFORE(F47&amp;" ", " "))), 2), ABS(VALUE(SUBSTITUTE(I47, "$", ""))))</f>
        <v>275.45999999999998</v>
      </c>
      <c r="K47">
        <f>ROUND(Sheet1[[#This Row],[CleanedUnits_sold]]*Sheet1[[#This Row],[Cleaned_Unit_Price]],2)</f>
        <v>2203.6799999999998</v>
      </c>
      <c r="L47">
        <v>2203.6799999999998</v>
      </c>
      <c r="M47" s="1" t="s">
        <v>113</v>
      </c>
      <c r="N47" s="1" t="s">
        <v>26</v>
      </c>
      <c r="O47" s="1" t="s">
        <v>113</v>
      </c>
    </row>
    <row r="48" spans="1:15" x14ac:dyDescent="0.35">
      <c r="A48" s="1" t="s">
        <v>114</v>
      </c>
      <c r="B48" s="2">
        <v>1</v>
      </c>
      <c r="C48" s="1" t="s">
        <v>16</v>
      </c>
      <c r="D48" s="1" t="s">
        <v>12</v>
      </c>
      <c r="E48" s="1" t="str">
        <f>TRIM(CLEAN(Sheet1[[#This Row],[Category]]))</f>
        <v>Office Supplies</v>
      </c>
      <c r="F48">
        <v>3</v>
      </c>
      <c r="G48" t="str">
        <f t="shared" si="0"/>
        <v>1. Retail (1-3 Units)</v>
      </c>
      <c r="H48">
        <v>3</v>
      </c>
      <c r="I48">
        <v>74.23</v>
      </c>
      <c r="J48">
        <f>IF(ISBLANK(I48), ROUND(I48/ABS(VALUE(_xlfn.TEXTBEFORE(F48&amp;" ", " "))), 2), ABS(VALUE(SUBSTITUTE(I48, "$", ""))))</f>
        <v>74.23</v>
      </c>
      <c r="K48">
        <f>ROUND(Sheet1[[#This Row],[CleanedUnits_sold]]*Sheet1[[#This Row],[Cleaned_Unit_Price]],2)</f>
        <v>222.69</v>
      </c>
      <c r="L48">
        <v>561.70000000000005</v>
      </c>
      <c r="M48" s="1" t="s">
        <v>115</v>
      </c>
      <c r="N48" s="1" t="s">
        <v>21</v>
      </c>
      <c r="O48" s="1" t="s">
        <v>115</v>
      </c>
    </row>
    <row r="49" spans="1:15" x14ac:dyDescent="0.35">
      <c r="A49" s="1" t="s">
        <v>116</v>
      </c>
      <c r="B49" s="2">
        <v>44930</v>
      </c>
      <c r="C49" s="1" t="s">
        <v>16</v>
      </c>
      <c r="D49" s="1" t="s">
        <v>12</v>
      </c>
      <c r="E49" s="1" t="str">
        <f>TRIM(CLEAN(Sheet1[[#This Row],[Category]]))</f>
        <v>Office Supplies</v>
      </c>
      <c r="F49">
        <v>2</v>
      </c>
      <c r="G49" t="str">
        <f t="shared" si="0"/>
        <v>1. Retail (1-3 Units)</v>
      </c>
      <c r="H49">
        <v>2</v>
      </c>
      <c r="I49">
        <v>385.42</v>
      </c>
      <c r="J49">
        <f>IF(ISBLANK(I49), ROUND(I49/ABS(VALUE(_xlfn.TEXTBEFORE(F49&amp;" ", " "))), 2), ABS(VALUE(SUBSTITUTE(I49, "$", ""))))</f>
        <v>385.42</v>
      </c>
      <c r="K49">
        <f>ROUND(Sheet1[[#This Row],[CleanedUnits_sold]]*Sheet1[[#This Row],[Cleaned_Unit_Price]],2)</f>
        <v>770.84</v>
      </c>
      <c r="L49">
        <v>770.84</v>
      </c>
      <c r="M49" s="1" t="s">
        <v>117</v>
      </c>
      <c r="N49" s="1" t="s">
        <v>26</v>
      </c>
      <c r="O49" s="1" t="s">
        <v>117</v>
      </c>
    </row>
    <row r="50" spans="1:15" x14ac:dyDescent="0.35">
      <c r="A50" s="1" t="s">
        <v>118</v>
      </c>
      <c r="B50" s="2">
        <v>1</v>
      </c>
      <c r="C50" s="1" t="s">
        <v>19</v>
      </c>
      <c r="D50" s="1" t="s">
        <v>32</v>
      </c>
      <c r="E50" s="1" t="str">
        <f>TRIM(CLEAN(Sheet1[[#This Row],[Category]]))</f>
        <v>Furniture</v>
      </c>
      <c r="F50">
        <v>3</v>
      </c>
      <c r="G50" t="str">
        <f t="shared" si="0"/>
        <v>1. Retail (1-3 Units)</v>
      </c>
      <c r="H50">
        <v>3</v>
      </c>
      <c r="I50">
        <v>466.9</v>
      </c>
      <c r="J50">
        <f>IF(ISBLANK(I50), ROUND(I50/ABS(VALUE(_xlfn.TEXTBEFORE(F50&amp;" ", " "))), 2), ABS(VALUE(SUBSTITUTE(I50, "$", ""))))</f>
        <v>466.9</v>
      </c>
      <c r="K50">
        <f>ROUND(Sheet1[[#This Row],[CleanedUnits_sold]]*Sheet1[[#This Row],[Cleaned_Unit_Price]],2)</f>
        <v>1400.7</v>
      </c>
      <c r="L50">
        <v>1400.7</v>
      </c>
      <c r="M50" s="1" t="s">
        <v>119</v>
      </c>
      <c r="N50" s="1" t="s">
        <v>50</v>
      </c>
      <c r="O50" s="1" t="s">
        <v>119</v>
      </c>
    </row>
    <row r="51" spans="1:15" x14ac:dyDescent="0.35">
      <c r="A51" s="1" t="s">
        <v>120</v>
      </c>
      <c r="B51" s="2">
        <v>1</v>
      </c>
      <c r="C51" s="1" t="s">
        <v>16</v>
      </c>
      <c r="D51" s="1" t="s">
        <v>24</v>
      </c>
      <c r="E51" s="1" t="str">
        <f>TRIM(CLEAN(Sheet1[[#This Row],[Category]]))</f>
        <v>Electronics</v>
      </c>
      <c r="F51">
        <v>5</v>
      </c>
      <c r="G51" t="str">
        <f t="shared" si="0"/>
        <v>2. Mid-Market (4-7 Units)</v>
      </c>
      <c r="H51">
        <v>5</v>
      </c>
      <c r="I51">
        <v>474.18</v>
      </c>
      <c r="J51">
        <f>IF(ISBLANK(I51), ROUND(I51/ABS(VALUE(_xlfn.TEXTBEFORE(F51&amp;" ", " "))), 2), ABS(VALUE(SUBSTITUTE(I51, "$", ""))))</f>
        <v>474.18</v>
      </c>
      <c r="K51">
        <f>ROUND(Sheet1[[#This Row],[CleanedUnits_sold]]*Sheet1[[#This Row],[Cleaned_Unit_Price]],2)</f>
        <v>2370.9</v>
      </c>
      <c r="M51" s="1" t="s">
        <v>121</v>
      </c>
      <c r="N51" s="1" t="s">
        <v>26</v>
      </c>
      <c r="O51" s="1" t="s">
        <v>121</v>
      </c>
    </row>
    <row r="52" spans="1:15" x14ac:dyDescent="0.35">
      <c r="A52" s="1" t="s">
        <v>122</v>
      </c>
      <c r="B52" s="2">
        <v>1</v>
      </c>
      <c r="C52" s="1" t="s">
        <v>16</v>
      </c>
      <c r="D52" s="1" t="s">
        <v>24</v>
      </c>
      <c r="E52" s="1" t="str">
        <f>TRIM(CLEAN(Sheet1[[#This Row],[Category]]))</f>
        <v>Electronics</v>
      </c>
      <c r="F52">
        <v>5</v>
      </c>
      <c r="G52" t="str">
        <f t="shared" si="0"/>
        <v>2. Mid-Market (4-7 Units)</v>
      </c>
      <c r="H52">
        <v>5</v>
      </c>
      <c r="I52">
        <v>190.82</v>
      </c>
      <c r="J52">
        <f>IF(ISBLANK(I52), ROUND(I52/ABS(VALUE(_xlfn.TEXTBEFORE(F52&amp;" ", " "))), 2), ABS(VALUE(SUBSTITUTE(I52, "$", ""))))</f>
        <v>190.82</v>
      </c>
      <c r="K52">
        <f>ROUND(Sheet1[[#This Row],[CleanedUnits_sold]]*Sheet1[[#This Row],[Cleaned_Unit_Price]],2)</f>
        <v>954.1</v>
      </c>
      <c r="L52">
        <v>954.1</v>
      </c>
      <c r="M52" s="1" t="s">
        <v>123</v>
      </c>
      <c r="N52" s="1" t="s">
        <v>21</v>
      </c>
      <c r="O52" s="1" t="s">
        <v>123</v>
      </c>
    </row>
    <row r="53" spans="1:15" x14ac:dyDescent="0.35">
      <c r="A53" s="1" t="s">
        <v>124</v>
      </c>
      <c r="B53" s="2">
        <v>1</v>
      </c>
      <c r="C53" s="1" t="s">
        <v>11</v>
      </c>
      <c r="D53" s="1" t="s">
        <v>12</v>
      </c>
      <c r="E53" s="1" t="str">
        <f>TRIM(CLEAN(Sheet1[[#This Row],[Category]]))</f>
        <v>Office Supplies</v>
      </c>
      <c r="F53">
        <v>5</v>
      </c>
      <c r="G53" t="str">
        <f t="shared" si="0"/>
        <v>2. Mid-Market (4-7 Units)</v>
      </c>
      <c r="H53">
        <v>5</v>
      </c>
      <c r="I53">
        <v>76.400000000000006</v>
      </c>
      <c r="J53">
        <f>IF(ISBLANK(I53), ROUND(I53/ABS(VALUE(_xlfn.TEXTBEFORE(F53&amp;" ", " "))), 2), ABS(VALUE(SUBSTITUTE(I53, "$", ""))))</f>
        <v>76.400000000000006</v>
      </c>
      <c r="K53">
        <f>ROUND(Sheet1[[#This Row],[CleanedUnits_sold]]*Sheet1[[#This Row],[Cleaned_Unit_Price]],2)</f>
        <v>382</v>
      </c>
      <c r="L53">
        <v>382</v>
      </c>
      <c r="M53" s="1" t="s">
        <v>125</v>
      </c>
      <c r="N53" s="1" t="s">
        <v>21</v>
      </c>
      <c r="O53" s="1" t="s">
        <v>125</v>
      </c>
    </row>
    <row r="54" spans="1:15" x14ac:dyDescent="0.35">
      <c r="A54" s="1" t="s">
        <v>126</v>
      </c>
      <c r="B54" s="2">
        <v>45086</v>
      </c>
      <c r="C54" s="1" t="s">
        <v>11</v>
      </c>
      <c r="D54" s="1" t="s">
        <v>12</v>
      </c>
      <c r="E54" s="1" t="str">
        <f>TRIM(CLEAN(Sheet1[[#This Row],[Category]]))</f>
        <v>Office Supplies</v>
      </c>
      <c r="F54">
        <v>4</v>
      </c>
      <c r="G54" t="str">
        <f t="shared" si="0"/>
        <v>2. Mid-Market (4-7 Units)</v>
      </c>
      <c r="H54">
        <v>4</v>
      </c>
      <c r="I54">
        <v>264.02</v>
      </c>
      <c r="J54">
        <f>IF(ISBLANK(I54), ROUND(I54/ABS(VALUE(_xlfn.TEXTBEFORE(F54&amp;" ", " "))), 2), ABS(VALUE(SUBSTITUTE(I54, "$", ""))))</f>
        <v>264.02</v>
      </c>
      <c r="K54">
        <f>ROUND(Sheet1[[#This Row],[CleanedUnits_sold]]*Sheet1[[#This Row],[Cleaned_Unit_Price]],2)</f>
        <v>1056.08</v>
      </c>
      <c r="L54">
        <v>1056.08</v>
      </c>
      <c r="M54" s="1" t="s">
        <v>127</v>
      </c>
      <c r="N54" s="1" t="s">
        <v>26</v>
      </c>
      <c r="O54" s="1" t="s">
        <v>127</v>
      </c>
    </row>
    <row r="55" spans="1:15" x14ac:dyDescent="0.35">
      <c r="A55" s="1" t="s">
        <v>128</v>
      </c>
      <c r="B55" s="2">
        <v>45219</v>
      </c>
      <c r="C55" s="1" t="s">
        <v>16</v>
      </c>
      <c r="D55" s="1" t="s">
        <v>24</v>
      </c>
      <c r="E55" s="1" t="str">
        <f>TRIM(CLEAN(Sheet1[[#This Row],[Category]]))</f>
        <v>Electronics</v>
      </c>
      <c r="F55">
        <v>3</v>
      </c>
      <c r="G55" t="str">
        <f t="shared" si="0"/>
        <v>1. Retail (1-3 Units)</v>
      </c>
      <c r="H55">
        <v>3</v>
      </c>
      <c r="I55">
        <v>65.180000000000007</v>
      </c>
      <c r="J55">
        <f>IF(ISBLANK(I55), ROUND(I55/ABS(VALUE(_xlfn.TEXTBEFORE(F55&amp;" ", " "))), 2), ABS(VALUE(SUBSTITUTE(I55, "$", ""))))</f>
        <v>65.180000000000007</v>
      </c>
      <c r="K55">
        <f>ROUND(Sheet1[[#This Row],[CleanedUnits_sold]]*Sheet1[[#This Row],[Cleaned_Unit_Price]],2)</f>
        <v>195.54</v>
      </c>
      <c r="L55">
        <v>195.54</v>
      </c>
      <c r="M55" s="1" t="s">
        <v>129</v>
      </c>
      <c r="N55" s="1" t="s">
        <v>38</v>
      </c>
      <c r="O55" s="1" t="s">
        <v>129</v>
      </c>
    </row>
    <row r="56" spans="1:15" x14ac:dyDescent="0.35">
      <c r="A56" s="1" t="s">
        <v>130</v>
      </c>
      <c r="B56" s="2">
        <v>45169</v>
      </c>
      <c r="C56" s="1" t="s">
        <v>16</v>
      </c>
      <c r="D56" s="1" t="s">
        <v>46</v>
      </c>
      <c r="E56" s="1" t="str">
        <f>TRIM(CLEAN(Sheet1[[#This Row],[Category]]))</f>
        <v>Furniture</v>
      </c>
      <c r="F56">
        <v>8</v>
      </c>
      <c r="G56" t="str">
        <f t="shared" si="0"/>
        <v>3. Wholesale / Bulk (8+ Units)</v>
      </c>
      <c r="H56">
        <v>8</v>
      </c>
      <c r="I56">
        <v>467.65</v>
      </c>
      <c r="J56">
        <f>IF(ISBLANK(I56), ROUND(I56/ABS(VALUE(_xlfn.TEXTBEFORE(F56&amp;" ", " "))), 2), ABS(VALUE(SUBSTITUTE(I56, "$", ""))))</f>
        <v>467.65</v>
      </c>
      <c r="K56">
        <f>ROUND(Sheet1[[#This Row],[CleanedUnits_sold]]*Sheet1[[#This Row],[Cleaned_Unit_Price]],2)</f>
        <v>3741.2</v>
      </c>
      <c r="L56">
        <v>3741.2</v>
      </c>
      <c r="M56" s="1"/>
      <c r="N56" s="1" t="s">
        <v>14</v>
      </c>
      <c r="O56" s="1" t="s">
        <v>131</v>
      </c>
    </row>
    <row r="57" spans="1:15" x14ac:dyDescent="0.35">
      <c r="A57" s="1" t="s">
        <v>132</v>
      </c>
      <c r="B57" s="2">
        <v>44976</v>
      </c>
      <c r="C57" s="1" t="s">
        <v>23</v>
      </c>
      <c r="D57" s="1" t="s">
        <v>32</v>
      </c>
      <c r="E57" s="1" t="str">
        <f>TRIM(CLEAN(Sheet1[[#This Row],[Category]]))</f>
        <v>Furniture</v>
      </c>
      <c r="F57">
        <v>2</v>
      </c>
      <c r="G57" t="str">
        <f t="shared" si="0"/>
        <v>1. Retail (1-3 Units)</v>
      </c>
      <c r="H57">
        <v>2</v>
      </c>
      <c r="I57">
        <v>99.95</v>
      </c>
      <c r="J57">
        <f>IF(ISBLANK(I57), ROUND(I57/ABS(VALUE(_xlfn.TEXTBEFORE(F57&amp;" ", " "))), 2), ABS(VALUE(SUBSTITUTE(I57, "$", ""))))</f>
        <v>99.95</v>
      </c>
      <c r="K57">
        <f>ROUND(Sheet1[[#This Row],[CleanedUnits_sold]]*Sheet1[[#This Row],[Cleaned_Unit_Price]],2)</f>
        <v>199.9</v>
      </c>
      <c r="L57">
        <v>199.9</v>
      </c>
      <c r="M57" s="1" t="s">
        <v>133</v>
      </c>
      <c r="N57" s="1" t="s">
        <v>14</v>
      </c>
      <c r="O57" s="1" t="s">
        <v>133</v>
      </c>
    </row>
    <row r="58" spans="1:15" x14ac:dyDescent="0.35">
      <c r="A58" s="1" t="s">
        <v>134</v>
      </c>
      <c r="B58" s="2">
        <v>45137</v>
      </c>
      <c r="C58" s="1" t="s">
        <v>16</v>
      </c>
      <c r="D58" s="1" t="s">
        <v>46</v>
      </c>
      <c r="E58" s="1" t="str">
        <f>TRIM(CLEAN(Sheet1[[#This Row],[Category]]))</f>
        <v>Furniture</v>
      </c>
      <c r="F58">
        <v>1</v>
      </c>
      <c r="G58" t="str">
        <f t="shared" si="0"/>
        <v>1. Retail (1-3 Units)</v>
      </c>
      <c r="H58">
        <v>1</v>
      </c>
      <c r="I58">
        <v>133.86000000000001</v>
      </c>
      <c r="J58">
        <f>IF(ISBLANK(I58), ROUND(I58/ABS(VALUE(_xlfn.TEXTBEFORE(F58&amp;" ", " "))), 2), ABS(VALUE(SUBSTITUTE(I58, "$", ""))))</f>
        <v>133.86000000000001</v>
      </c>
      <c r="K58">
        <f>ROUND(Sheet1[[#This Row],[CleanedUnits_sold]]*Sheet1[[#This Row],[Cleaned_Unit_Price]],2)</f>
        <v>133.86000000000001</v>
      </c>
      <c r="L58">
        <v>133.86000000000001</v>
      </c>
      <c r="M58" s="1" t="s">
        <v>135</v>
      </c>
      <c r="N58" s="1" t="s">
        <v>38</v>
      </c>
      <c r="O58" s="1" t="s">
        <v>135</v>
      </c>
    </row>
    <row r="59" spans="1:15" x14ac:dyDescent="0.35">
      <c r="A59" s="1" t="s">
        <v>136</v>
      </c>
      <c r="B59" s="2">
        <v>44954</v>
      </c>
      <c r="C59" s="1" t="s">
        <v>23</v>
      </c>
      <c r="D59" s="1" t="s">
        <v>24</v>
      </c>
      <c r="E59" s="1" t="str">
        <f>TRIM(CLEAN(Sheet1[[#This Row],[Category]]))</f>
        <v>Electronics</v>
      </c>
      <c r="F59">
        <v>4</v>
      </c>
      <c r="G59" t="str">
        <f t="shared" si="0"/>
        <v>2. Mid-Market (4-7 Units)</v>
      </c>
      <c r="H59">
        <v>4</v>
      </c>
      <c r="I59">
        <v>209.25</v>
      </c>
      <c r="J59">
        <f>IF(ISBLANK(I59), ROUND(I59/ABS(VALUE(_xlfn.TEXTBEFORE(F59&amp;" ", " "))), 2), ABS(VALUE(SUBSTITUTE(I59, "$", ""))))</f>
        <v>209.25</v>
      </c>
      <c r="K59">
        <f>ROUND(Sheet1[[#This Row],[CleanedUnits_sold]]*Sheet1[[#This Row],[Cleaned_Unit_Price]],2)</f>
        <v>837</v>
      </c>
      <c r="L59">
        <v>837</v>
      </c>
      <c r="M59" s="1" t="s">
        <v>137</v>
      </c>
      <c r="N59" s="1" t="s">
        <v>14</v>
      </c>
      <c r="O59" s="1" t="s">
        <v>137</v>
      </c>
    </row>
    <row r="60" spans="1:15" x14ac:dyDescent="0.35">
      <c r="A60" s="1" t="s">
        <v>138</v>
      </c>
      <c r="B60" s="2">
        <v>1</v>
      </c>
      <c r="C60" s="1" t="s">
        <v>11</v>
      </c>
      <c r="D60" s="1" t="s">
        <v>46</v>
      </c>
      <c r="E60" s="1" t="str">
        <f>TRIM(CLEAN(Sheet1[[#This Row],[Category]]))</f>
        <v>Furniture</v>
      </c>
      <c r="F60">
        <v>5</v>
      </c>
      <c r="G60" t="str">
        <f t="shared" si="0"/>
        <v>2. Mid-Market (4-7 Units)</v>
      </c>
      <c r="H60">
        <v>5</v>
      </c>
      <c r="I60">
        <v>197.75</v>
      </c>
      <c r="J60">
        <f>IF(ISBLANK(I60), ROUND(I60/ABS(VALUE(_xlfn.TEXTBEFORE(F60&amp;" ", " "))), 2), ABS(VALUE(SUBSTITUTE(I60, "$", ""))))</f>
        <v>197.75</v>
      </c>
      <c r="K60">
        <f>ROUND(Sheet1[[#This Row],[CleanedUnits_sold]]*Sheet1[[#This Row],[Cleaned_Unit_Price]],2)</f>
        <v>988.75</v>
      </c>
      <c r="L60">
        <v>988.75</v>
      </c>
      <c r="M60" s="1" t="s">
        <v>139</v>
      </c>
      <c r="N60" s="1" t="s">
        <v>50</v>
      </c>
      <c r="O60" s="1" t="s">
        <v>139</v>
      </c>
    </row>
    <row r="61" spans="1:15" x14ac:dyDescent="0.35">
      <c r="A61" s="1" t="s">
        <v>140</v>
      </c>
      <c r="B61" s="2">
        <v>1</v>
      </c>
      <c r="C61" s="1" t="s">
        <v>16</v>
      </c>
      <c r="D61" s="1" t="s">
        <v>24</v>
      </c>
      <c r="E61" s="1" t="str">
        <f>TRIM(CLEAN(Sheet1[[#This Row],[Category]]))</f>
        <v>Electronics</v>
      </c>
      <c r="F61">
        <v>4</v>
      </c>
      <c r="G61" t="str">
        <f t="shared" si="0"/>
        <v>2. Mid-Market (4-7 Units)</v>
      </c>
      <c r="H61">
        <v>4</v>
      </c>
      <c r="I61">
        <v>399.38</v>
      </c>
      <c r="J61">
        <f>IF(ISBLANK(I61), ROUND(I61/ABS(VALUE(_xlfn.TEXTBEFORE(F61&amp;" ", " "))), 2), ABS(VALUE(SUBSTITUTE(I61, "$", ""))))</f>
        <v>399.38</v>
      </c>
      <c r="K61">
        <f>ROUND(Sheet1[[#This Row],[CleanedUnits_sold]]*Sheet1[[#This Row],[Cleaned_Unit_Price]],2)</f>
        <v>1597.52</v>
      </c>
      <c r="L61">
        <v>1597.52</v>
      </c>
      <c r="M61" s="1" t="s">
        <v>141</v>
      </c>
      <c r="N61" s="1" t="s">
        <v>21</v>
      </c>
      <c r="O61" s="1" t="s">
        <v>141</v>
      </c>
    </row>
    <row r="62" spans="1:15" x14ac:dyDescent="0.35">
      <c r="A62" s="1" t="s">
        <v>142</v>
      </c>
      <c r="B62" s="2">
        <v>45201</v>
      </c>
      <c r="C62" s="1" t="s">
        <v>58</v>
      </c>
      <c r="D62" s="1" t="s">
        <v>24</v>
      </c>
      <c r="E62" s="1" t="str">
        <f>TRIM(CLEAN(Sheet1[[#This Row],[Category]]))</f>
        <v>Electronics</v>
      </c>
      <c r="F62">
        <v>3</v>
      </c>
      <c r="G62" t="str">
        <f t="shared" si="0"/>
        <v>1. Retail (1-3 Units)</v>
      </c>
      <c r="H62">
        <v>3</v>
      </c>
      <c r="I62">
        <v>-32.17</v>
      </c>
      <c r="J62">
        <f>IF(ISBLANK(I62), ROUND(I62/ABS(VALUE(_xlfn.TEXTBEFORE(F62&amp;" ", " "))), 2), ABS(VALUE(SUBSTITUTE(I62, "$", ""))))</f>
        <v>32.17</v>
      </c>
      <c r="K62">
        <f>ROUND(Sheet1[[#This Row],[CleanedUnits_sold]]*Sheet1[[#This Row],[Cleaned_Unit_Price]],2)</f>
        <v>96.51</v>
      </c>
      <c r="L62">
        <v>700.8</v>
      </c>
      <c r="M62" s="1" t="s">
        <v>143</v>
      </c>
      <c r="N62" s="1" t="s">
        <v>38</v>
      </c>
      <c r="O62" s="1" t="s">
        <v>143</v>
      </c>
    </row>
    <row r="63" spans="1:15" x14ac:dyDescent="0.35">
      <c r="A63" s="1" t="s">
        <v>144</v>
      </c>
      <c r="B63" s="2">
        <v>45020</v>
      </c>
      <c r="C63" s="1" t="s">
        <v>11</v>
      </c>
      <c r="D63" s="1" t="s">
        <v>12</v>
      </c>
      <c r="E63" s="1" t="str">
        <f>TRIM(CLEAN(Sheet1[[#This Row],[Category]]))</f>
        <v>Office Supplies</v>
      </c>
      <c r="F63">
        <v>4</v>
      </c>
      <c r="G63" t="str">
        <f t="shared" si="0"/>
        <v>2. Mid-Market (4-7 Units)</v>
      </c>
      <c r="H63">
        <v>4</v>
      </c>
      <c r="I63">
        <v>93.68</v>
      </c>
      <c r="J63">
        <f>IF(ISBLANK(I63), ROUND(I63/ABS(VALUE(_xlfn.TEXTBEFORE(F63&amp;" ", " "))), 2), ABS(VALUE(SUBSTITUTE(I63, "$", ""))))</f>
        <v>93.68</v>
      </c>
      <c r="K63">
        <f>ROUND(Sheet1[[#This Row],[CleanedUnits_sold]]*Sheet1[[#This Row],[Cleaned_Unit_Price]],2)</f>
        <v>374.72</v>
      </c>
      <c r="L63">
        <v>374.72</v>
      </c>
      <c r="M63" s="1" t="s">
        <v>145</v>
      </c>
      <c r="N63" s="1" t="s">
        <v>38</v>
      </c>
      <c r="O63" s="1" t="s">
        <v>145</v>
      </c>
    </row>
    <row r="64" spans="1:15" x14ac:dyDescent="0.35">
      <c r="A64" s="1" t="s">
        <v>146</v>
      </c>
      <c r="B64" s="2">
        <v>44965</v>
      </c>
      <c r="C64" s="1" t="s">
        <v>23</v>
      </c>
      <c r="D64" s="1" t="s">
        <v>46</v>
      </c>
      <c r="E64" s="1" t="str">
        <f>TRIM(CLEAN(Sheet1[[#This Row],[Category]]))</f>
        <v>Furniture</v>
      </c>
      <c r="F64">
        <v>8</v>
      </c>
      <c r="G64" t="str">
        <f t="shared" si="0"/>
        <v>3. Wholesale / Bulk (8+ Units)</v>
      </c>
      <c r="H64">
        <v>8</v>
      </c>
      <c r="I64">
        <v>140.93</v>
      </c>
      <c r="J64">
        <f>IF(ISBLANK(I64), ROUND(I64/ABS(VALUE(_xlfn.TEXTBEFORE(F64&amp;" ", " "))), 2), ABS(VALUE(SUBSTITUTE(I64, "$", ""))))</f>
        <v>140.93</v>
      </c>
      <c r="K64">
        <f>ROUND(Sheet1[[#This Row],[CleanedUnits_sold]]*Sheet1[[#This Row],[Cleaned_Unit_Price]],2)</f>
        <v>1127.44</v>
      </c>
      <c r="L64">
        <v>1127.44</v>
      </c>
      <c r="M64" s="1" t="s">
        <v>147</v>
      </c>
      <c r="N64" s="1" t="s">
        <v>14</v>
      </c>
      <c r="O64" s="1" t="s">
        <v>147</v>
      </c>
    </row>
    <row r="65" spans="1:15" x14ac:dyDescent="0.35">
      <c r="A65" s="1" t="s">
        <v>148</v>
      </c>
      <c r="B65" s="2">
        <v>45208</v>
      </c>
      <c r="C65" s="1" t="s">
        <v>16</v>
      </c>
      <c r="D65" s="1" t="s">
        <v>24</v>
      </c>
      <c r="E65" s="1" t="str">
        <f>TRIM(CLEAN(Sheet1[[#This Row],[Category]]))</f>
        <v>Electronics</v>
      </c>
      <c r="F65">
        <v>2</v>
      </c>
      <c r="G65" t="str">
        <f t="shared" si="0"/>
        <v>1. Retail (1-3 Units)</v>
      </c>
      <c r="H65">
        <v>2</v>
      </c>
      <c r="I65">
        <v>259.47000000000003</v>
      </c>
      <c r="J65">
        <f>IF(ISBLANK(I65), ROUND(I65/ABS(VALUE(_xlfn.TEXTBEFORE(F65&amp;" ", " "))), 2), ABS(VALUE(SUBSTITUTE(I65, "$", ""))))</f>
        <v>259.47000000000003</v>
      </c>
      <c r="K65">
        <f>ROUND(Sheet1[[#This Row],[CleanedUnits_sold]]*Sheet1[[#This Row],[Cleaned_Unit_Price]],2)</f>
        <v>518.94000000000005</v>
      </c>
      <c r="L65">
        <v>518.94000000000005</v>
      </c>
      <c r="M65" s="1" t="s">
        <v>149</v>
      </c>
      <c r="N65" s="1" t="s">
        <v>14</v>
      </c>
      <c r="O65" s="1" t="s">
        <v>149</v>
      </c>
    </row>
    <row r="66" spans="1:15" x14ac:dyDescent="0.35">
      <c r="A66" s="1" t="s">
        <v>150</v>
      </c>
      <c r="B66" s="2">
        <v>1</v>
      </c>
      <c r="C66" s="1" t="s">
        <v>16</v>
      </c>
      <c r="D66" s="1" t="s">
        <v>24</v>
      </c>
      <c r="E66" s="1" t="str">
        <f>TRIM(CLEAN(Sheet1[[#This Row],[Category]]))</f>
        <v>Electronics</v>
      </c>
      <c r="F66">
        <v>2</v>
      </c>
      <c r="G66" t="str">
        <f t="shared" ref="G66:G129" si="1">IF(H66=0, "Non-Billable / Zero", IF(H66&lt;=3, "1. Retail (1-3 Units)", IF(H66&lt;=7, "2. Mid-Market (4-7 Units)", "3. Wholesale / Bulk (8+ Units)")))</f>
        <v>1. Retail (1-3 Units)</v>
      </c>
      <c r="H66">
        <v>2</v>
      </c>
      <c r="I66">
        <v>82.25</v>
      </c>
      <c r="J66">
        <f>IF(ISBLANK(I66), ROUND(I66/ABS(VALUE(_xlfn.TEXTBEFORE(F66&amp;" ", " "))), 2), ABS(VALUE(SUBSTITUTE(I66, "$", ""))))</f>
        <v>82.25</v>
      </c>
      <c r="K66">
        <f>ROUND(Sheet1[[#This Row],[CleanedUnits_sold]]*Sheet1[[#This Row],[Cleaned_Unit_Price]],2)</f>
        <v>164.5</v>
      </c>
      <c r="L66">
        <v>164.5</v>
      </c>
      <c r="M66" s="1" t="s">
        <v>151</v>
      </c>
      <c r="N66" s="1" t="s">
        <v>14</v>
      </c>
      <c r="O66" s="1" t="s">
        <v>151</v>
      </c>
    </row>
    <row r="67" spans="1:15" x14ac:dyDescent="0.35">
      <c r="A67" s="1" t="s">
        <v>152</v>
      </c>
      <c r="B67" s="2">
        <v>44934</v>
      </c>
      <c r="C67" s="1" t="s">
        <v>23</v>
      </c>
      <c r="D67" s="1" t="s">
        <v>24</v>
      </c>
      <c r="E67" s="1" t="str">
        <f>TRIM(CLEAN(Sheet1[[#This Row],[Category]]))</f>
        <v>Electronics</v>
      </c>
      <c r="F67">
        <v>2</v>
      </c>
      <c r="G67" t="str">
        <f t="shared" si="1"/>
        <v>1. Retail (1-3 Units)</v>
      </c>
      <c r="H67">
        <v>2</v>
      </c>
      <c r="I67">
        <v>309.70999999999998</v>
      </c>
      <c r="J67">
        <f>IF(ISBLANK(I67), ROUND(I67/ABS(VALUE(_xlfn.TEXTBEFORE(F67&amp;" ", " "))), 2), ABS(VALUE(SUBSTITUTE(I67, "$", ""))))</f>
        <v>309.70999999999998</v>
      </c>
      <c r="K67">
        <f>ROUND(Sheet1[[#This Row],[CleanedUnits_sold]]*Sheet1[[#This Row],[Cleaned_Unit_Price]],2)</f>
        <v>619.41999999999996</v>
      </c>
      <c r="M67" s="1" t="s">
        <v>153</v>
      </c>
      <c r="N67" s="1" t="s">
        <v>50</v>
      </c>
      <c r="O67" s="1" t="s">
        <v>153</v>
      </c>
    </row>
    <row r="68" spans="1:15" x14ac:dyDescent="0.35">
      <c r="A68" s="1" t="s">
        <v>154</v>
      </c>
      <c r="B68" s="2">
        <v>44962</v>
      </c>
      <c r="C68" s="1" t="s">
        <v>19</v>
      </c>
      <c r="D68" s="1" t="s">
        <v>32</v>
      </c>
      <c r="E68" s="1" t="str">
        <f>TRIM(CLEAN(Sheet1[[#This Row],[Category]]))</f>
        <v>Furniture</v>
      </c>
      <c r="F68">
        <v>7</v>
      </c>
      <c r="G68" t="str">
        <f t="shared" si="1"/>
        <v>2. Mid-Market (4-7 Units)</v>
      </c>
      <c r="H68">
        <v>7</v>
      </c>
      <c r="I68">
        <v>-194.4</v>
      </c>
      <c r="J68">
        <f>IF(ISBLANK(I68), ROUND(I68/ABS(VALUE(_xlfn.TEXTBEFORE(F68&amp;" ", " "))), 2), ABS(VALUE(SUBSTITUTE(I68, "$", ""))))</f>
        <v>194.4</v>
      </c>
      <c r="K68">
        <f>ROUND(Sheet1[[#This Row],[CleanedUnits_sold]]*Sheet1[[#This Row],[Cleaned_Unit_Price]],2)</f>
        <v>1360.8</v>
      </c>
      <c r="L68">
        <v>2010.54</v>
      </c>
      <c r="M68" s="1" t="s">
        <v>155</v>
      </c>
      <c r="N68" s="1" t="s">
        <v>26</v>
      </c>
      <c r="O68" s="1" t="s">
        <v>155</v>
      </c>
    </row>
    <row r="69" spans="1:15" x14ac:dyDescent="0.35">
      <c r="A69" s="1" t="s">
        <v>156</v>
      </c>
      <c r="B69" s="2">
        <v>45025</v>
      </c>
      <c r="C69" s="1" t="s">
        <v>23</v>
      </c>
      <c r="D69" s="1" t="s">
        <v>12</v>
      </c>
      <c r="E69" s="1" t="str">
        <f>TRIM(CLEAN(Sheet1[[#This Row],[Category]]))</f>
        <v>Office Supplies</v>
      </c>
      <c r="F69">
        <v>6</v>
      </c>
      <c r="G69" t="str">
        <f t="shared" si="1"/>
        <v>2. Mid-Market (4-7 Units)</v>
      </c>
      <c r="H69">
        <v>6</v>
      </c>
      <c r="I69">
        <v>360.2</v>
      </c>
      <c r="J69">
        <f>IF(ISBLANK(I69), ROUND(I69/ABS(VALUE(_xlfn.TEXTBEFORE(F69&amp;" ", " "))), 2), ABS(VALUE(SUBSTITUTE(I69, "$", ""))))</f>
        <v>360.2</v>
      </c>
      <c r="K69">
        <f>ROUND(Sheet1[[#This Row],[CleanedUnits_sold]]*Sheet1[[#This Row],[Cleaned_Unit_Price]],2)</f>
        <v>2161.1999999999998</v>
      </c>
      <c r="L69">
        <v>2161.1999999999998</v>
      </c>
      <c r="M69" s="1" t="s">
        <v>157</v>
      </c>
      <c r="N69" s="1" t="s">
        <v>14</v>
      </c>
      <c r="O69" s="1" t="s">
        <v>157</v>
      </c>
    </row>
    <row r="70" spans="1:15" x14ac:dyDescent="0.35">
      <c r="A70" s="1" t="s">
        <v>158</v>
      </c>
      <c r="B70" s="2">
        <v>1</v>
      </c>
      <c r="C70" s="1" t="s">
        <v>19</v>
      </c>
      <c r="D70" s="1" t="s">
        <v>12</v>
      </c>
      <c r="E70" s="1" t="str">
        <f>TRIM(CLEAN(Sheet1[[#This Row],[Category]]))</f>
        <v>Office Supplies</v>
      </c>
      <c r="F70">
        <v>7</v>
      </c>
      <c r="G70" t="str">
        <f t="shared" si="1"/>
        <v>2. Mid-Market (4-7 Units)</v>
      </c>
      <c r="H70">
        <v>7</v>
      </c>
      <c r="I70">
        <v>469.48</v>
      </c>
      <c r="J70">
        <f>IF(ISBLANK(I70), ROUND(I70/ABS(VALUE(_xlfn.TEXTBEFORE(F70&amp;" ", " "))), 2), ABS(VALUE(SUBSTITUTE(I70, "$", ""))))</f>
        <v>469.48</v>
      </c>
      <c r="K70">
        <f>ROUND(Sheet1[[#This Row],[CleanedUnits_sold]]*Sheet1[[#This Row],[Cleaned_Unit_Price]],2)</f>
        <v>3286.36</v>
      </c>
      <c r="L70">
        <v>3286.36</v>
      </c>
      <c r="M70" s="1" t="s">
        <v>159</v>
      </c>
      <c r="N70" s="1" t="s">
        <v>38</v>
      </c>
      <c r="O70" s="1" t="s">
        <v>159</v>
      </c>
    </row>
    <row r="71" spans="1:15" x14ac:dyDescent="0.35">
      <c r="A71" s="1" t="s">
        <v>160</v>
      </c>
      <c r="B71" s="2">
        <v>45126</v>
      </c>
      <c r="C71" s="1" t="s">
        <v>23</v>
      </c>
      <c r="D71" s="1" t="s">
        <v>12</v>
      </c>
      <c r="E71" s="1" t="str">
        <f>TRIM(CLEAN(Sheet1[[#This Row],[Category]]))</f>
        <v>Office Supplies</v>
      </c>
      <c r="F71">
        <v>6</v>
      </c>
      <c r="G71" t="str">
        <f t="shared" si="1"/>
        <v>2. Mid-Market (4-7 Units)</v>
      </c>
      <c r="H71">
        <v>6</v>
      </c>
      <c r="I71">
        <v>457</v>
      </c>
      <c r="J71">
        <f>IF(ISBLANK(I71), ROUND(I71/ABS(VALUE(_xlfn.TEXTBEFORE(F71&amp;" ", " "))), 2), ABS(VALUE(SUBSTITUTE(I71, "$", ""))))</f>
        <v>457</v>
      </c>
      <c r="K71">
        <f>ROUND(Sheet1[[#This Row],[CleanedUnits_sold]]*Sheet1[[#This Row],[Cleaned_Unit_Price]],2)</f>
        <v>2742</v>
      </c>
      <c r="L71">
        <v>2742</v>
      </c>
      <c r="M71" s="1" t="s">
        <v>161</v>
      </c>
      <c r="N71" s="1" t="s">
        <v>50</v>
      </c>
      <c r="O71" s="1" t="s">
        <v>161</v>
      </c>
    </row>
    <row r="72" spans="1:15" x14ac:dyDescent="0.35">
      <c r="A72" s="1" t="s">
        <v>162</v>
      </c>
      <c r="B72" s="2">
        <v>45159</v>
      </c>
      <c r="C72" s="1" t="s">
        <v>11</v>
      </c>
      <c r="D72" s="1" t="s">
        <v>12</v>
      </c>
      <c r="E72" s="1" t="str">
        <f>TRIM(CLEAN(Sheet1[[#This Row],[Category]]))</f>
        <v>Office Supplies</v>
      </c>
      <c r="F72">
        <v>7</v>
      </c>
      <c r="G72" t="str">
        <f t="shared" si="1"/>
        <v>2. Mid-Market (4-7 Units)</v>
      </c>
      <c r="H72">
        <v>7</v>
      </c>
      <c r="I72">
        <v>-41.56</v>
      </c>
      <c r="J72">
        <f>IF(ISBLANK(I72), ROUND(I72/ABS(VALUE(_xlfn.TEXTBEFORE(F72&amp;" ", " "))), 2), ABS(VALUE(SUBSTITUTE(I72, "$", ""))))</f>
        <v>41.56</v>
      </c>
      <c r="K72">
        <f>ROUND(Sheet1[[#This Row],[CleanedUnits_sold]]*Sheet1[[#This Row],[Cleaned_Unit_Price]],2)</f>
        <v>290.92</v>
      </c>
      <c r="L72">
        <v>3315.06</v>
      </c>
      <c r="M72" s="1" t="s">
        <v>163</v>
      </c>
      <c r="N72" s="1" t="s">
        <v>21</v>
      </c>
      <c r="O72" s="1" t="s">
        <v>163</v>
      </c>
    </row>
    <row r="73" spans="1:15" x14ac:dyDescent="0.35">
      <c r="A73" s="1" t="s">
        <v>164</v>
      </c>
      <c r="B73" s="2">
        <v>45211</v>
      </c>
      <c r="C73" s="1" t="s">
        <v>19</v>
      </c>
      <c r="D73" s="1" t="s">
        <v>46</v>
      </c>
      <c r="E73" s="1" t="str">
        <f>TRIM(CLEAN(Sheet1[[#This Row],[Category]]))</f>
        <v>Furniture</v>
      </c>
      <c r="F73">
        <v>6</v>
      </c>
      <c r="G73" t="str">
        <f t="shared" si="1"/>
        <v>2. Mid-Market (4-7 Units)</v>
      </c>
      <c r="H73">
        <v>6</v>
      </c>
      <c r="I73">
        <v>129.91</v>
      </c>
      <c r="J73">
        <f>IF(ISBLANK(I73), ROUND(I73/ABS(VALUE(_xlfn.TEXTBEFORE(F73&amp;" ", " "))), 2), ABS(VALUE(SUBSTITUTE(I73, "$", ""))))</f>
        <v>129.91</v>
      </c>
      <c r="K73">
        <f>ROUND(Sheet1[[#This Row],[CleanedUnits_sold]]*Sheet1[[#This Row],[Cleaned_Unit_Price]],2)</f>
        <v>779.46</v>
      </c>
      <c r="L73">
        <v>779.46</v>
      </c>
      <c r="M73" s="1" t="s">
        <v>165</v>
      </c>
      <c r="N73" s="1" t="s">
        <v>14</v>
      </c>
      <c r="O73" s="1" t="s">
        <v>165</v>
      </c>
    </row>
    <row r="74" spans="1:15" x14ac:dyDescent="0.35">
      <c r="A74" s="1" t="s">
        <v>166</v>
      </c>
      <c r="B74" s="2">
        <v>44932</v>
      </c>
      <c r="C74" s="1" t="s">
        <v>19</v>
      </c>
      <c r="D74" s="1" t="s">
        <v>24</v>
      </c>
      <c r="E74" s="1" t="str">
        <f>TRIM(CLEAN(Sheet1[[#This Row],[Category]]))</f>
        <v>Electronics</v>
      </c>
      <c r="F74">
        <v>4</v>
      </c>
      <c r="G74" t="str">
        <f t="shared" si="1"/>
        <v>2. Mid-Market (4-7 Units)</v>
      </c>
      <c r="H74">
        <v>4</v>
      </c>
      <c r="I74">
        <v>74.47</v>
      </c>
      <c r="J74">
        <f>IF(ISBLANK(I74), ROUND(I74/ABS(VALUE(_xlfn.TEXTBEFORE(F74&amp;" ", " "))), 2), ABS(VALUE(SUBSTITUTE(I74, "$", ""))))</f>
        <v>74.47</v>
      </c>
      <c r="K74">
        <f>ROUND(Sheet1[[#This Row],[CleanedUnits_sold]]*Sheet1[[#This Row],[Cleaned_Unit_Price]],2)</f>
        <v>297.88</v>
      </c>
      <c r="L74">
        <v>297.88</v>
      </c>
      <c r="M74" s="1" t="s">
        <v>167</v>
      </c>
      <c r="N74" s="1" t="s">
        <v>26</v>
      </c>
      <c r="O74" s="1" t="s">
        <v>167</v>
      </c>
    </row>
    <row r="75" spans="1:15" x14ac:dyDescent="0.35">
      <c r="A75" s="1" t="s">
        <v>168</v>
      </c>
      <c r="B75" s="2">
        <v>45223</v>
      </c>
      <c r="C75" s="1" t="s">
        <v>16</v>
      </c>
      <c r="D75" s="1" t="s">
        <v>24</v>
      </c>
      <c r="E75" s="1" t="str">
        <f>TRIM(CLEAN(Sheet1[[#This Row],[Category]]))</f>
        <v>Electronics</v>
      </c>
      <c r="F75">
        <v>2</v>
      </c>
      <c r="G75" t="str">
        <f t="shared" si="1"/>
        <v>1. Retail (1-3 Units)</v>
      </c>
      <c r="H75">
        <v>2</v>
      </c>
      <c r="I75">
        <v>158.12</v>
      </c>
      <c r="J75">
        <f>IF(ISBLANK(I75), ROUND(I75/ABS(VALUE(_xlfn.TEXTBEFORE(F75&amp;" ", " "))), 2), ABS(VALUE(SUBSTITUTE(I75, "$", ""))))</f>
        <v>158.12</v>
      </c>
      <c r="K75">
        <f>ROUND(Sheet1[[#This Row],[CleanedUnits_sold]]*Sheet1[[#This Row],[Cleaned_Unit_Price]],2)</f>
        <v>316.24</v>
      </c>
      <c r="M75" s="1" t="s">
        <v>169</v>
      </c>
      <c r="N75" s="1" t="s">
        <v>14</v>
      </c>
      <c r="O75" s="1" t="s">
        <v>169</v>
      </c>
    </row>
    <row r="76" spans="1:15" x14ac:dyDescent="0.35">
      <c r="A76" s="1" t="s">
        <v>170</v>
      </c>
      <c r="B76" s="2">
        <v>44956</v>
      </c>
      <c r="C76" s="1" t="s">
        <v>58</v>
      </c>
      <c r="D76" s="1" t="s">
        <v>24</v>
      </c>
      <c r="E76" s="1" t="str">
        <f>TRIM(CLEAN(Sheet1[[#This Row],[Category]]))</f>
        <v>Electronics</v>
      </c>
      <c r="F76">
        <v>-7</v>
      </c>
      <c r="G76" t="str">
        <f t="shared" si="1"/>
        <v>2. Mid-Market (4-7 Units)</v>
      </c>
      <c r="H76">
        <v>7</v>
      </c>
      <c r="I76">
        <v>448.59</v>
      </c>
      <c r="J76">
        <f>IF(ISBLANK(I76), ROUND(I76/ABS(VALUE(_xlfn.TEXTBEFORE(F76&amp;" ", " "))), 2), ABS(VALUE(SUBSTITUTE(I76, "$", ""))))</f>
        <v>448.59</v>
      </c>
      <c r="K76">
        <f>ROUND(Sheet1[[#This Row],[CleanedUnits_sold]]*Sheet1[[#This Row],[Cleaned_Unit_Price]],2)</f>
        <v>3140.13</v>
      </c>
      <c r="L76">
        <v>1345.77</v>
      </c>
      <c r="M76" s="1" t="s">
        <v>171</v>
      </c>
      <c r="N76" s="1" t="s">
        <v>26</v>
      </c>
      <c r="O76" s="1" t="s">
        <v>171</v>
      </c>
    </row>
    <row r="77" spans="1:15" x14ac:dyDescent="0.35">
      <c r="A77" s="1" t="s">
        <v>172</v>
      </c>
      <c r="B77" s="2">
        <v>1</v>
      </c>
      <c r="C77" s="1" t="s">
        <v>58</v>
      </c>
      <c r="D77" s="1" t="s">
        <v>32</v>
      </c>
      <c r="E77" s="1" t="str">
        <f>TRIM(CLEAN(Sheet1[[#This Row],[Category]]))</f>
        <v>Furniture</v>
      </c>
      <c r="F77">
        <v>4</v>
      </c>
      <c r="G77" t="str">
        <f t="shared" si="1"/>
        <v>2. Mid-Market (4-7 Units)</v>
      </c>
      <c r="H77">
        <v>4</v>
      </c>
      <c r="I77">
        <v>486.31</v>
      </c>
      <c r="J77">
        <f>IF(ISBLANK(I77), ROUND(I77/ABS(VALUE(_xlfn.TEXTBEFORE(F77&amp;" ", " "))), 2), ABS(VALUE(SUBSTITUTE(I77, "$", ""))))</f>
        <v>486.31</v>
      </c>
      <c r="K77">
        <f>ROUND(Sheet1[[#This Row],[CleanedUnits_sold]]*Sheet1[[#This Row],[Cleaned_Unit_Price]],2)</f>
        <v>1945.24</v>
      </c>
      <c r="L77">
        <v>1945.24</v>
      </c>
      <c r="M77" s="1" t="s">
        <v>173</v>
      </c>
      <c r="N77" s="1" t="s">
        <v>26</v>
      </c>
      <c r="O77" s="1" t="s">
        <v>173</v>
      </c>
    </row>
    <row r="78" spans="1:15" x14ac:dyDescent="0.35">
      <c r="A78" s="1" t="s">
        <v>174</v>
      </c>
      <c r="B78" s="2">
        <v>1</v>
      </c>
      <c r="C78" s="1" t="s">
        <v>19</v>
      </c>
      <c r="D78" s="1" t="s">
        <v>12</v>
      </c>
      <c r="E78" s="1" t="str">
        <f>TRIM(CLEAN(Sheet1[[#This Row],[Category]]))</f>
        <v>Office Supplies</v>
      </c>
      <c r="F78">
        <v>7</v>
      </c>
      <c r="G78" t="str">
        <f t="shared" si="1"/>
        <v>2. Mid-Market (4-7 Units)</v>
      </c>
      <c r="H78">
        <v>7</v>
      </c>
      <c r="I78">
        <v>431.07</v>
      </c>
      <c r="J78">
        <f>IF(ISBLANK(I78), ROUND(I78/ABS(VALUE(_xlfn.TEXTBEFORE(F78&amp;" ", " "))), 2), ABS(VALUE(SUBSTITUTE(I78, "$", ""))))</f>
        <v>431.07</v>
      </c>
      <c r="K78">
        <f>ROUND(Sheet1[[#This Row],[CleanedUnits_sold]]*Sheet1[[#This Row],[Cleaned_Unit_Price]],2)</f>
        <v>3017.49</v>
      </c>
      <c r="L78">
        <v>3017.49</v>
      </c>
      <c r="M78" s="1" t="s">
        <v>175</v>
      </c>
      <c r="N78" s="1" t="s">
        <v>26</v>
      </c>
      <c r="O78" s="1" t="s">
        <v>175</v>
      </c>
    </row>
    <row r="79" spans="1:15" x14ac:dyDescent="0.35">
      <c r="A79" s="1" t="s">
        <v>176</v>
      </c>
      <c r="B79" s="2">
        <v>45022</v>
      </c>
      <c r="C79" s="1" t="s">
        <v>23</v>
      </c>
      <c r="D79" s="1" t="s">
        <v>12</v>
      </c>
      <c r="E79" s="1" t="str">
        <f>TRIM(CLEAN(Sheet1[[#This Row],[Category]]))</f>
        <v>Office Supplies</v>
      </c>
      <c r="F79">
        <v>4</v>
      </c>
      <c r="G79" t="str">
        <f t="shared" si="1"/>
        <v>2. Mid-Market (4-7 Units)</v>
      </c>
      <c r="H79">
        <v>4</v>
      </c>
      <c r="I79">
        <v>63.91</v>
      </c>
      <c r="J79">
        <f>IF(ISBLANK(I79), ROUND(I79/ABS(VALUE(_xlfn.TEXTBEFORE(F79&amp;" ", " "))), 2), ABS(VALUE(SUBSTITUTE(I79, "$", ""))))</f>
        <v>63.91</v>
      </c>
      <c r="K79">
        <f>ROUND(Sheet1[[#This Row],[CleanedUnits_sold]]*Sheet1[[#This Row],[Cleaned_Unit_Price]],2)</f>
        <v>255.64</v>
      </c>
      <c r="L79">
        <v>255.64</v>
      </c>
      <c r="M79" s="1"/>
      <c r="N79" s="1" t="s">
        <v>21</v>
      </c>
      <c r="O79" s="1" t="s">
        <v>131</v>
      </c>
    </row>
    <row r="80" spans="1:15" x14ac:dyDescent="0.35">
      <c r="A80" s="1" t="s">
        <v>177</v>
      </c>
      <c r="B80" s="2">
        <v>45272</v>
      </c>
      <c r="C80" s="1" t="s">
        <v>16</v>
      </c>
      <c r="D80" s="1" t="s">
        <v>32</v>
      </c>
      <c r="E80" s="1" t="str">
        <f>TRIM(CLEAN(Sheet1[[#This Row],[Category]]))</f>
        <v>Furniture</v>
      </c>
      <c r="F80">
        <v>3</v>
      </c>
      <c r="G80" t="str">
        <f t="shared" si="1"/>
        <v>1. Retail (1-3 Units)</v>
      </c>
      <c r="H80">
        <v>3</v>
      </c>
      <c r="I80">
        <v>474.24</v>
      </c>
      <c r="J80">
        <f>IF(ISBLANK(I80), ROUND(I80/ABS(VALUE(_xlfn.TEXTBEFORE(F80&amp;" ", " "))), 2), ABS(VALUE(SUBSTITUTE(I80, "$", ""))))</f>
        <v>474.24</v>
      </c>
      <c r="K80">
        <f>ROUND(Sheet1[[#This Row],[CleanedUnits_sold]]*Sheet1[[#This Row],[Cleaned_Unit_Price]],2)</f>
        <v>1422.72</v>
      </c>
      <c r="L80">
        <v>1873.18</v>
      </c>
      <c r="M80" s="1" t="s">
        <v>178</v>
      </c>
      <c r="N80" s="1" t="s">
        <v>26</v>
      </c>
      <c r="O80" s="1" t="s">
        <v>178</v>
      </c>
    </row>
    <row r="81" spans="1:15" x14ac:dyDescent="0.35">
      <c r="A81" s="1" t="s">
        <v>179</v>
      </c>
      <c r="B81" s="2">
        <v>1</v>
      </c>
      <c r="C81" s="1" t="s">
        <v>23</v>
      </c>
      <c r="D81" s="1" t="s">
        <v>46</v>
      </c>
      <c r="E81" s="1" t="str">
        <f>TRIM(CLEAN(Sheet1[[#This Row],[Category]]))</f>
        <v>Furniture</v>
      </c>
      <c r="F81">
        <v>2</v>
      </c>
      <c r="G81" t="str">
        <f t="shared" si="1"/>
        <v>1. Retail (1-3 Units)</v>
      </c>
      <c r="H81">
        <v>2</v>
      </c>
      <c r="I81">
        <v>217.45</v>
      </c>
      <c r="J81">
        <f>IF(ISBLANK(I81), ROUND(I81/ABS(VALUE(_xlfn.TEXTBEFORE(F81&amp;" ", " "))), 2), ABS(VALUE(SUBSTITUTE(I81, "$", ""))))</f>
        <v>217.45</v>
      </c>
      <c r="K81">
        <f>ROUND(Sheet1[[#This Row],[CleanedUnits_sold]]*Sheet1[[#This Row],[Cleaned_Unit_Price]],2)</f>
        <v>434.9</v>
      </c>
      <c r="L81">
        <v>697.5</v>
      </c>
      <c r="M81" s="1" t="s">
        <v>180</v>
      </c>
      <c r="N81" s="1" t="s">
        <v>50</v>
      </c>
      <c r="O81" s="1" t="s">
        <v>180</v>
      </c>
    </row>
    <row r="82" spans="1:15" x14ac:dyDescent="0.35">
      <c r="A82" s="1" t="s">
        <v>181</v>
      </c>
      <c r="B82" s="2">
        <v>44947</v>
      </c>
      <c r="C82" s="1" t="s">
        <v>16</v>
      </c>
      <c r="D82" s="1" t="s">
        <v>46</v>
      </c>
      <c r="E82" s="1" t="str">
        <f>TRIM(CLEAN(Sheet1[[#This Row],[Category]]))</f>
        <v>Furniture</v>
      </c>
      <c r="G82" t="str">
        <f t="shared" si="1"/>
        <v>2. Mid-Market (4-7 Units)</v>
      </c>
      <c r="H82">
        <v>6</v>
      </c>
      <c r="I82">
        <v>14.56</v>
      </c>
      <c r="J82">
        <f>IF(ISBLANK(I82), ROUND(I82/ABS(VALUE(_xlfn.TEXTBEFORE(F82&amp;" ", " "))), 2), ABS(VALUE(SUBSTITUTE(I82, "$", ""))))</f>
        <v>14.56</v>
      </c>
      <c r="K82">
        <f>ROUND(Sheet1[[#This Row],[CleanedUnits_sold]]*Sheet1[[#This Row],[Cleaned_Unit_Price]],2)</f>
        <v>87.36</v>
      </c>
      <c r="L82">
        <v>87.36</v>
      </c>
      <c r="M82" s="1" t="s">
        <v>182</v>
      </c>
      <c r="N82" s="1" t="s">
        <v>21</v>
      </c>
      <c r="O82" s="1" t="s">
        <v>182</v>
      </c>
    </row>
    <row r="83" spans="1:15" x14ac:dyDescent="0.35">
      <c r="A83" s="1" t="s">
        <v>183</v>
      </c>
      <c r="B83" s="2">
        <v>45225</v>
      </c>
      <c r="C83" s="1" t="s">
        <v>16</v>
      </c>
      <c r="D83" s="1" t="s">
        <v>12</v>
      </c>
      <c r="E83" s="1" t="str">
        <f>TRIM(CLEAN(Sheet1[[#This Row],[Category]]))</f>
        <v>Office Supplies</v>
      </c>
      <c r="F83">
        <v>3</v>
      </c>
      <c r="G83" t="str">
        <f t="shared" si="1"/>
        <v>1. Retail (1-3 Units)</v>
      </c>
      <c r="H83">
        <v>3</v>
      </c>
      <c r="I83">
        <v>226.77</v>
      </c>
      <c r="J83">
        <f>IF(ISBLANK(I83), ROUND(I83/ABS(VALUE(_xlfn.TEXTBEFORE(F83&amp;" ", " "))), 2), ABS(VALUE(SUBSTITUTE(I83, "$", ""))))</f>
        <v>226.77</v>
      </c>
      <c r="K83">
        <f>ROUND(Sheet1[[#This Row],[CleanedUnits_sold]]*Sheet1[[#This Row],[Cleaned_Unit_Price]],2)</f>
        <v>680.31</v>
      </c>
      <c r="L83">
        <v>680.31</v>
      </c>
      <c r="M83" s="1" t="s">
        <v>184</v>
      </c>
      <c r="N83" s="1" t="s">
        <v>38</v>
      </c>
      <c r="O83" s="1" t="s">
        <v>184</v>
      </c>
    </row>
    <row r="84" spans="1:15" x14ac:dyDescent="0.35">
      <c r="A84" s="1" t="s">
        <v>185</v>
      </c>
      <c r="B84" s="2">
        <v>45031</v>
      </c>
      <c r="C84" s="1" t="s">
        <v>58</v>
      </c>
      <c r="D84" s="1" t="s">
        <v>12</v>
      </c>
      <c r="E84" s="1" t="str">
        <f>TRIM(CLEAN(Sheet1[[#This Row],[Category]]))</f>
        <v>Office Supplies</v>
      </c>
      <c r="F84">
        <v>5</v>
      </c>
      <c r="G84" t="str">
        <f t="shared" si="1"/>
        <v>2. Mid-Market (4-7 Units)</v>
      </c>
      <c r="H84">
        <v>5</v>
      </c>
      <c r="I84">
        <v>32.57</v>
      </c>
      <c r="J84">
        <f>IF(ISBLANK(I84), ROUND(I84/ABS(VALUE(_xlfn.TEXTBEFORE(F84&amp;" ", " "))), 2), ABS(VALUE(SUBSTITUTE(I84, "$", ""))))</f>
        <v>32.57</v>
      </c>
      <c r="K84">
        <f>ROUND(Sheet1[[#This Row],[CleanedUnits_sold]]*Sheet1[[#This Row],[Cleaned_Unit_Price]],2)</f>
        <v>162.85</v>
      </c>
      <c r="M84" s="1" t="s">
        <v>186</v>
      </c>
      <c r="N84" s="1" t="s">
        <v>14</v>
      </c>
      <c r="O84" s="1" t="s">
        <v>186</v>
      </c>
    </row>
    <row r="85" spans="1:15" x14ac:dyDescent="0.35">
      <c r="A85" s="1" t="s">
        <v>187</v>
      </c>
      <c r="B85" s="2">
        <v>1</v>
      </c>
      <c r="C85" s="1" t="s">
        <v>58</v>
      </c>
      <c r="D85" s="1" t="s">
        <v>24</v>
      </c>
      <c r="E85" s="1" t="str">
        <f>TRIM(CLEAN(Sheet1[[#This Row],[Category]]))</f>
        <v>Electronics</v>
      </c>
      <c r="F85">
        <v>9</v>
      </c>
      <c r="G85" t="str">
        <f t="shared" si="1"/>
        <v>3. Wholesale / Bulk (8+ Units)</v>
      </c>
      <c r="H85">
        <v>9</v>
      </c>
      <c r="I85">
        <v>276.5</v>
      </c>
      <c r="J85">
        <f>IF(ISBLANK(I85), ROUND(I85/ABS(VALUE(_xlfn.TEXTBEFORE(F85&amp;" ", " "))), 2), ABS(VALUE(SUBSTITUTE(I85, "$", ""))))</f>
        <v>276.5</v>
      </c>
      <c r="K85">
        <f>ROUND(Sheet1[[#This Row],[CleanedUnits_sold]]*Sheet1[[#This Row],[Cleaned_Unit_Price]],2)</f>
        <v>2488.5</v>
      </c>
      <c r="L85">
        <v>2488.5</v>
      </c>
      <c r="M85" s="1" t="s">
        <v>188</v>
      </c>
      <c r="N85" s="1" t="s">
        <v>26</v>
      </c>
      <c r="O85" s="1" t="s">
        <v>188</v>
      </c>
    </row>
    <row r="86" spans="1:15" x14ac:dyDescent="0.35">
      <c r="A86" s="1" t="s">
        <v>189</v>
      </c>
      <c r="B86" s="2">
        <v>45080</v>
      </c>
      <c r="C86" s="1" t="s">
        <v>58</v>
      </c>
      <c r="D86" s="1" t="s">
        <v>32</v>
      </c>
      <c r="E86" s="1" t="str">
        <f>TRIM(CLEAN(Sheet1[[#This Row],[Category]]))</f>
        <v>Furniture</v>
      </c>
      <c r="F86">
        <v>6</v>
      </c>
      <c r="G86" t="str">
        <f t="shared" si="1"/>
        <v>2. Mid-Market (4-7 Units)</v>
      </c>
      <c r="H86">
        <v>6</v>
      </c>
      <c r="I86">
        <v>175.89</v>
      </c>
      <c r="J86">
        <f>IF(ISBLANK(I86), ROUND(I86/ABS(VALUE(_xlfn.TEXTBEFORE(F86&amp;" ", " "))), 2), ABS(VALUE(SUBSTITUTE(I86, "$", ""))))</f>
        <v>175.89</v>
      </c>
      <c r="K86">
        <f>ROUND(Sheet1[[#This Row],[CleanedUnits_sold]]*Sheet1[[#This Row],[Cleaned_Unit_Price]],2)</f>
        <v>1055.3399999999999</v>
      </c>
      <c r="L86">
        <v>1055.3399999999999</v>
      </c>
      <c r="M86" s="1" t="s">
        <v>190</v>
      </c>
      <c r="N86" s="1" t="s">
        <v>26</v>
      </c>
      <c r="O86" s="1" t="s">
        <v>190</v>
      </c>
    </row>
    <row r="87" spans="1:15" x14ac:dyDescent="0.35">
      <c r="A87" s="1" t="s">
        <v>191</v>
      </c>
      <c r="B87" s="2">
        <v>44964</v>
      </c>
      <c r="C87" s="1" t="s">
        <v>16</v>
      </c>
      <c r="D87" s="1" t="s">
        <v>24</v>
      </c>
      <c r="E87" s="1" t="str">
        <f>TRIM(CLEAN(Sheet1[[#This Row],[Category]]))</f>
        <v>Electronics</v>
      </c>
      <c r="F87">
        <v>6</v>
      </c>
      <c r="G87" t="str">
        <f t="shared" si="1"/>
        <v>2. Mid-Market (4-7 Units)</v>
      </c>
      <c r="H87">
        <v>6</v>
      </c>
      <c r="I87">
        <v>241.98</v>
      </c>
      <c r="J87">
        <f>IF(ISBLANK(I87), ROUND(I87/ABS(VALUE(_xlfn.TEXTBEFORE(F87&amp;" ", " "))), 2), ABS(VALUE(SUBSTITUTE(I87, "$", ""))))</f>
        <v>241.98</v>
      </c>
      <c r="K87">
        <f>ROUND(Sheet1[[#This Row],[CleanedUnits_sold]]*Sheet1[[#This Row],[Cleaned_Unit_Price]],2)</f>
        <v>1451.88</v>
      </c>
      <c r="L87">
        <v>1656.48</v>
      </c>
      <c r="M87" s="1" t="s">
        <v>49</v>
      </c>
      <c r="N87" s="1" t="s">
        <v>14</v>
      </c>
      <c r="O87" s="1" t="s">
        <v>51</v>
      </c>
    </row>
    <row r="88" spans="1:15" x14ac:dyDescent="0.35">
      <c r="A88" s="1" t="s">
        <v>192</v>
      </c>
      <c r="B88" s="2">
        <v>45215</v>
      </c>
      <c r="C88" s="1" t="s">
        <v>16</v>
      </c>
      <c r="D88" s="1" t="s">
        <v>12</v>
      </c>
      <c r="E88" s="1" t="str">
        <f>TRIM(CLEAN(Sheet1[[#This Row],[Category]]))</f>
        <v>Office Supplies</v>
      </c>
      <c r="F88">
        <v>9</v>
      </c>
      <c r="G88" t="str">
        <f t="shared" si="1"/>
        <v>3. Wholesale / Bulk (8+ Units)</v>
      </c>
      <c r="H88">
        <v>9</v>
      </c>
      <c r="I88">
        <v>310.45</v>
      </c>
      <c r="J88">
        <f>IF(ISBLANK(I88), ROUND(I88/ABS(VALUE(_xlfn.TEXTBEFORE(F88&amp;" ", " "))), 2), ABS(VALUE(SUBSTITUTE(I88, "$", ""))))</f>
        <v>310.45</v>
      </c>
      <c r="K88">
        <f>ROUND(Sheet1[[#This Row],[CleanedUnits_sold]]*Sheet1[[#This Row],[Cleaned_Unit_Price]],2)</f>
        <v>2794.05</v>
      </c>
      <c r="L88">
        <v>2794.05</v>
      </c>
      <c r="M88" s="1" t="s">
        <v>193</v>
      </c>
      <c r="N88" s="1" t="s">
        <v>50</v>
      </c>
      <c r="O88" s="1" t="s">
        <v>193</v>
      </c>
    </row>
    <row r="89" spans="1:15" x14ac:dyDescent="0.35">
      <c r="A89" s="1" t="s">
        <v>194</v>
      </c>
      <c r="B89" s="2">
        <v>1</v>
      </c>
      <c r="C89" s="1" t="s">
        <v>58</v>
      </c>
      <c r="D89" s="1" t="s">
        <v>24</v>
      </c>
      <c r="E89" s="1" t="str">
        <f>TRIM(CLEAN(Sheet1[[#This Row],[Category]]))</f>
        <v>Electronics</v>
      </c>
      <c r="F89">
        <v>4</v>
      </c>
      <c r="G89" t="str">
        <f t="shared" si="1"/>
        <v>2. Mid-Market (4-7 Units)</v>
      </c>
      <c r="H89">
        <v>4</v>
      </c>
      <c r="I89">
        <v>435.71</v>
      </c>
      <c r="J89">
        <f>IF(ISBLANK(I89), ROUND(I89/ABS(VALUE(_xlfn.TEXTBEFORE(F89&amp;" ", " "))), 2), ABS(VALUE(SUBSTITUTE(I89, "$", ""))))</f>
        <v>435.71</v>
      </c>
      <c r="K89">
        <f>ROUND(Sheet1[[#This Row],[CleanedUnits_sold]]*Sheet1[[#This Row],[Cleaned_Unit_Price]],2)</f>
        <v>1742.84</v>
      </c>
      <c r="L89">
        <v>1742.84</v>
      </c>
      <c r="M89" s="1" t="s">
        <v>195</v>
      </c>
      <c r="N89" s="1" t="s">
        <v>14</v>
      </c>
      <c r="O89" s="1" t="s">
        <v>195</v>
      </c>
    </row>
    <row r="90" spans="1:15" x14ac:dyDescent="0.35">
      <c r="A90" s="1" t="s">
        <v>196</v>
      </c>
      <c r="B90" s="2">
        <v>1</v>
      </c>
      <c r="C90" s="1" t="s">
        <v>16</v>
      </c>
      <c r="D90" s="1" t="s">
        <v>24</v>
      </c>
      <c r="E90" s="1" t="str">
        <f>TRIM(CLEAN(Sheet1[[#This Row],[Category]]))</f>
        <v>Electronics</v>
      </c>
      <c r="F90">
        <v>9</v>
      </c>
      <c r="G90" t="str">
        <f t="shared" si="1"/>
        <v>3. Wholesale / Bulk (8+ Units)</v>
      </c>
      <c r="H90">
        <v>9</v>
      </c>
      <c r="I90">
        <v>334.33</v>
      </c>
      <c r="J90">
        <f>IF(ISBLANK(I90), ROUND(I90/ABS(VALUE(_xlfn.TEXTBEFORE(F90&amp;" ", " "))), 2), ABS(VALUE(SUBSTITUTE(I90, "$", ""))))</f>
        <v>334.33</v>
      </c>
      <c r="K90">
        <f>ROUND(Sheet1[[#This Row],[CleanedUnits_sold]]*Sheet1[[#This Row],[Cleaned_Unit_Price]],2)</f>
        <v>3008.97</v>
      </c>
      <c r="L90">
        <v>3008.97</v>
      </c>
      <c r="M90" s="1" t="s">
        <v>197</v>
      </c>
      <c r="N90" s="1" t="s">
        <v>26</v>
      </c>
      <c r="O90" s="1" t="s">
        <v>197</v>
      </c>
    </row>
    <row r="91" spans="1:15" x14ac:dyDescent="0.35">
      <c r="A91" s="1" t="s">
        <v>198</v>
      </c>
      <c r="B91" s="2">
        <v>45048</v>
      </c>
      <c r="C91" s="1" t="s">
        <v>11</v>
      </c>
      <c r="D91" s="1" t="s">
        <v>32</v>
      </c>
      <c r="E91" s="1" t="str">
        <f>TRIM(CLEAN(Sheet1[[#This Row],[Category]]))</f>
        <v>Furniture</v>
      </c>
      <c r="F91">
        <v>2</v>
      </c>
      <c r="G91" t="str">
        <f t="shared" si="1"/>
        <v>1. Retail (1-3 Units)</v>
      </c>
      <c r="H91">
        <v>2</v>
      </c>
      <c r="I91">
        <v>222.68</v>
      </c>
      <c r="J91">
        <f>IF(ISBLANK(I91), ROUND(I91/ABS(VALUE(_xlfn.TEXTBEFORE(F91&amp;" ", " "))), 2), ABS(VALUE(SUBSTITUTE(I91, "$", ""))))</f>
        <v>222.68</v>
      </c>
      <c r="K91">
        <f>ROUND(Sheet1[[#This Row],[CleanedUnits_sold]]*Sheet1[[#This Row],[Cleaned_Unit_Price]],2)</f>
        <v>445.36</v>
      </c>
      <c r="L91">
        <v>445.36</v>
      </c>
      <c r="M91" s="1" t="s">
        <v>199</v>
      </c>
      <c r="N91" s="1" t="s">
        <v>50</v>
      </c>
      <c r="O91" s="1" t="s">
        <v>199</v>
      </c>
    </row>
    <row r="92" spans="1:15" x14ac:dyDescent="0.35">
      <c r="A92" s="1" t="s">
        <v>200</v>
      </c>
      <c r="B92" s="2">
        <v>45007</v>
      </c>
      <c r="C92" s="1" t="s">
        <v>19</v>
      </c>
      <c r="D92" s="1" t="s">
        <v>12</v>
      </c>
      <c r="E92" s="1" t="str">
        <f>TRIM(CLEAN(Sheet1[[#This Row],[Category]]))</f>
        <v>Office Supplies</v>
      </c>
      <c r="F92">
        <v>10</v>
      </c>
      <c r="G92" t="str">
        <f t="shared" si="1"/>
        <v>3. Wholesale / Bulk (8+ Units)</v>
      </c>
      <c r="H92">
        <v>10</v>
      </c>
      <c r="I92">
        <v>411.52</v>
      </c>
      <c r="J92">
        <f>IF(ISBLANK(I92), ROUND(I92/ABS(VALUE(_xlfn.TEXTBEFORE(F92&amp;" ", " "))), 2), ABS(VALUE(SUBSTITUTE(I92, "$", ""))))</f>
        <v>411.52</v>
      </c>
      <c r="K92">
        <f>ROUND(Sheet1[[#This Row],[CleanedUnits_sold]]*Sheet1[[#This Row],[Cleaned_Unit_Price]],2)</f>
        <v>4115.2</v>
      </c>
      <c r="L92">
        <v>4115.2</v>
      </c>
      <c r="M92" s="1" t="s">
        <v>201</v>
      </c>
      <c r="N92" s="1" t="s">
        <v>14</v>
      </c>
      <c r="O92" s="1" t="s">
        <v>201</v>
      </c>
    </row>
    <row r="93" spans="1:15" x14ac:dyDescent="0.35">
      <c r="A93" s="1" t="s">
        <v>202</v>
      </c>
      <c r="B93" s="2">
        <v>45287</v>
      </c>
      <c r="C93" s="1" t="s">
        <v>23</v>
      </c>
      <c r="D93" s="1" t="s">
        <v>24</v>
      </c>
      <c r="E93" s="1" t="str">
        <f>TRIM(CLEAN(Sheet1[[#This Row],[Category]]))</f>
        <v>Electronics</v>
      </c>
      <c r="F93">
        <v>6</v>
      </c>
      <c r="G93" t="str">
        <f t="shared" si="1"/>
        <v>2. Mid-Market (4-7 Units)</v>
      </c>
      <c r="H93">
        <v>6</v>
      </c>
      <c r="I93">
        <v>453.74</v>
      </c>
      <c r="J93">
        <f>IF(ISBLANK(I93), ROUND(I93/ABS(VALUE(_xlfn.TEXTBEFORE(F93&amp;" ", " "))), 2), ABS(VALUE(SUBSTITUTE(I93, "$", ""))))</f>
        <v>453.74</v>
      </c>
      <c r="K93">
        <f>ROUND(Sheet1[[#This Row],[CleanedUnits_sold]]*Sheet1[[#This Row],[Cleaned_Unit_Price]],2)</f>
        <v>2722.44</v>
      </c>
      <c r="L93">
        <v>2722.44</v>
      </c>
      <c r="M93" s="1" t="s">
        <v>203</v>
      </c>
      <c r="N93" s="1" t="s">
        <v>14</v>
      </c>
      <c r="O93" s="1" t="s">
        <v>203</v>
      </c>
    </row>
    <row r="94" spans="1:15" x14ac:dyDescent="0.35">
      <c r="A94" s="1" t="s">
        <v>204</v>
      </c>
      <c r="B94" s="2">
        <v>45261</v>
      </c>
      <c r="C94" s="1" t="s">
        <v>23</v>
      </c>
      <c r="D94" s="1" t="s">
        <v>32</v>
      </c>
      <c r="E94" s="1" t="str">
        <f>TRIM(CLEAN(Sheet1[[#This Row],[Category]]))</f>
        <v>Furniture</v>
      </c>
      <c r="F94">
        <v>9</v>
      </c>
      <c r="G94" t="str">
        <f t="shared" si="1"/>
        <v>3. Wholesale / Bulk (8+ Units)</v>
      </c>
      <c r="H94">
        <v>9</v>
      </c>
      <c r="I94">
        <v>68.680000000000007</v>
      </c>
      <c r="J94">
        <f>IF(ISBLANK(I94), ROUND(I94/ABS(VALUE(_xlfn.TEXTBEFORE(F94&amp;" ", " "))), 2), ABS(VALUE(SUBSTITUTE(I94, "$", ""))))</f>
        <v>68.680000000000007</v>
      </c>
      <c r="K94">
        <f>ROUND(Sheet1[[#This Row],[CleanedUnits_sold]]*Sheet1[[#This Row],[Cleaned_Unit_Price]],2)</f>
        <v>618.12</v>
      </c>
      <c r="L94">
        <v>618.12</v>
      </c>
      <c r="M94" s="1" t="s">
        <v>49</v>
      </c>
      <c r="N94" s="1" t="s">
        <v>14</v>
      </c>
      <c r="O94" s="1" t="s">
        <v>51</v>
      </c>
    </row>
    <row r="95" spans="1:15" x14ac:dyDescent="0.35">
      <c r="A95" s="1" t="s">
        <v>205</v>
      </c>
      <c r="B95" s="2">
        <v>45210</v>
      </c>
      <c r="C95" s="1" t="s">
        <v>11</v>
      </c>
      <c r="D95" s="1" t="s">
        <v>32</v>
      </c>
      <c r="E95" s="1" t="str">
        <f>TRIM(CLEAN(Sheet1[[#This Row],[Category]]))</f>
        <v>Furniture</v>
      </c>
      <c r="F95">
        <v>4</v>
      </c>
      <c r="G95" t="str">
        <f t="shared" si="1"/>
        <v>2. Mid-Market (4-7 Units)</v>
      </c>
      <c r="H95">
        <v>4</v>
      </c>
      <c r="I95">
        <v>270.64999999999998</v>
      </c>
      <c r="J95">
        <f>IF(ISBLANK(I95), ROUND(I95/ABS(VALUE(_xlfn.TEXTBEFORE(F95&amp;" ", " "))), 2), ABS(VALUE(SUBSTITUTE(I95, "$", ""))))</f>
        <v>270.64999999999998</v>
      </c>
      <c r="K95">
        <f>ROUND(Sheet1[[#This Row],[CleanedUnits_sold]]*Sheet1[[#This Row],[Cleaned_Unit_Price]],2)</f>
        <v>1082.5999999999999</v>
      </c>
      <c r="M95" s="1" t="s">
        <v>206</v>
      </c>
      <c r="N95" s="1" t="s">
        <v>50</v>
      </c>
      <c r="O95" s="1" t="s">
        <v>206</v>
      </c>
    </row>
    <row r="96" spans="1:15" x14ac:dyDescent="0.35">
      <c r="A96" s="1" t="s">
        <v>207</v>
      </c>
      <c r="B96" s="2">
        <v>1</v>
      </c>
      <c r="C96" s="1" t="s">
        <v>23</v>
      </c>
      <c r="D96" s="1" t="s">
        <v>12</v>
      </c>
      <c r="E96" s="1" t="str">
        <f>TRIM(CLEAN(Sheet1[[#This Row],[Category]]))</f>
        <v>Office Supplies</v>
      </c>
      <c r="F96">
        <v>-5</v>
      </c>
      <c r="G96" t="str">
        <f t="shared" si="1"/>
        <v>2. Mid-Market (4-7 Units)</v>
      </c>
      <c r="H96">
        <v>5</v>
      </c>
      <c r="I96">
        <v>149.41</v>
      </c>
      <c r="J96">
        <f>IF(ISBLANK(I96), ROUND(I96/ABS(VALUE(_xlfn.TEXTBEFORE(F96&amp;" ", " "))), 2), ABS(VALUE(SUBSTITUTE(I96, "$", ""))))</f>
        <v>149.41</v>
      </c>
      <c r="K96">
        <f>ROUND(Sheet1[[#This Row],[CleanedUnits_sold]]*Sheet1[[#This Row],[Cleaned_Unit_Price]],2)</f>
        <v>747.05</v>
      </c>
      <c r="L96">
        <v>149.41</v>
      </c>
      <c r="M96" s="1" t="s">
        <v>208</v>
      </c>
      <c r="N96" s="1" t="s">
        <v>21</v>
      </c>
      <c r="O96" s="1" t="s">
        <v>208</v>
      </c>
    </row>
    <row r="97" spans="1:15" x14ac:dyDescent="0.35">
      <c r="A97" s="1" t="s">
        <v>209</v>
      </c>
      <c r="B97" s="2">
        <v>1</v>
      </c>
      <c r="C97" s="1" t="s">
        <v>19</v>
      </c>
      <c r="D97" s="1" t="s">
        <v>12</v>
      </c>
      <c r="E97" s="1" t="str">
        <f>TRIM(CLEAN(Sheet1[[#This Row],[Category]]))</f>
        <v>Office Supplies</v>
      </c>
      <c r="F97">
        <v>6</v>
      </c>
      <c r="G97" t="str">
        <f t="shared" si="1"/>
        <v>2. Mid-Market (4-7 Units)</v>
      </c>
      <c r="H97">
        <v>6</v>
      </c>
      <c r="I97">
        <v>33.06</v>
      </c>
      <c r="J97">
        <f>IF(ISBLANK(I97), ROUND(I97/ABS(VALUE(_xlfn.TEXTBEFORE(F97&amp;" ", " "))), 2), ABS(VALUE(SUBSTITUTE(I97, "$", ""))))</f>
        <v>33.06</v>
      </c>
      <c r="K97">
        <f>ROUND(Sheet1[[#This Row],[CleanedUnits_sold]]*Sheet1[[#This Row],[Cleaned_Unit_Price]],2)</f>
        <v>198.36</v>
      </c>
      <c r="M97" s="1" t="s">
        <v>210</v>
      </c>
      <c r="N97" s="1" t="s">
        <v>38</v>
      </c>
      <c r="O97" s="1" t="s">
        <v>210</v>
      </c>
    </row>
    <row r="98" spans="1:15" x14ac:dyDescent="0.35">
      <c r="A98" s="1" t="s">
        <v>211</v>
      </c>
      <c r="B98" s="2">
        <v>45088</v>
      </c>
      <c r="C98" s="1" t="s">
        <v>58</v>
      </c>
      <c r="D98" s="1" t="s">
        <v>12</v>
      </c>
      <c r="E98" s="1" t="str">
        <f>TRIM(CLEAN(Sheet1[[#This Row],[Category]]))</f>
        <v>Office Supplies</v>
      </c>
      <c r="G98" t="str">
        <f t="shared" si="1"/>
        <v>3. Wholesale / Bulk (8+ Units)</v>
      </c>
      <c r="H98">
        <v>8</v>
      </c>
      <c r="I98">
        <v>337.59</v>
      </c>
      <c r="J98">
        <f>IF(ISBLANK(I98), ROUND(I98/ABS(VALUE(_xlfn.TEXTBEFORE(F98&amp;" ", " "))), 2), ABS(VALUE(SUBSTITUTE(I98, "$", ""))))</f>
        <v>337.59</v>
      </c>
      <c r="K98">
        <f>ROUND(Sheet1[[#This Row],[CleanedUnits_sold]]*Sheet1[[#This Row],[Cleaned_Unit_Price]],2)</f>
        <v>2700.72</v>
      </c>
      <c r="L98">
        <v>2700.72</v>
      </c>
      <c r="M98" s="1" t="s">
        <v>212</v>
      </c>
      <c r="N98" s="1" t="s">
        <v>50</v>
      </c>
      <c r="O98" s="1" t="s">
        <v>212</v>
      </c>
    </row>
    <row r="99" spans="1:15" x14ac:dyDescent="0.35">
      <c r="A99" s="1" t="s">
        <v>213</v>
      </c>
      <c r="B99" s="2">
        <v>45031</v>
      </c>
      <c r="C99" s="1" t="s">
        <v>58</v>
      </c>
      <c r="D99" s="1" t="s">
        <v>46</v>
      </c>
      <c r="E99" s="1" t="str">
        <f>TRIM(CLEAN(Sheet1[[#This Row],[Category]]))</f>
        <v>Furniture</v>
      </c>
      <c r="F99">
        <v>6</v>
      </c>
      <c r="G99" t="str">
        <f t="shared" si="1"/>
        <v>2. Mid-Market (4-7 Units)</v>
      </c>
      <c r="H99">
        <v>6</v>
      </c>
      <c r="I99">
        <v>432.76</v>
      </c>
      <c r="J99">
        <f>IF(ISBLANK(I99), ROUND(I99/ABS(VALUE(_xlfn.TEXTBEFORE(F99&amp;" ", " "))), 2), ABS(VALUE(SUBSTITUTE(I99, "$", ""))))</f>
        <v>432.76</v>
      </c>
      <c r="K99">
        <f>ROUND(Sheet1[[#This Row],[CleanedUnits_sold]]*Sheet1[[#This Row],[Cleaned_Unit_Price]],2)</f>
        <v>2596.56</v>
      </c>
      <c r="L99">
        <v>2596.56</v>
      </c>
      <c r="M99" s="1" t="s">
        <v>214</v>
      </c>
      <c r="N99" s="1" t="s">
        <v>26</v>
      </c>
      <c r="O99" s="1" t="s">
        <v>214</v>
      </c>
    </row>
    <row r="100" spans="1:15" x14ac:dyDescent="0.35">
      <c r="A100" s="1" t="s">
        <v>215</v>
      </c>
      <c r="B100" s="2">
        <v>45055</v>
      </c>
      <c r="C100" s="1" t="s">
        <v>19</v>
      </c>
      <c r="D100" s="1" t="s">
        <v>12</v>
      </c>
      <c r="E100" s="1" t="str">
        <f>TRIM(CLEAN(Sheet1[[#This Row],[Category]]))</f>
        <v>Office Supplies</v>
      </c>
      <c r="F100">
        <v>2</v>
      </c>
      <c r="G100" t="str">
        <f t="shared" si="1"/>
        <v>1. Retail (1-3 Units)</v>
      </c>
      <c r="H100">
        <v>2</v>
      </c>
      <c r="I100">
        <v>89.82</v>
      </c>
      <c r="J100">
        <f>IF(ISBLANK(I100), ROUND(I100/ABS(VALUE(_xlfn.TEXTBEFORE(F100&amp;" ", " "))), 2), ABS(VALUE(SUBSTITUTE(I100, "$", ""))))</f>
        <v>89.82</v>
      </c>
      <c r="K100">
        <f>ROUND(Sheet1[[#This Row],[CleanedUnits_sold]]*Sheet1[[#This Row],[Cleaned_Unit_Price]],2)</f>
        <v>179.64</v>
      </c>
      <c r="M100" s="1" t="s">
        <v>216</v>
      </c>
      <c r="N100" s="1" t="s">
        <v>26</v>
      </c>
      <c r="O100" s="1" t="s">
        <v>216</v>
      </c>
    </row>
    <row r="101" spans="1:15" x14ac:dyDescent="0.35">
      <c r="A101" s="1" t="s">
        <v>217</v>
      </c>
      <c r="B101" s="2">
        <v>1</v>
      </c>
      <c r="C101" s="1" t="s">
        <v>16</v>
      </c>
      <c r="D101" s="1" t="s">
        <v>12</v>
      </c>
      <c r="E101" s="1" t="str">
        <f>TRIM(CLEAN(Sheet1[[#This Row],[Category]]))</f>
        <v>Office Supplies</v>
      </c>
      <c r="F101">
        <v>3</v>
      </c>
      <c r="G101" t="str">
        <f t="shared" si="1"/>
        <v>1. Retail (1-3 Units)</v>
      </c>
      <c r="H101">
        <v>3</v>
      </c>
      <c r="I101">
        <v>408.08</v>
      </c>
      <c r="J101">
        <f>IF(ISBLANK(I101), ROUND(I101/ABS(VALUE(_xlfn.TEXTBEFORE(F101&amp;" ", " "))), 2), ABS(VALUE(SUBSTITUTE(I101, "$", ""))))</f>
        <v>408.08</v>
      </c>
      <c r="K101">
        <f>ROUND(Sheet1[[#This Row],[CleanedUnits_sold]]*Sheet1[[#This Row],[Cleaned_Unit_Price]],2)</f>
        <v>1224.24</v>
      </c>
      <c r="L101">
        <v>1487.16</v>
      </c>
      <c r="M101" s="1" t="s">
        <v>218</v>
      </c>
      <c r="N101" s="1" t="s">
        <v>26</v>
      </c>
      <c r="O101" s="1" t="s">
        <v>218</v>
      </c>
    </row>
    <row r="102" spans="1:15" x14ac:dyDescent="0.35">
      <c r="A102" s="1" t="s">
        <v>219</v>
      </c>
      <c r="B102" s="2">
        <v>45068</v>
      </c>
      <c r="C102" s="1" t="s">
        <v>16</v>
      </c>
      <c r="D102" s="1" t="s">
        <v>12</v>
      </c>
      <c r="E102" s="1" t="str">
        <f>TRIM(CLEAN(Sheet1[[#This Row],[Category]]))</f>
        <v>Office Supplies</v>
      </c>
      <c r="F102">
        <v>5</v>
      </c>
      <c r="G102" t="str">
        <f t="shared" si="1"/>
        <v>2. Mid-Market (4-7 Units)</v>
      </c>
      <c r="H102">
        <v>5</v>
      </c>
      <c r="I102">
        <v>428.16</v>
      </c>
      <c r="J102">
        <f>IF(ISBLANK(I102), ROUND(I102/ABS(VALUE(_xlfn.TEXTBEFORE(F102&amp;" ", " "))), 2), ABS(VALUE(SUBSTITUTE(I102, "$", ""))))</f>
        <v>428.16</v>
      </c>
      <c r="K102">
        <f>ROUND(Sheet1[[#This Row],[CleanedUnits_sold]]*Sheet1[[#This Row],[Cleaned_Unit_Price]],2)</f>
        <v>2140.8000000000002</v>
      </c>
      <c r="L102">
        <v>2140.8000000000002</v>
      </c>
      <c r="M102" s="1" t="s">
        <v>220</v>
      </c>
      <c r="N102" s="1" t="s">
        <v>38</v>
      </c>
      <c r="O102" s="1" t="s">
        <v>220</v>
      </c>
    </row>
    <row r="103" spans="1:15" x14ac:dyDescent="0.35">
      <c r="A103" s="1" t="s">
        <v>221</v>
      </c>
      <c r="B103" s="2">
        <v>1</v>
      </c>
      <c r="C103" s="1" t="s">
        <v>11</v>
      </c>
      <c r="D103" s="1" t="s">
        <v>24</v>
      </c>
      <c r="E103" s="1" t="str">
        <f>TRIM(CLEAN(Sheet1[[#This Row],[Category]]))</f>
        <v>Electronics</v>
      </c>
      <c r="F103">
        <v>3</v>
      </c>
      <c r="G103" t="str">
        <f t="shared" si="1"/>
        <v>1. Retail (1-3 Units)</v>
      </c>
      <c r="H103">
        <v>3</v>
      </c>
      <c r="I103">
        <v>458.03</v>
      </c>
      <c r="J103">
        <f>IF(ISBLANK(I103), ROUND(I103/ABS(VALUE(_xlfn.TEXTBEFORE(F103&amp;" ", " "))), 2), ABS(VALUE(SUBSTITUTE(I103, "$", ""))))</f>
        <v>458.03</v>
      </c>
      <c r="K103">
        <f>ROUND(Sheet1[[#This Row],[CleanedUnits_sold]]*Sheet1[[#This Row],[Cleaned_Unit_Price]],2)</f>
        <v>1374.09</v>
      </c>
      <c r="L103">
        <v>1869.75</v>
      </c>
      <c r="M103" s="1" t="s">
        <v>222</v>
      </c>
      <c r="N103" s="1" t="s">
        <v>26</v>
      </c>
      <c r="O103" s="1" t="s">
        <v>222</v>
      </c>
    </row>
    <row r="104" spans="1:15" x14ac:dyDescent="0.35">
      <c r="A104" s="1" t="s">
        <v>223</v>
      </c>
      <c r="B104" s="2">
        <v>45253</v>
      </c>
      <c r="C104" s="1" t="s">
        <v>23</v>
      </c>
      <c r="D104" s="1" t="s">
        <v>12</v>
      </c>
      <c r="E104" s="1" t="str">
        <f>TRIM(CLEAN(Sheet1[[#This Row],[Category]]))</f>
        <v>Office Supplies</v>
      </c>
      <c r="F104">
        <v>3</v>
      </c>
      <c r="G104" t="str">
        <f t="shared" si="1"/>
        <v>1. Retail (1-3 Units)</v>
      </c>
      <c r="H104">
        <v>3</v>
      </c>
      <c r="I104">
        <v>139.99</v>
      </c>
      <c r="J104">
        <f>IF(ISBLANK(I104), ROUND(I104/ABS(VALUE(_xlfn.TEXTBEFORE(F104&amp;" ", " "))), 2), ABS(VALUE(SUBSTITUTE(I104, "$", ""))))</f>
        <v>139.99</v>
      </c>
      <c r="K104">
        <f>ROUND(Sheet1[[#This Row],[CleanedUnits_sold]]*Sheet1[[#This Row],[Cleaned_Unit_Price]],2)</f>
        <v>419.97</v>
      </c>
      <c r="L104">
        <v>419.97</v>
      </c>
      <c r="M104" s="1" t="s">
        <v>224</v>
      </c>
      <c r="N104" s="1" t="s">
        <v>50</v>
      </c>
      <c r="O104" s="1" t="s">
        <v>224</v>
      </c>
    </row>
    <row r="105" spans="1:15" x14ac:dyDescent="0.35">
      <c r="A105" s="1" t="s">
        <v>225</v>
      </c>
      <c r="B105" s="2">
        <v>45153</v>
      </c>
      <c r="C105" s="1" t="s">
        <v>16</v>
      </c>
      <c r="D105" s="1" t="s">
        <v>24</v>
      </c>
      <c r="E105" s="1" t="str">
        <f>TRIM(CLEAN(Sheet1[[#This Row],[Category]]))</f>
        <v>Electronics</v>
      </c>
      <c r="F105">
        <v>5</v>
      </c>
      <c r="G105" t="str">
        <f t="shared" si="1"/>
        <v>2. Mid-Market (4-7 Units)</v>
      </c>
      <c r="H105">
        <v>5</v>
      </c>
      <c r="I105">
        <v>452.94</v>
      </c>
      <c r="J105">
        <f>IF(ISBLANK(I105), ROUND(I105/ABS(VALUE(_xlfn.TEXTBEFORE(F105&amp;" ", " "))), 2), ABS(VALUE(SUBSTITUTE(I105, "$", ""))))</f>
        <v>452.94</v>
      </c>
      <c r="K105">
        <f>ROUND(Sheet1[[#This Row],[CleanedUnits_sold]]*Sheet1[[#This Row],[Cleaned_Unit_Price]],2)</f>
        <v>2264.6999999999998</v>
      </c>
      <c r="L105">
        <v>2264.6999999999998</v>
      </c>
      <c r="M105" s="1" t="s">
        <v>226</v>
      </c>
      <c r="N105" s="1" t="s">
        <v>14</v>
      </c>
      <c r="O105" s="1" t="s">
        <v>226</v>
      </c>
    </row>
    <row r="106" spans="1:15" x14ac:dyDescent="0.35">
      <c r="A106" s="1" t="s">
        <v>227</v>
      </c>
      <c r="B106" s="2">
        <v>44984</v>
      </c>
      <c r="C106" s="1" t="s">
        <v>58</v>
      </c>
      <c r="D106" s="1" t="s">
        <v>32</v>
      </c>
      <c r="E106" s="1" t="str">
        <f>TRIM(CLEAN(Sheet1[[#This Row],[Category]]))</f>
        <v>Furniture</v>
      </c>
      <c r="F106">
        <v>6</v>
      </c>
      <c r="G106" t="str">
        <f t="shared" si="1"/>
        <v>2. Mid-Market (4-7 Units)</v>
      </c>
      <c r="H106">
        <v>6</v>
      </c>
      <c r="I106">
        <v>167.12</v>
      </c>
      <c r="J106">
        <f>IF(ISBLANK(I106), ROUND(I106/ABS(VALUE(_xlfn.TEXTBEFORE(F106&amp;" ", " "))), 2), ABS(VALUE(SUBSTITUTE(I106, "$", ""))))</f>
        <v>167.12</v>
      </c>
      <c r="K106">
        <f>ROUND(Sheet1[[#This Row],[CleanedUnits_sold]]*Sheet1[[#This Row],[Cleaned_Unit_Price]],2)</f>
        <v>1002.72</v>
      </c>
      <c r="M106" s="1"/>
      <c r="N106" s="1" t="s">
        <v>26</v>
      </c>
      <c r="O106" s="1" t="s">
        <v>131</v>
      </c>
    </row>
    <row r="107" spans="1:15" x14ac:dyDescent="0.35">
      <c r="A107" s="1" t="s">
        <v>228</v>
      </c>
      <c r="B107" s="2">
        <v>1</v>
      </c>
      <c r="C107" s="1" t="s">
        <v>58</v>
      </c>
      <c r="D107" s="1" t="s">
        <v>24</v>
      </c>
      <c r="E107" s="1" t="str">
        <f>TRIM(CLEAN(Sheet1[[#This Row],[Category]]))</f>
        <v>Electronics</v>
      </c>
      <c r="F107">
        <v>5</v>
      </c>
      <c r="G107" t="str">
        <f t="shared" si="1"/>
        <v>2. Mid-Market (4-7 Units)</v>
      </c>
      <c r="H107">
        <v>5</v>
      </c>
      <c r="I107">
        <v>280.64999999999998</v>
      </c>
      <c r="J107">
        <f>IF(ISBLANK(I107), ROUND(I107/ABS(VALUE(_xlfn.TEXTBEFORE(F107&amp;" ", " "))), 2), ABS(VALUE(SUBSTITUTE(I107, "$", ""))))</f>
        <v>280.64999999999998</v>
      </c>
      <c r="K107">
        <f>ROUND(Sheet1[[#This Row],[CleanedUnits_sold]]*Sheet1[[#This Row],[Cleaned_Unit_Price]],2)</f>
        <v>1403.25</v>
      </c>
      <c r="L107">
        <v>1680.77</v>
      </c>
      <c r="M107" s="1" t="s">
        <v>229</v>
      </c>
      <c r="N107" s="1" t="s">
        <v>50</v>
      </c>
      <c r="O107" s="1" t="s">
        <v>229</v>
      </c>
    </row>
    <row r="108" spans="1:15" x14ac:dyDescent="0.35">
      <c r="A108" s="1" t="s">
        <v>230</v>
      </c>
      <c r="B108" s="2">
        <v>45176</v>
      </c>
      <c r="C108" s="1" t="s">
        <v>23</v>
      </c>
      <c r="D108" s="1" t="s">
        <v>12</v>
      </c>
      <c r="E108" s="1" t="str">
        <f>TRIM(CLEAN(Sheet1[[#This Row],[Category]]))</f>
        <v>Office Supplies</v>
      </c>
      <c r="F108">
        <v>3</v>
      </c>
      <c r="G108" t="str">
        <f t="shared" si="1"/>
        <v>1. Retail (1-3 Units)</v>
      </c>
      <c r="H108">
        <v>3</v>
      </c>
      <c r="I108">
        <v>34.75</v>
      </c>
      <c r="J108">
        <f>IF(ISBLANK(I108), ROUND(I108/ABS(VALUE(_xlfn.TEXTBEFORE(F108&amp;" ", " "))), 2), ABS(VALUE(SUBSTITUTE(I108, "$", ""))))</f>
        <v>34.75</v>
      </c>
      <c r="K108">
        <f>ROUND(Sheet1[[#This Row],[CleanedUnits_sold]]*Sheet1[[#This Row],[Cleaned_Unit_Price]],2)</f>
        <v>104.25</v>
      </c>
      <c r="L108">
        <v>104.25</v>
      </c>
      <c r="M108" s="1" t="s">
        <v>231</v>
      </c>
      <c r="N108" s="1" t="s">
        <v>50</v>
      </c>
      <c r="O108" s="1" t="s">
        <v>231</v>
      </c>
    </row>
    <row r="109" spans="1:15" x14ac:dyDescent="0.35">
      <c r="A109" s="1" t="s">
        <v>232</v>
      </c>
      <c r="B109" s="2">
        <v>44948</v>
      </c>
      <c r="C109" s="1" t="s">
        <v>16</v>
      </c>
      <c r="D109" s="1" t="s">
        <v>46</v>
      </c>
      <c r="E109" s="1" t="str">
        <f>TRIM(CLEAN(Sheet1[[#This Row],[Category]]))</f>
        <v>Furniture</v>
      </c>
      <c r="F109">
        <v>5</v>
      </c>
      <c r="G109" t="str">
        <f t="shared" si="1"/>
        <v>2. Mid-Market (4-7 Units)</v>
      </c>
      <c r="H109">
        <v>5</v>
      </c>
      <c r="I109">
        <v>31.5</v>
      </c>
      <c r="J109">
        <f>IF(ISBLANK(I109), ROUND(I109/ABS(VALUE(_xlfn.TEXTBEFORE(F109&amp;" ", " "))), 2), ABS(VALUE(SUBSTITUTE(I109, "$", ""))))</f>
        <v>31.5</v>
      </c>
      <c r="K109">
        <f>ROUND(Sheet1[[#This Row],[CleanedUnits_sold]]*Sheet1[[#This Row],[Cleaned_Unit_Price]],2)</f>
        <v>157.5</v>
      </c>
      <c r="L109">
        <v>157.5</v>
      </c>
      <c r="M109" s="1" t="s">
        <v>233</v>
      </c>
      <c r="N109" s="1" t="s">
        <v>50</v>
      </c>
      <c r="O109" s="1" t="s">
        <v>233</v>
      </c>
    </row>
    <row r="110" spans="1:15" x14ac:dyDescent="0.35">
      <c r="A110" s="1" t="s">
        <v>234</v>
      </c>
      <c r="B110" s="2">
        <v>44947</v>
      </c>
      <c r="C110" s="1" t="s">
        <v>23</v>
      </c>
      <c r="D110" s="1" t="s">
        <v>46</v>
      </c>
      <c r="E110" s="1" t="str">
        <f>TRIM(CLEAN(Sheet1[[#This Row],[Category]]))</f>
        <v>Furniture</v>
      </c>
      <c r="F110">
        <v>3</v>
      </c>
      <c r="G110" t="str">
        <f t="shared" si="1"/>
        <v>1. Retail (1-3 Units)</v>
      </c>
      <c r="H110">
        <v>3</v>
      </c>
      <c r="I110">
        <v>362.98</v>
      </c>
      <c r="J110">
        <f>IF(ISBLANK(I110), ROUND(I110/ABS(VALUE(_xlfn.TEXTBEFORE(F110&amp;" ", " "))), 2), ABS(VALUE(SUBSTITUTE(I110, "$", ""))))</f>
        <v>362.98</v>
      </c>
      <c r="K110">
        <f>ROUND(Sheet1[[#This Row],[CleanedUnits_sold]]*Sheet1[[#This Row],[Cleaned_Unit_Price]],2)</f>
        <v>1088.94</v>
      </c>
      <c r="L110">
        <v>1088.94</v>
      </c>
      <c r="M110" s="1" t="s">
        <v>235</v>
      </c>
      <c r="N110" s="1" t="s">
        <v>38</v>
      </c>
      <c r="O110" s="1" t="s">
        <v>235</v>
      </c>
    </row>
    <row r="111" spans="1:15" x14ac:dyDescent="0.35">
      <c r="A111" s="1" t="s">
        <v>236</v>
      </c>
      <c r="B111" s="2">
        <v>45054</v>
      </c>
      <c r="C111" s="1" t="s">
        <v>23</v>
      </c>
      <c r="D111" s="1" t="s">
        <v>12</v>
      </c>
      <c r="E111" s="1" t="str">
        <f>TRIM(CLEAN(Sheet1[[#This Row],[Category]]))</f>
        <v>Office Supplies</v>
      </c>
      <c r="F111">
        <v>3</v>
      </c>
      <c r="G111" t="str">
        <f t="shared" si="1"/>
        <v>1. Retail (1-3 Units)</v>
      </c>
      <c r="H111">
        <v>3</v>
      </c>
      <c r="I111">
        <v>227.8</v>
      </c>
      <c r="J111">
        <f>IF(ISBLANK(I111), ROUND(I111/ABS(VALUE(_xlfn.TEXTBEFORE(F111&amp;" ", " "))), 2), ABS(VALUE(SUBSTITUTE(I111, "$", ""))))</f>
        <v>227.8</v>
      </c>
      <c r="K111">
        <f>ROUND(Sheet1[[#This Row],[CleanedUnits_sold]]*Sheet1[[#This Row],[Cleaned_Unit_Price]],2)</f>
        <v>683.4</v>
      </c>
      <c r="L111">
        <v>683.4</v>
      </c>
      <c r="M111" s="1" t="s">
        <v>237</v>
      </c>
      <c r="N111" s="1" t="s">
        <v>26</v>
      </c>
      <c r="O111" s="1" t="s">
        <v>237</v>
      </c>
    </row>
    <row r="112" spans="1:15" x14ac:dyDescent="0.35">
      <c r="A112" s="1" t="s">
        <v>238</v>
      </c>
      <c r="B112" s="2">
        <v>45213</v>
      </c>
      <c r="C112" s="1" t="s">
        <v>11</v>
      </c>
      <c r="D112" s="1" t="s">
        <v>12</v>
      </c>
      <c r="E112" s="1" t="str">
        <f>TRIM(CLEAN(Sheet1[[#This Row],[Category]]))</f>
        <v>Office Supplies</v>
      </c>
      <c r="F112">
        <v>6</v>
      </c>
      <c r="G112" t="str">
        <f t="shared" si="1"/>
        <v>2. Mid-Market (4-7 Units)</v>
      </c>
      <c r="H112">
        <v>6</v>
      </c>
      <c r="I112">
        <v>135.58000000000001</v>
      </c>
      <c r="J112">
        <f>IF(ISBLANK(I112), ROUND(I112/ABS(VALUE(_xlfn.TEXTBEFORE(F112&amp;" ", " "))), 2), ABS(VALUE(SUBSTITUTE(I112, "$", ""))))</f>
        <v>135.58000000000001</v>
      </c>
      <c r="K112">
        <f>ROUND(Sheet1[[#This Row],[CleanedUnits_sold]]*Sheet1[[#This Row],[Cleaned_Unit_Price]],2)</f>
        <v>813.48</v>
      </c>
      <c r="L112">
        <v>813.48</v>
      </c>
      <c r="M112" s="1" t="s">
        <v>49</v>
      </c>
      <c r="N112" s="1" t="s">
        <v>50</v>
      </c>
      <c r="O112" s="1" t="s">
        <v>51</v>
      </c>
    </row>
    <row r="113" spans="1:15" x14ac:dyDescent="0.35">
      <c r="A113" s="1" t="s">
        <v>239</v>
      </c>
      <c r="B113" s="2">
        <v>1</v>
      </c>
      <c r="C113" s="1" t="s">
        <v>16</v>
      </c>
      <c r="D113" s="1" t="s">
        <v>12</v>
      </c>
      <c r="E113" s="1" t="str">
        <f>TRIM(CLEAN(Sheet1[[#This Row],[Category]]))</f>
        <v>Office Supplies</v>
      </c>
      <c r="F113">
        <v>5</v>
      </c>
      <c r="G113" t="str">
        <f t="shared" si="1"/>
        <v>2. Mid-Market (4-7 Units)</v>
      </c>
      <c r="H113">
        <v>5</v>
      </c>
      <c r="I113">
        <v>103.3</v>
      </c>
      <c r="J113">
        <f>IF(ISBLANK(I113), ROUND(I113/ABS(VALUE(_xlfn.TEXTBEFORE(F113&amp;" ", " "))), 2), ABS(VALUE(SUBSTITUTE(I113, "$", ""))))</f>
        <v>103.3</v>
      </c>
      <c r="K113">
        <f>ROUND(Sheet1[[#This Row],[CleanedUnits_sold]]*Sheet1[[#This Row],[Cleaned_Unit_Price]],2)</f>
        <v>516.5</v>
      </c>
      <c r="L113">
        <v>616.70000000000005</v>
      </c>
      <c r="M113" s="1" t="s">
        <v>240</v>
      </c>
      <c r="N113" s="1" t="s">
        <v>50</v>
      </c>
      <c r="O113" s="1" t="s">
        <v>240</v>
      </c>
    </row>
    <row r="114" spans="1:15" x14ac:dyDescent="0.35">
      <c r="A114" s="1" t="s">
        <v>241</v>
      </c>
      <c r="B114" s="2">
        <v>45017</v>
      </c>
      <c r="C114" s="1" t="s">
        <v>19</v>
      </c>
      <c r="D114" s="1" t="s">
        <v>24</v>
      </c>
      <c r="E114" s="1" t="str">
        <f>TRIM(CLEAN(Sheet1[[#This Row],[Category]]))</f>
        <v>Electronics</v>
      </c>
      <c r="F114">
        <v>6</v>
      </c>
      <c r="G114" t="str">
        <f t="shared" si="1"/>
        <v>2. Mid-Market (4-7 Units)</v>
      </c>
      <c r="H114">
        <v>6</v>
      </c>
      <c r="I114">
        <v>338.28</v>
      </c>
      <c r="J114">
        <f>IF(ISBLANK(I114), ROUND(I114/ABS(VALUE(_xlfn.TEXTBEFORE(F114&amp;" ", " "))), 2), ABS(VALUE(SUBSTITUTE(I114, "$", ""))))</f>
        <v>338.28</v>
      </c>
      <c r="K114">
        <f>ROUND(Sheet1[[#This Row],[CleanedUnits_sold]]*Sheet1[[#This Row],[Cleaned_Unit_Price]],2)</f>
        <v>2029.68</v>
      </c>
      <c r="L114">
        <v>2029.68</v>
      </c>
      <c r="M114" s="1" t="s">
        <v>242</v>
      </c>
      <c r="N114" s="1" t="s">
        <v>50</v>
      </c>
      <c r="O114" s="1" t="s">
        <v>242</v>
      </c>
    </row>
    <row r="115" spans="1:15" x14ac:dyDescent="0.35">
      <c r="A115" s="1" t="s">
        <v>243</v>
      </c>
      <c r="B115" s="2">
        <v>1</v>
      </c>
      <c r="C115" s="1" t="s">
        <v>11</v>
      </c>
      <c r="D115" s="1" t="s">
        <v>32</v>
      </c>
      <c r="E115" s="1" t="str">
        <f>TRIM(CLEAN(Sheet1[[#This Row],[Category]]))</f>
        <v>Furniture</v>
      </c>
      <c r="F115">
        <v>2</v>
      </c>
      <c r="G115" t="str">
        <f t="shared" si="1"/>
        <v>1. Retail (1-3 Units)</v>
      </c>
      <c r="H115">
        <v>2</v>
      </c>
      <c r="I115">
        <v>10.199999999999999</v>
      </c>
      <c r="J115">
        <f>IF(ISBLANK(I115), ROUND(I115/ABS(VALUE(_xlfn.TEXTBEFORE(F115&amp;" ", " "))), 2), ABS(VALUE(SUBSTITUTE(I115, "$", ""))))</f>
        <v>10.199999999999999</v>
      </c>
      <c r="K115">
        <f>ROUND(Sheet1[[#This Row],[CleanedUnits_sold]]*Sheet1[[#This Row],[Cleaned_Unit_Price]],2)</f>
        <v>20.399999999999999</v>
      </c>
      <c r="L115">
        <v>20.399999999999999</v>
      </c>
      <c r="M115" s="1" t="s">
        <v>244</v>
      </c>
      <c r="N115" s="1" t="s">
        <v>14</v>
      </c>
      <c r="O115" s="1" t="s">
        <v>244</v>
      </c>
    </row>
    <row r="116" spans="1:15" x14ac:dyDescent="0.35">
      <c r="A116" s="1" t="s">
        <v>245</v>
      </c>
      <c r="B116" s="2">
        <v>45097</v>
      </c>
      <c r="C116" s="1" t="s">
        <v>23</v>
      </c>
      <c r="D116" s="1" t="s">
        <v>46</v>
      </c>
      <c r="E116" s="1" t="str">
        <f>TRIM(CLEAN(Sheet1[[#This Row],[Category]]))</f>
        <v>Furniture</v>
      </c>
      <c r="F116">
        <v>4</v>
      </c>
      <c r="G116" t="str">
        <f t="shared" si="1"/>
        <v>2. Mid-Market (4-7 Units)</v>
      </c>
      <c r="H116">
        <v>4</v>
      </c>
      <c r="I116">
        <v>404.89</v>
      </c>
      <c r="J116">
        <f>IF(ISBLANK(I116), ROUND(I116/ABS(VALUE(_xlfn.TEXTBEFORE(F116&amp;" ", " "))), 2), ABS(VALUE(SUBSTITUTE(I116, "$", ""))))</f>
        <v>404.89</v>
      </c>
      <c r="K116">
        <f>ROUND(Sheet1[[#This Row],[CleanedUnits_sold]]*Sheet1[[#This Row],[Cleaned_Unit_Price]],2)</f>
        <v>1619.56</v>
      </c>
      <c r="L116">
        <v>1619.56</v>
      </c>
      <c r="M116" s="1" t="s">
        <v>246</v>
      </c>
      <c r="N116" s="1" t="s">
        <v>50</v>
      </c>
      <c r="O116" s="1" t="s">
        <v>246</v>
      </c>
    </row>
    <row r="117" spans="1:15" x14ac:dyDescent="0.35">
      <c r="A117" s="1" t="s">
        <v>247</v>
      </c>
      <c r="B117" s="2">
        <v>45054</v>
      </c>
      <c r="C117" s="1" t="s">
        <v>16</v>
      </c>
      <c r="D117" s="1" t="s">
        <v>32</v>
      </c>
      <c r="E117" s="1" t="str">
        <f>TRIM(CLEAN(Sheet1[[#This Row],[Category]]))</f>
        <v>Furniture</v>
      </c>
      <c r="F117">
        <v>7</v>
      </c>
      <c r="G117" t="str">
        <f t="shared" si="1"/>
        <v>2. Mid-Market (4-7 Units)</v>
      </c>
      <c r="H117">
        <v>7</v>
      </c>
      <c r="I117">
        <v>48.83</v>
      </c>
      <c r="J117">
        <f>IF(ISBLANK(I117), ROUND(I117/ABS(VALUE(_xlfn.TEXTBEFORE(F117&amp;" ", " "))), 2), ABS(VALUE(SUBSTITUTE(I117, "$", ""))))</f>
        <v>48.83</v>
      </c>
      <c r="K117">
        <f>ROUND(Sheet1[[#This Row],[CleanedUnits_sold]]*Sheet1[[#This Row],[Cleaned_Unit_Price]],2)</f>
        <v>341.81</v>
      </c>
      <c r="L117">
        <v>341.81</v>
      </c>
      <c r="M117" s="1" t="s">
        <v>248</v>
      </c>
      <c r="N117" s="1" t="s">
        <v>14</v>
      </c>
      <c r="O117" s="1" t="s">
        <v>248</v>
      </c>
    </row>
    <row r="118" spans="1:15" x14ac:dyDescent="0.35">
      <c r="A118" s="1" t="s">
        <v>249</v>
      </c>
      <c r="B118" s="2">
        <v>45286</v>
      </c>
      <c r="C118" s="1" t="s">
        <v>23</v>
      </c>
      <c r="D118" s="1" t="s">
        <v>24</v>
      </c>
      <c r="E118" s="1" t="str">
        <f>TRIM(CLEAN(Sheet1[[#This Row],[Category]]))</f>
        <v>Electronics</v>
      </c>
      <c r="F118">
        <v>6</v>
      </c>
      <c r="G118" t="str">
        <f t="shared" si="1"/>
        <v>2. Mid-Market (4-7 Units)</v>
      </c>
      <c r="H118">
        <v>6</v>
      </c>
      <c r="I118">
        <v>103.83</v>
      </c>
      <c r="J118">
        <f>IF(ISBLANK(I118), ROUND(I118/ABS(VALUE(_xlfn.TEXTBEFORE(F118&amp;" ", " "))), 2), ABS(VALUE(SUBSTITUTE(I118, "$", ""))))</f>
        <v>103.83</v>
      </c>
      <c r="K118">
        <f>ROUND(Sheet1[[#This Row],[CleanedUnits_sold]]*Sheet1[[#This Row],[Cleaned_Unit_Price]],2)</f>
        <v>622.98</v>
      </c>
      <c r="L118">
        <v>622.98</v>
      </c>
      <c r="M118" s="1" t="s">
        <v>250</v>
      </c>
      <c r="N118" s="1" t="s">
        <v>50</v>
      </c>
      <c r="O118" s="1" t="s">
        <v>250</v>
      </c>
    </row>
    <row r="119" spans="1:15" x14ac:dyDescent="0.35">
      <c r="A119" s="1" t="s">
        <v>251</v>
      </c>
      <c r="B119" s="2">
        <v>44946</v>
      </c>
      <c r="C119" s="1" t="s">
        <v>11</v>
      </c>
      <c r="D119" s="1" t="s">
        <v>12</v>
      </c>
      <c r="E119" s="1" t="str">
        <f>TRIM(CLEAN(Sheet1[[#This Row],[Category]]))</f>
        <v>Office Supplies</v>
      </c>
      <c r="F119">
        <v>5</v>
      </c>
      <c r="G119" t="str">
        <f t="shared" si="1"/>
        <v>2. Mid-Market (4-7 Units)</v>
      </c>
      <c r="H119">
        <v>5</v>
      </c>
      <c r="I119">
        <v>-37.659999999999997</v>
      </c>
      <c r="J119">
        <f>IF(ISBLANK(I119), ROUND(I119/ABS(VALUE(_xlfn.TEXTBEFORE(F119&amp;" ", " "))), 2), ABS(VALUE(SUBSTITUTE(I119, "$", ""))))</f>
        <v>37.659999999999997</v>
      </c>
      <c r="K119">
        <f>ROUND(Sheet1[[#This Row],[CleanedUnits_sold]]*Sheet1[[#This Row],[Cleaned_Unit_Price]],2)</f>
        <v>188.3</v>
      </c>
      <c r="M119" s="1" t="s">
        <v>252</v>
      </c>
      <c r="N119" s="1" t="s">
        <v>50</v>
      </c>
      <c r="O119" s="1" t="s">
        <v>252</v>
      </c>
    </row>
    <row r="120" spans="1:15" x14ac:dyDescent="0.35">
      <c r="A120" s="1" t="s">
        <v>253</v>
      </c>
      <c r="B120" s="2">
        <v>45162</v>
      </c>
      <c r="C120" s="1" t="s">
        <v>11</v>
      </c>
      <c r="D120" s="1" t="s">
        <v>12</v>
      </c>
      <c r="E120" s="1" t="str">
        <f>TRIM(CLEAN(Sheet1[[#This Row],[Category]]))</f>
        <v>Office Supplies</v>
      </c>
      <c r="F120">
        <v>4</v>
      </c>
      <c r="G120" t="str">
        <f t="shared" si="1"/>
        <v>2. Mid-Market (4-7 Units)</v>
      </c>
      <c r="H120">
        <v>4</v>
      </c>
      <c r="I120">
        <v>247.58</v>
      </c>
      <c r="J120">
        <f>IF(ISBLANK(I120), ROUND(I120/ABS(VALUE(_xlfn.TEXTBEFORE(F120&amp;" ", " "))), 2), ABS(VALUE(SUBSTITUTE(I120, "$", ""))))</f>
        <v>247.58</v>
      </c>
      <c r="K120">
        <f>ROUND(Sheet1[[#This Row],[CleanedUnits_sold]]*Sheet1[[#This Row],[Cleaned_Unit_Price]],2)</f>
        <v>990.32</v>
      </c>
      <c r="L120">
        <v>990.32</v>
      </c>
      <c r="M120" s="1" t="s">
        <v>254</v>
      </c>
      <c r="N120" s="1" t="s">
        <v>14</v>
      </c>
      <c r="O120" s="1" t="s">
        <v>254</v>
      </c>
    </row>
    <row r="121" spans="1:15" x14ac:dyDescent="0.35">
      <c r="A121" s="1" t="s">
        <v>255</v>
      </c>
      <c r="B121" s="2">
        <v>1</v>
      </c>
      <c r="C121" s="1" t="s">
        <v>11</v>
      </c>
      <c r="D121" s="1" t="s">
        <v>24</v>
      </c>
      <c r="E121" s="1" t="str">
        <f>TRIM(CLEAN(Sheet1[[#This Row],[Category]]))</f>
        <v>Electronics</v>
      </c>
      <c r="F121">
        <v>3</v>
      </c>
      <c r="G121" t="str">
        <f t="shared" si="1"/>
        <v>1. Retail (1-3 Units)</v>
      </c>
      <c r="H121">
        <v>3</v>
      </c>
      <c r="I121">
        <v>183.95</v>
      </c>
      <c r="J121">
        <f>IF(ISBLANK(I121), ROUND(I121/ABS(VALUE(_xlfn.TEXTBEFORE(F121&amp;" ", " "))), 2), ABS(VALUE(SUBSTITUTE(I121, "$", ""))))</f>
        <v>183.95</v>
      </c>
      <c r="K121">
        <f>ROUND(Sheet1[[#This Row],[CleanedUnits_sold]]*Sheet1[[#This Row],[Cleaned_Unit_Price]],2)</f>
        <v>551.85</v>
      </c>
      <c r="L121">
        <v>551.85</v>
      </c>
      <c r="M121" s="1" t="s">
        <v>256</v>
      </c>
      <c r="N121" s="1" t="s">
        <v>38</v>
      </c>
      <c r="O121" s="1" t="s">
        <v>256</v>
      </c>
    </row>
    <row r="122" spans="1:15" x14ac:dyDescent="0.35">
      <c r="A122" s="1" t="s">
        <v>257</v>
      </c>
      <c r="B122" s="2">
        <v>1</v>
      </c>
      <c r="C122" s="1" t="s">
        <v>19</v>
      </c>
      <c r="D122" s="1" t="s">
        <v>24</v>
      </c>
      <c r="E122" s="1" t="str">
        <f>TRIM(CLEAN(Sheet1[[#This Row],[Category]]))</f>
        <v>Electronics</v>
      </c>
      <c r="G122" t="str">
        <f t="shared" si="1"/>
        <v>1. Retail (1-3 Units)</v>
      </c>
      <c r="H122">
        <v>3</v>
      </c>
      <c r="I122">
        <v>167.15</v>
      </c>
      <c r="J122">
        <f>IF(ISBLANK(I122), ROUND(I122/ABS(VALUE(_xlfn.TEXTBEFORE(F122&amp;" ", " "))), 2), ABS(VALUE(SUBSTITUTE(I122, "$", ""))))</f>
        <v>167.15</v>
      </c>
      <c r="K122">
        <f>ROUND(Sheet1[[#This Row],[CleanedUnits_sold]]*Sheet1[[#This Row],[Cleaned_Unit_Price]],2)</f>
        <v>501.45</v>
      </c>
      <c r="L122">
        <v>501.45</v>
      </c>
      <c r="M122" s="1" t="s">
        <v>258</v>
      </c>
      <c r="N122" s="1" t="s">
        <v>26</v>
      </c>
      <c r="O122" s="1" t="s">
        <v>258</v>
      </c>
    </row>
    <row r="123" spans="1:15" x14ac:dyDescent="0.35">
      <c r="A123" s="1" t="s">
        <v>259</v>
      </c>
      <c r="B123" s="2">
        <v>45095</v>
      </c>
      <c r="C123" s="1" t="s">
        <v>16</v>
      </c>
      <c r="D123" s="1" t="s">
        <v>12</v>
      </c>
      <c r="E123" s="1" t="str">
        <f>TRIM(CLEAN(Sheet1[[#This Row],[Category]]))</f>
        <v>Office Supplies</v>
      </c>
      <c r="F123">
        <v>7</v>
      </c>
      <c r="G123" t="str">
        <f t="shared" si="1"/>
        <v>2. Mid-Market (4-7 Units)</v>
      </c>
      <c r="H123">
        <v>7</v>
      </c>
      <c r="I123">
        <v>482.32</v>
      </c>
      <c r="J123">
        <f>IF(ISBLANK(I123), ROUND(I123/ABS(VALUE(_xlfn.TEXTBEFORE(F123&amp;" ", " "))), 2), ABS(VALUE(SUBSTITUTE(I123, "$", ""))))</f>
        <v>482.32</v>
      </c>
      <c r="K123">
        <f>ROUND(Sheet1[[#This Row],[CleanedUnits_sold]]*Sheet1[[#This Row],[Cleaned_Unit_Price]],2)</f>
        <v>3376.24</v>
      </c>
      <c r="M123" s="1" t="s">
        <v>260</v>
      </c>
      <c r="N123" s="1" t="s">
        <v>14</v>
      </c>
      <c r="O123" s="1" t="s">
        <v>260</v>
      </c>
    </row>
    <row r="124" spans="1:15" x14ac:dyDescent="0.35">
      <c r="A124" s="1" t="s">
        <v>261</v>
      </c>
      <c r="B124" s="2">
        <v>45069</v>
      </c>
      <c r="C124" s="1" t="s">
        <v>11</v>
      </c>
      <c r="D124" s="1" t="s">
        <v>12</v>
      </c>
      <c r="E124" s="1" t="str">
        <f>TRIM(CLEAN(Sheet1[[#This Row],[Category]]))</f>
        <v>Office Supplies</v>
      </c>
      <c r="F124">
        <v>7</v>
      </c>
      <c r="G124" t="str">
        <f t="shared" si="1"/>
        <v>2. Mid-Market (4-7 Units)</v>
      </c>
      <c r="H124">
        <v>7</v>
      </c>
      <c r="I124">
        <v>324.37</v>
      </c>
      <c r="J124">
        <f>IF(ISBLANK(I124), ROUND(I124/ABS(VALUE(_xlfn.TEXTBEFORE(F124&amp;" ", " "))), 2), ABS(VALUE(SUBSTITUTE(I124, "$", ""))))</f>
        <v>324.37</v>
      </c>
      <c r="K124">
        <f>ROUND(Sheet1[[#This Row],[CleanedUnits_sold]]*Sheet1[[#This Row],[Cleaned_Unit_Price]],2)</f>
        <v>2270.59</v>
      </c>
      <c r="L124">
        <v>2270.59</v>
      </c>
      <c r="M124" s="1" t="s">
        <v>262</v>
      </c>
      <c r="N124" s="1" t="s">
        <v>26</v>
      </c>
      <c r="O124" s="1" t="s">
        <v>262</v>
      </c>
    </row>
    <row r="125" spans="1:15" x14ac:dyDescent="0.35">
      <c r="A125" s="1" t="s">
        <v>263</v>
      </c>
      <c r="B125" s="2">
        <v>45131</v>
      </c>
      <c r="C125" s="1" t="s">
        <v>16</v>
      </c>
      <c r="D125" s="1" t="s">
        <v>12</v>
      </c>
      <c r="E125" s="1" t="str">
        <f>TRIM(CLEAN(Sheet1[[#This Row],[Category]]))</f>
        <v>Office Supplies</v>
      </c>
      <c r="F125">
        <v>6</v>
      </c>
      <c r="G125" t="str">
        <f t="shared" si="1"/>
        <v>2. Mid-Market (4-7 Units)</v>
      </c>
      <c r="H125">
        <v>6</v>
      </c>
      <c r="I125">
        <v>21.48</v>
      </c>
      <c r="J125">
        <f>IF(ISBLANK(I125), ROUND(I125/ABS(VALUE(_xlfn.TEXTBEFORE(F125&amp;" ", " "))), 2), ABS(VALUE(SUBSTITUTE(I125, "$", ""))))</f>
        <v>21.48</v>
      </c>
      <c r="K125">
        <f>ROUND(Sheet1[[#This Row],[CleanedUnits_sold]]*Sheet1[[#This Row],[Cleaned_Unit_Price]],2)</f>
        <v>128.88</v>
      </c>
      <c r="L125">
        <v>244.16</v>
      </c>
      <c r="M125" s="1" t="s">
        <v>264</v>
      </c>
      <c r="N125" s="1" t="s">
        <v>26</v>
      </c>
      <c r="O125" s="1" t="s">
        <v>264</v>
      </c>
    </row>
    <row r="126" spans="1:15" x14ac:dyDescent="0.35">
      <c r="A126" s="1" t="s">
        <v>265</v>
      </c>
      <c r="B126" s="2">
        <v>44986</v>
      </c>
      <c r="C126" s="1" t="s">
        <v>11</v>
      </c>
      <c r="D126" s="1" t="s">
        <v>46</v>
      </c>
      <c r="E126" s="1" t="str">
        <f>TRIM(CLEAN(Sheet1[[#This Row],[Category]]))</f>
        <v>Furniture</v>
      </c>
      <c r="F126">
        <v>6</v>
      </c>
      <c r="G126" t="str">
        <f t="shared" si="1"/>
        <v>2. Mid-Market (4-7 Units)</v>
      </c>
      <c r="H126">
        <v>6</v>
      </c>
      <c r="I126">
        <v>220.79</v>
      </c>
      <c r="J126">
        <f>IF(ISBLANK(I126), ROUND(I126/ABS(VALUE(_xlfn.TEXTBEFORE(F126&amp;" ", " "))), 2), ABS(VALUE(SUBSTITUTE(I126, "$", ""))))</f>
        <v>220.79</v>
      </c>
      <c r="K126">
        <f>ROUND(Sheet1[[#This Row],[CleanedUnits_sold]]*Sheet1[[#This Row],[Cleaned_Unit_Price]],2)</f>
        <v>1324.74</v>
      </c>
      <c r="L126">
        <v>1324.74</v>
      </c>
      <c r="M126" s="1"/>
      <c r="N126" s="1" t="s">
        <v>26</v>
      </c>
      <c r="O126" s="1" t="s">
        <v>131</v>
      </c>
    </row>
    <row r="127" spans="1:15" x14ac:dyDescent="0.35">
      <c r="A127" s="1" t="s">
        <v>266</v>
      </c>
      <c r="B127" s="2">
        <v>45062</v>
      </c>
      <c r="C127" s="1" t="s">
        <v>19</v>
      </c>
      <c r="D127" s="1" t="s">
        <v>32</v>
      </c>
      <c r="E127" s="1" t="str">
        <f>TRIM(CLEAN(Sheet1[[#This Row],[Category]]))</f>
        <v>Furniture</v>
      </c>
      <c r="F127">
        <v>7</v>
      </c>
      <c r="G127" t="str">
        <f t="shared" si="1"/>
        <v>2. Mid-Market (4-7 Units)</v>
      </c>
      <c r="H127">
        <v>7</v>
      </c>
      <c r="I127">
        <v>438.75</v>
      </c>
      <c r="J127">
        <f>IF(ISBLANK(I127), ROUND(I127/ABS(VALUE(_xlfn.TEXTBEFORE(F127&amp;" ", " "))), 2), ABS(VALUE(SUBSTITUTE(I127, "$", ""))))</f>
        <v>438.75</v>
      </c>
      <c r="K127">
        <f>ROUND(Sheet1[[#This Row],[CleanedUnits_sold]]*Sheet1[[#This Row],[Cleaned_Unit_Price]],2)</f>
        <v>3071.25</v>
      </c>
      <c r="M127" s="1" t="s">
        <v>267</v>
      </c>
      <c r="N127" s="1" t="s">
        <v>26</v>
      </c>
      <c r="O127" s="1" t="s">
        <v>267</v>
      </c>
    </row>
    <row r="128" spans="1:15" x14ac:dyDescent="0.35">
      <c r="A128" s="1" t="s">
        <v>268</v>
      </c>
      <c r="B128" s="2">
        <v>45149</v>
      </c>
      <c r="C128" s="1" t="s">
        <v>23</v>
      </c>
      <c r="D128" s="1" t="s">
        <v>24</v>
      </c>
      <c r="E128" s="1" t="str">
        <f>TRIM(CLEAN(Sheet1[[#This Row],[Category]]))</f>
        <v>Electronics</v>
      </c>
      <c r="F128">
        <v>8</v>
      </c>
      <c r="G128" t="str">
        <f t="shared" si="1"/>
        <v>3. Wholesale / Bulk (8+ Units)</v>
      </c>
      <c r="H128">
        <v>8</v>
      </c>
      <c r="I128">
        <v>157.71</v>
      </c>
      <c r="J128">
        <f>IF(ISBLANK(I128), ROUND(I128/ABS(VALUE(_xlfn.TEXTBEFORE(F128&amp;" ", " "))), 2), ABS(VALUE(SUBSTITUTE(I128, "$", ""))))</f>
        <v>157.71</v>
      </c>
      <c r="K128">
        <f>ROUND(Sheet1[[#This Row],[CleanedUnits_sold]]*Sheet1[[#This Row],[Cleaned_Unit_Price]],2)</f>
        <v>1261.68</v>
      </c>
      <c r="L128">
        <v>1261.68</v>
      </c>
      <c r="M128" s="1" t="s">
        <v>269</v>
      </c>
      <c r="N128" s="1" t="s">
        <v>50</v>
      </c>
      <c r="O128" s="1" t="s">
        <v>269</v>
      </c>
    </row>
    <row r="129" spans="1:15" x14ac:dyDescent="0.35">
      <c r="A129" s="1" t="s">
        <v>270</v>
      </c>
      <c r="B129" s="2">
        <v>45087</v>
      </c>
      <c r="C129" s="1" t="s">
        <v>11</v>
      </c>
      <c r="D129" s="1" t="s">
        <v>46</v>
      </c>
      <c r="E129" s="1" t="str">
        <f>TRIM(CLEAN(Sheet1[[#This Row],[Category]]))</f>
        <v>Furniture</v>
      </c>
      <c r="F129">
        <v>6</v>
      </c>
      <c r="G129" t="str">
        <f t="shared" si="1"/>
        <v>2. Mid-Market (4-7 Units)</v>
      </c>
      <c r="H129">
        <v>6</v>
      </c>
      <c r="I129">
        <v>56.33</v>
      </c>
      <c r="J129">
        <f>IF(ISBLANK(I129), ROUND(I129/ABS(VALUE(_xlfn.TEXTBEFORE(F129&amp;" ", " "))), 2), ABS(VALUE(SUBSTITUTE(I129, "$", ""))))</f>
        <v>56.33</v>
      </c>
      <c r="K129">
        <f>ROUND(Sheet1[[#This Row],[CleanedUnits_sold]]*Sheet1[[#This Row],[Cleaned_Unit_Price]],2)</f>
        <v>337.98</v>
      </c>
      <c r="L129">
        <v>337.98</v>
      </c>
      <c r="M129" s="1" t="s">
        <v>271</v>
      </c>
      <c r="N129" s="1" t="s">
        <v>14</v>
      </c>
      <c r="O129" s="1" t="s">
        <v>271</v>
      </c>
    </row>
    <row r="130" spans="1:15" x14ac:dyDescent="0.35">
      <c r="A130" s="1" t="s">
        <v>272</v>
      </c>
      <c r="B130" s="2">
        <v>45188</v>
      </c>
      <c r="C130" s="1" t="s">
        <v>23</v>
      </c>
      <c r="D130" s="1" t="s">
        <v>12</v>
      </c>
      <c r="E130" s="1" t="str">
        <f>TRIM(CLEAN(Sheet1[[#This Row],[Category]]))</f>
        <v>Office Supplies</v>
      </c>
      <c r="F130">
        <v>3</v>
      </c>
      <c r="G130" t="str">
        <f t="shared" ref="G130:G193" si="2">IF(H130=0, "Non-Billable / Zero", IF(H130&lt;=3, "1. Retail (1-3 Units)", IF(H130&lt;=7, "2. Mid-Market (4-7 Units)", "3. Wholesale / Bulk (8+ Units)")))</f>
        <v>1. Retail (1-3 Units)</v>
      </c>
      <c r="H130">
        <v>3</v>
      </c>
      <c r="I130">
        <v>381.61</v>
      </c>
      <c r="J130">
        <f>IF(ISBLANK(I130), ROUND(I130/ABS(VALUE(_xlfn.TEXTBEFORE(F130&amp;" ", " "))), 2), ABS(VALUE(SUBSTITUTE(I130, "$", ""))))</f>
        <v>381.61</v>
      </c>
      <c r="K130">
        <f>ROUND(Sheet1[[#This Row],[CleanedUnits_sold]]*Sheet1[[#This Row],[Cleaned_Unit_Price]],2)</f>
        <v>1144.83</v>
      </c>
      <c r="L130">
        <v>1144.83</v>
      </c>
      <c r="M130" s="1" t="s">
        <v>273</v>
      </c>
      <c r="N130" s="1" t="s">
        <v>50</v>
      </c>
      <c r="O130" s="1" t="s">
        <v>273</v>
      </c>
    </row>
    <row r="131" spans="1:15" x14ac:dyDescent="0.35">
      <c r="A131" s="1" t="s">
        <v>274</v>
      </c>
      <c r="B131" s="2">
        <v>1</v>
      </c>
      <c r="C131" s="1" t="s">
        <v>58</v>
      </c>
      <c r="D131" s="1" t="s">
        <v>46</v>
      </c>
      <c r="E131" s="1" t="str">
        <f>TRIM(CLEAN(Sheet1[[#This Row],[Category]]))</f>
        <v>Furniture</v>
      </c>
      <c r="F131">
        <v>7</v>
      </c>
      <c r="G131" t="str">
        <f t="shared" si="2"/>
        <v>2. Mid-Market (4-7 Units)</v>
      </c>
      <c r="H131">
        <v>7</v>
      </c>
      <c r="I131">
        <v>306.95</v>
      </c>
      <c r="J131">
        <f>IF(ISBLANK(I131), ROUND(I131/ABS(VALUE(_xlfn.TEXTBEFORE(F131&amp;" ", " "))), 2), ABS(VALUE(SUBSTITUTE(I131, "$", ""))))</f>
        <v>306.95</v>
      </c>
      <c r="K131">
        <f>ROUND(Sheet1[[#This Row],[CleanedUnits_sold]]*Sheet1[[#This Row],[Cleaned_Unit_Price]],2)</f>
        <v>2148.65</v>
      </c>
      <c r="L131">
        <v>2148.65</v>
      </c>
      <c r="M131" s="1" t="s">
        <v>275</v>
      </c>
      <c r="N131" s="1" t="s">
        <v>50</v>
      </c>
      <c r="O131" s="1" t="s">
        <v>275</v>
      </c>
    </row>
    <row r="132" spans="1:15" x14ac:dyDescent="0.35">
      <c r="A132" s="1" t="s">
        <v>276</v>
      </c>
      <c r="B132" s="2">
        <v>45289</v>
      </c>
      <c r="C132" s="1" t="s">
        <v>16</v>
      </c>
      <c r="D132" s="1" t="s">
        <v>46</v>
      </c>
      <c r="E132" s="1" t="str">
        <f>TRIM(CLEAN(Sheet1[[#This Row],[Category]]))</f>
        <v>Furniture</v>
      </c>
      <c r="F132">
        <v>5</v>
      </c>
      <c r="G132" t="str">
        <f t="shared" si="2"/>
        <v>2. Mid-Market (4-7 Units)</v>
      </c>
      <c r="H132">
        <v>5</v>
      </c>
      <c r="I132">
        <v>289.45</v>
      </c>
      <c r="J132">
        <f>IF(ISBLANK(I132), ROUND(I132/ABS(VALUE(_xlfn.TEXTBEFORE(F132&amp;" ", " "))), 2), ABS(VALUE(SUBSTITUTE(I132, "$", ""))))</f>
        <v>289.45</v>
      </c>
      <c r="K132">
        <f>ROUND(Sheet1[[#This Row],[CleanedUnits_sold]]*Sheet1[[#This Row],[Cleaned_Unit_Price]],2)</f>
        <v>1447.25</v>
      </c>
      <c r="L132">
        <v>1447.25</v>
      </c>
      <c r="M132" s="1" t="s">
        <v>277</v>
      </c>
      <c r="N132" s="1" t="s">
        <v>50</v>
      </c>
      <c r="O132" s="1" t="s">
        <v>277</v>
      </c>
    </row>
    <row r="133" spans="1:15" x14ac:dyDescent="0.35">
      <c r="A133" s="1" t="s">
        <v>278</v>
      </c>
      <c r="B133" s="2">
        <v>1</v>
      </c>
      <c r="C133" s="1" t="s">
        <v>11</v>
      </c>
      <c r="D133" s="1" t="s">
        <v>46</v>
      </c>
      <c r="E133" s="1" t="str">
        <f>TRIM(CLEAN(Sheet1[[#This Row],[Category]]))</f>
        <v>Furniture</v>
      </c>
      <c r="F133">
        <v>9999</v>
      </c>
      <c r="G133" t="str">
        <f t="shared" si="2"/>
        <v>2. Mid-Market (4-7 Units)</v>
      </c>
      <c r="H133">
        <v>5</v>
      </c>
      <c r="I133">
        <v>36.25</v>
      </c>
      <c r="J133">
        <f>IF(ISBLANK(I133), ROUND(I133/ABS(VALUE(_xlfn.TEXTBEFORE(F133&amp;" ", " "))), 2), ABS(VALUE(SUBSTITUTE(I133, "$", ""))))</f>
        <v>36.25</v>
      </c>
      <c r="K133">
        <f>ROUND(Sheet1[[#This Row],[CleanedUnits_sold]]*Sheet1[[#This Row],[Cleaned_Unit_Price]],2)</f>
        <v>181.25</v>
      </c>
      <c r="L133">
        <v>181.25</v>
      </c>
      <c r="M133" s="1" t="s">
        <v>279</v>
      </c>
      <c r="N133" s="1" t="s">
        <v>50</v>
      </c>
      <c r="O133" s="1" t="s">
        <v>279</v>
      </c>
    </row>
    <row r="134" spans="1:15" x14ac:dyDescent="0.35">
      <c r="A134" s="1" t="s">
        <v>280</v>
      </c>
      <c r="B134" s="2">
        <v>44995</v>
      </c>
      <c r="C134" s="1" t="s">
        <v>19</v>
      </c>
      <c r="D134" s="1" t="s">
        <v>32</v>
      </c>
      <c r="E134" s="1" t="str">
        <f>TRIM(CLEAN(Sheet1[[#This Row],[Category]]))</f>
        <v>Furniture</v>
      </c>
      <c r="F134">
        <v>7</v>
      </c>
      <c r="G134" t="str">
        <f t="shared" si="2"/>
        <v>2. Mid-Market (4-7 Units)</v>
      </c>
      <c r="H134">
        <v>7</v>
      </c>
      <c r="I134">
        <v>78.84</v>
      </c>
      <c r="J134">
        <f>IF(ISBLANK(I134), ROUND(I134/ABS(VALUE(_xlfn.TEXTBEFORE(F134&amp;" ", " "))), 2), ABS(VALUE(SUBSTITUTE(I134, "$", ""))))</f>
        <v>78.84</v>
      </c>
      <c r="K134">
        <f>ROUND(Sheet1[[#This Row],[CleanedUnits_sold]]*Sheet1[[#This Row],[Cleaned_Unit_Price]],2)</f>
        <v>551.88</v>
      </c>
      <c r="L134">
        <v>551.88</v>
      </c>
      <c r="M134" s="1" t="s">
        <v>281</v>
      </c>
      <c r="N134" s="1" t="s">
        <v>21</v>
      </c>
      <c r="O134" s="1" t="s">
        <v>281</v>
      </c>
    </row>
    <row r="135" spans="1:15" x14ac:dyDescent="0.35">
      <c r="A135" s="1" t="s">
        <v>282</v>
      </c>
      <c r="B135" s="2">
        <v>44962</v>
      </c>
      <c r="C135" s="1" t="s">
        <v>11</v>
      </c>
      <c r="D135" s="1" t="s">
        <v>46</v>
      </c>
      <c r="E135" s="1" t="str">
        <f>TRIM(CLEAN(Sheet1[[#This Row],[Category]]))</f>
        <v>Furniture</v>
      </c>
      <c r="F135">
        <v>4</v>
      </c>
      <c r="G135" t="str">
        <f t="shared" si="2"/>
        <v>2. Mid-Market (4-7 Units)</v>
      </c>
      <c r="H135">
        <v>4</v>
      </c>
      <c r="I135">
        <v>315.05</v>
      </c>
      <c r="J135">
        <f>IF(ISBLANK(I135), ROUND(I135/ABS(VALUE(_xlfn.TEXTBEFORE(F135&amp;" ", " "))), 2), ABS(VALUE(SUBSTITUTE(I135, "$", ""))))</f>
        <v>315.05</v>
      </c>
      <c r="K135">
        <f>ROUND(Sheet1[[#This Row],[CleanedUnits_sold]]*Sheet1[[#This Row],[Cleaned_Unit_Price]],2)</f>
        <v>1260.2</v>
      </c>
      <c r="L135">
        <v>1260.2</v>
      </c>
      <c r="M135" s="1" t="s">
        <v>283</v>
      </c>
      <c r="N135" s="1" t="s">
        <v>21</v>
      </c>
      <c r="O135" s="1" t="s">
        <v>283</v>
      </c>
    </row>
    <row r="136" spans="1:15" x14ac:dyDescent="0.35">
      <c r="A136" s="1" t="s">
        <v>284</v>
      </c>
      <c r="B136" s="2">
        <v>45266</v>
      </c>
      <c r="C136" s="1" t="s">
        <v>23</v>
      </c>
      <c r="D136" s="1" t="s">
        <v>46</v>
      </c>
      <c r="E136" s="1" t="str">
        <f>TRIM(CLEAN(Sheet1[[#This Row],[Category]]))</f>
        <v>Furniture</v>
      </c>
      <c r="F136">
        <v>9</v>
      </c>
      <c r="G136" t="str">
        <f t="shared" si="2"/>
        <v>3. Wholesale / Bulk (8+ Units)</v>
      </c>
      <c r="H136">
        <v>9</v>
      </c>
      <c r="I136">
        <v>111.83</v>
      </c>
      <c r="J136">
        <f>IF(ISBLANK(I136), ROUND(I136/ABS(VALUE(_xlfn.TEXTBEFORE(F136&amp;" ", " "))), 2), ABS(VALUE(SUBSTITUTE(I136, "$", ""))))</f>
        <v>111.83</v>
      </c>
      <c r="K136">
        <f>ROUND(Sheet1[[#This Row],[CleanedUnits_sold]]*Sheet1[[#This Row],[Cleaned_Unit_Price]],2)</f>
        <v>1006.47</v>
      </c>
      <c r="L136">
        <v>1006.47</v>
      </c>
      <c r="M136" s="1"/>
      <c r="N136" s="1" t="s">
        <v>26</v>
      </c>
      <c r="O136" s="1" t="s">
        <v>131</v>
      </c>
    </row>
    <row r="137" spans="1:15" x14ac:dyDescent="0.35">
      <c r="A137" s="1" t="s">
        <v>285</v>
      </c>
      <c r="B137" s="2">
        <v>45080</v>
      </c>
      <c r="C137" s="1" t="s">
        <v>19</v>
      </c>
      <c r="D137" s="1" t="s">
        <v>46</v>
      </c>
      <c r="E137" s="1" t="str">
        <f>TRIM(CLEAN(Sheet1[[#This Row],[Category]]))</f>
        <v>Furniture</v>
      </c>
      <c r="F137">
        <v>9999</v>
      </c>
      <c r="G137" t="str">
        <f t="shared" si="2"/>
        <v>2. Mid-Market (4-7 Units)</v>
      </c>
      <c r="H137">
        <v>5</v>
      </c>
      <c r="I137">
        <v>256.99</v>
      </c>
      <c r="J137">
        <f>IF(ISBLANK(I137), ROUND(I137/ABS(VALUE(_xlfn.TEXTBEFORE(F137&amp;" ", " "))), 2), ABS(VALUE(SUBSTITUTE(I137, "$", ""))))</f>
        <v>256.99</v>
      </c>
      <c r="K137">
        <f>ROUND(Sheet1[[#This Row],[CleanedUnits_sold]]*Sheet1[[#This Row],[Cleaned_Unit_Price]],2)</f>
        <v>1284.95</v>
      </c>
      <c r="L137">
        <v>1027.96</v>
      </c>
      <c r="M137" s="1" t="s">
        <v>286</v>
      </c>
      <c r="N137" s="1" t="s">
        <v>26</v>
      </c>
      <c r="O137" s="1" t="s">
        <v>286</v>
      </c>
    </row>
    <row r="138" spans="1:15" x14ac:dyDescent="0.35">
      <c r="A138" s="1" t="s">
        <v>287</v>
      </c>
      <c r="B138" s="2">
        <v>45094</v>
      </c>
      <c r="C138" s="1" t="s">
        <v>19</v>
      </c>
      <c r="D138" s="1" t="s">
        <v>46</v>
      </c>
      <c r="E138" s="1" t="str">
        <f>TRIM(CLEAN(Sheet1[[#This Row],[Category]]))</f>
        <v>Furniture</v>
      </c>
      <c r="F138">
        <v>5</v>
      </c>
      <c r="G138" t="str">
        <f t="shared" si="2"/>
        <v>2. Mid-Market (4-7 Units)</v>
      </c>
      <c r="H138">
        <v>5</v>
      </c>
      <c r="I138">
        <v>276.99</v>
      </c>
      <c r="J138">
        <f>IF(ISBLANK(I138), ROUND(I138/ABS(VALUE(_xlfn.TEXTBEFORE(F138&amp;" ", " "))), 2), ABS(VALUE(SUBSTITUTE(I138, "$", ""))))</f>
        <v>276.99</v>
      </c>
      <c r="K138">
        <f>ROUND(Sheet1[[#This Row],[CleanedUnits_sold]]*Sheet1[[#This Row],[Cleaned_Unit_Price]],2)</f>
        <v>1384.95</v>
      </c>
      <c r="L138">
        <v>1384.95</v>
      </c>
      <c r="M138" s="1" t="s">
        <v>288</v>
      </c>
      <c r="N138" s="1" t="s">
        <v>21</v>
      </c>
      <c r="O138" s="1" t="s">
        <v>288</v>
      </c>
    </row>
    <row r="139" spans="1:15" x14ac:dyDescent="0.35">
      <c r="A139" s="1" t="s">
        <v>289</v>
      </c>
      <c r="B139" s="2">
        <v>45240</v>
      </c>
      <c r="C139" s="1" t="s">
        <v>23</v>
      </c>
      <c r="D139" s="1" t="s">
        <v>12</v>
      </c>
      <c r="E139" s="1" t="str">
        <f>TRIM(CLEAN(Sheet1[[#This Row],[Category]]))</f>
        <v>Office Supplies</v>
      </c>
      <c r="F139">
        <v>2</v>
      </c>
      <c r="G139" t="str">
        <f t="shared" si="2"/>
        <v>1. Retail (1-3 Units)</v>
      </c>
      <c r="H139">
        <v>2</v>
      </c>
      <c r="I139">
        <v>148.91999999999999</v>
      </c>
      <c r="J139">
        <f>IF(ISBLANK(I139), ROUND(I139/ABS(VALUE(_xlfn.TEXTBEFORE(F139&amp;" ", " "))), 2), ABS(VALUE(SUBSTITUTE(I139, "$", ""))))</f>
        <v>148.91999999999999</v>
      </c>
      <c r="K139">
        <f>ROUND(Sheet1[[#This Row],[CleanedUnits_sold]]*Sheet1[[#This Row],[Cleaned_Unit_Price]],2)</f>
        <v>297.83999999999997</v>
      </c>
      <c r="M139" s="1" t="s">
        <v>290</v>
      </c>
      <c r="N139" s="1" t="s">
        <v>38</v>
      </c>
      <c r="O139" s="1" t="s">
        <v>290</v>
      </c>
    </row>
    <row r="140" spans="1:15" x14ac:dyDescent="0.35">
      <c r="A140" s="1" t="s">
        <v>291</v>
      </c>
      <c r="B140" s="2">
        <v>45267</v>
      </c>
      <c r="C140" s="1" t="s">
        <v>16</v>
      </c>
      <c r="D140" s="1" t="s">
        <v>24</v>
      </c>
      <c r="E140" s="1" t="str">
        <f>TRIM(CLEAN(Sheet1[[#This Row],[Category]]))</f>
        <v>Electronics</v>
      </c>
      <c r="F140">
        <v>6</v>
      </c>
      <c r="G140" t="str">
        <f t="shared" si="2"/>
        <v>2. Mid-Market (4-7 Units)</v>
      </c>
      <c r="H140">
        <v>6</v>
      </c>
      <c r="I140">
        <v>474.73</v>
      </c>
      <c r="J140">
        <f>IF(ISBLANK(I140), ROUND(I140/ABS(VALUE(_xlfn.TEXTBEFORE(F140&amp;" ", " "))), 2), ABS(VALUE(SUBSTITUTE(I140, "$", ""))))</f>
        <v>474.73</v>
      </c>
      <c r="K140">
        <f>ROUND(Sheet1[[#This Row],[CleanedUnits_sold]]*Sheet1[[#This Row],[Cleaned_Unit_Price]],2)</f>
        <v>2848.38</v>
      </c>
      <c r="L140">
        <v>2848.38</v>
      </c>
      <c r="M140" s="1" t="s">
        <v>292</v>
      </c>
      <c r="N140" s="1" t="s">
        <v>26</v>
      </c>
      <c r="O140" s="1" t="s">
        <v>292</v>
      </c>
    </row>
    <row r="141" spans="1:15" x14ac:dyDescent="0.35">
      <c r="A141" s="1" t="s">
        <v>293</v>
      </c>
      <c r="B141" s="2">
        <v>45016</v>
      </c>
      <c r="C141" s="1" t="s">
        <v>19</v>
      </c>
      <c r="D141" s="1" t="s">
        <v>24</v>
      </c>
      <c r="E141" s="1" t="str">
        <f>TRIM(CLEAN(Sheet1[[#This Row],[Category]]))</f>
        <v>Electronics</v>
      </c>
      <c r="F141">
        <v>5</v>
      </c>
      <c r="G141" t="str">
        <f t="shared" si="2"/>
        <v>2. Mid-Market (4-7 Units)</v>
      </c>
      <c r="H141">
        <v>5</v>
      </c>
      <c r="I141">
        <v>422.81</v>
      </c>
      <c r="J141">
        <f>IF(ISBLANK(I141), ROUND(I141/ABS(VALUE(_xlfn.TEXTBEFORE(F141&amp;" ", " "))), 2), ABS(VALUE(SUBSTITUTE(I141, "$", ""))))</f>
        <v>422.81</v>
      </c>
      <c r="K141">
        <f>ROUND(Sheet1[[#This Row],[CleanedUnits_sold]]*Sheet1[[#This Row],[Cleaned_Unit_Price]],2)</f>
        <v>2114.0500000000002</v>
      </c>
      <c r="L141">
        <v>1268.43</v>
      </c>
      <c r="M141" s="1" t="s">
        <v>294</v>
      </c>
      <c r="N141" s="1" t="s">
        <v>14</v>
      </c>
      <c r="O141" s="1" t="s">
        <v>294</v>
      </c>
    </row>
    <row r="142" spans="1:15" x14ac:dyDescent="0.35">
      <c r="A142" s="1" t="s">
        <v>295</v>
      </c>
      <c r="B142" s="2">
        <v>44927</v>
      </c>
      <c r="C142" s="1" t="s">
        <v>16</v>
      </c>
      <c r="D142" s="1" t="s">
        <v>24</v>
      </c>
      <c r="E142" s="1" t="str">
        <f>TRIM(CLEAN(Sheet1[[#This Row],[Category]]))</f>
        <v>Electronics</v>
      </c>
      <c r="F142">
        <v>6</v>
      </c>
      <c r="G142" t="str">
        <f t="shared" si="2"/>
        <v>2. Mid-Market (4-7 Units)</v>
      </c>
      <c r="H142">
        <v>6</v>
      </c>
      <c r="I142">
        <v>363.96</v>
      </c>
      <c r="J142">
        <f>IF(ISBLANK(I142), ROUND(I142/ABS(VALUE(_xlfn.TEXTBEFORE(F142&amp;" ", " "))), 2), ABS(VALUE(SUBSTITUTE(I142, "$", ""))))</f>
        <v>363.96</v>
      </c>
      <c r="K142">
        <f>ROUND(Sheet1[[#This Row],[CleanedUnits_sold]]*Sheet1[[#This Row],[Cleaned_Unit_Price]],2)</f>
        <v>2183.7600000000002</v>
      </c>
      <c r="L142">
        <v>2183.7600000000002</v>
      </c>
      <c r="M142" s="1" t="s">
        <v>296</v>
      </c>
      <c r="N142" s="1" t="s">
        <v>14</v>
      </c>
      <c r="O142" s="1" t="s">
        <v>296</v>
      </c>
    </row>
    <row r="143" spans="1:15" x14ac:dyDescent="0.35">
      <c r="A143" s="1" t="s">
        <v>297</v>
      </c>
      <c r="B143" s="2">
        <v>45147</v>
      </c>
      <c r="C143" s="1" t="s">
        <v>16</v>
      </c>
      <c r="D143" s="1" t="s">
        <v>24</v>
      </c>
      <c r="E143" s="1" t="str">
        <f>TRIM(CLEAN(Sheet1[[#This Row],[Category]]))</f>
        <v>Electronics</v>
      </c>
      <c r="F143">
        <v>2</v>
      </c>
      <c r="G143" t="str">
        <f t="shared" si="2"/>
        <v>1. Retail (1-3 Units)</v>
      </c>
      <c r="H143">
        <v>2</v>
      </c>
      <c r="I143">
        <v>48.22</v>
      </c>
      <c r="J143">
        <f>IF(ISBLANK(I143), ROUND(I143/ABS(VALUE(_xlfn.TEXTBEFORE(F143&amp;" ", " "))), 2), ABS(VALUE(SUBSTITUTE(I143, "$", ""))))</f>
        <v>48.22</v>
      </c>
      <c r="K143">
        <f>ROUND(Sheet1[[#This Row],[CleanedUnits_sold]]*Sheet1[[#This Row],[Cleaned_Unit_Price]],2)</f>
        <v>96.44</v>
      </c>
      <c r="L143">
        <v>96.44</v>
      </c>
      <c r="M143" s="1" t="s">
        <v>298</v>
      </c>
      <c r="N143" s="1" t="s">
        <v>26</v>
      </c>
      <c r="O143" s="1" t="s">
        <v>298</v>
      </c>
    </row>
    <row r="144" spans="1:15" x14ac:dyDescent="0.35">
      <c r="A144" s="1" t="s">
        <v>299</v>
      </c>
      <c r="B144" s="2">
        <v>1</v>
      </c>
      <c r="C144" s="1" t="s">
        <v>11</v>
      </c>
      <c r="D144" s="1" t="s">
        <v>12</v>
      </c>
      <c r="E144" s="1" t="str">
        <f>TRIM(CLEAN(Sheet1[[#This Row],[Category]]))</f>
        <v>Office Supplies</v>
      </c>
      <c r="F144">
        <v>3</v>
      </c>
      <c r="G144" t="str">
        <f t="shared" si="2"/>
        <v>1. Retail (1-3 Units)</v>
      </c>
      <c r="H144">
        <v>3</v>
      </c>
      <c r="I144">
        <v>62</v>
      </c>
      <c r="J144">
        <f>IF(ISBLANK(I144), ROUND(I144/ABS(VALUE(_xlfn.TEXTBEFORE(F144&amp;" ", " "))), 2), ABS(VALUE(SUBSTITUTE(I144, "$", ""))))</f>
        <v>62</v>
      </c>
      <c r="K144">
        <f>ROUND(Sheet1[[#This Row],[CleanedUnits_sold]]*Sheet1[[#This Row],[Cleaned_Unit_Price]],2)</f>
        <v>186</v>
      </c>
      <c r="L144">
        <v>186</v>
      </c>
      <c r="M144" s="1" t="s">
        <v>300</v>
      </c>
      <c r="N144" s="1" t="s">
        <v>14</v>
      </c>
      <c r="O144" s="1" t="s">
        <v>300</v>
      </c>
    </row>
    <row r="145" spans="1:15" x14ac:dyDescent="0.35">
      <c r="A145" s="1" t="s">
        <v>301</v>
      </c>
      <c r="B145" s="2">
        <v>45013</v>
      </c>
      <c r="C145" s="1" t="s">
        <v>19</v>
      </c>
      <c r="D145" s="1" t="s">
        <v>24</v>
      </c>
      <c r="E145" s="1" t="str">
        <f>TRIM(CLEAN(Sheet1[[#This Row],[Category]]))</f>
        <v>Electronics</v>
      </c>
      <c r="F145">
        <v>5</v>
      </c>
      <c r="G145" t="str">
        <f t="shared" si="2"/>
        <v>2. Mid-Market (4-7 Units)</v>
      </c>
      <c r="H145">
        <v>5</v>
      </c>
      <c r="I145">
        <v>251.46</v>
      </c>
      <c r="J145">
        <f>IF(ISBLANK(I145), ROUND(I145/ABS(VALUE(_xlfn.TEXTBEFORE(F145&amp;" ", " "))), 2), ABS(VALUE(SUBSTITUTE(I145, "$", ""))))</f>
        <v>251.46</v>
      </c>
      <c r="K145">
        <f>ROUND(Sheet1[[#This Row],[CleanedUnits_sold]]*Sheet1[[#This Row],[Cleaned_Unit_Price]],2)</f>
        <v>1257.3</v>
      </c>
      <c r="L145">
        <v>1257.3</v>
      </c>
      <c r="M145" s="1" t="s">
        <v>302</v>
      </c>
      <c r="N145" s="1" t="s">
        <v>50</v>
      </c>
      <c r="O145" s="1" t="s">
        <v>302</v>
      </c>
    </row>
    <row r="146" spans="1:15" x14ac:dyDescent="0.35">
      <c r="A146" s="1" t="s">
        <v>303</v>
      </c>
      <c r="B146" s="2">
        <v>45266</v>
      </c>
      <c r="C146" s="1" t="s">
        <v>23</v>
      </c>
      <c r="D146" s="1" t="s">
        <v>24</v>
      </c>
      <c r="E146" s="1" t="str">
        <f>TRIM(CLEAN(Sheet1[[#This Row],[Category]]))</f>
        <v>Electronics</v>
      </c>
      <c r="F146">
        <v>3</v>
      </c>
      <c r="G146" t="str">
        <f t="shared" si="2"/>
        <v>1. Retail (1-3 Units)</v>
      </c>
      <c r="H146">
        <v>3</v>
      </c>
      <c r="I146">
        <v>88.75</v>
      </c>
      <c r="J146">
        <f>IF(ISBLANK(I146), ROUND(I146/ABS(VALUE(_xlfn.TEXTBEFORE(F146&amp;" ", " "))), 2), ABS(VALUE(SUBSTITUTE(I146, "$", ""))))</f>
        <v>88.75</v>
      </c>
      <c r="K146">
        <f>ROUND(Sheet1[[#This Row],[CleanedUnits_sold]]*Sheet1[[#This Row],[Cleaned_Unit_Price]],2)</f>
        <v>266.25</v>
      </c>
      <c r="L146">
        <v>266.25</v>
      </c>
      <c r="M146" s="1" t="s">
        <v>304</v>
      </c>
      <c r="N146" s="1" t="s">
        <v>38</v>
      </c>
      <c r="O146" s="1" t="s">
        <v>304</v>
      </c>
    </row>
    <row r="147" spans="1:15" x14ac:dyDescent="0.35">
      <c r="A147" s="1" t="s">
        <v>305</v>
      </c>
      <c r="B147" s="2">
        <v>1</v>
      </c>
      <c r="C147" s="1" t="s">
        <v>16</v>
      </c>
      <c r="D147" s="1" t="s">
        <v>12</v>
      </c>
      <c r="E147" s="1" t="str">
        <f>TRIM(CLEAN(Sheet1[[#This Row],[Category]]))</f>
        <v>Office Supplies</v>
      </c>
      <c r="F147">
        <v>4</v>
      </c>
      <c r="G147" t="str">
        <f t="shared" si="2"/>
        <v>2. Mid-Market (4-7 Units)</v>
      </c>
      <c r="H147">
        <v>4</v>
      </c>
      <c r="I147">
        <v>489.35</v>
      </c>
      <c r="J147">
        <f>IF(ISBLANK(I147), ROUND(I147/ABS(VALUE(_xlfn.TEXTBEFORE(F147&amp;" ", " "))), 2), ABS(VALUE(SUBSTITUTE(I147, "$", ""))))</f>
        <v>489.35</v>
      </c>
      <c r="K147">
        <f>ROUND(Sheet1[[#This Row],[CleanedUnits_sold]]*Sheet1[[#This Row],[Cleaned_Unit_Price]],2)</f>
        <v>1957.4</v>
      </c>
      <c r="L147">
        <v>1957.4</v>
      </c>
      <c r="M147" s="1" t="s">
        <v>306</v>
      </c>
      <c r="N147" s="1" t="s">
        <v>38</v>
      </c>
      <c r="O147" s="1" t="s">
        <v>306</v>
      </c>
    </row>
    <row r="148" spans="1:15" x14ac:dyDescent="0.35">
      <c r="A148" s="1" t="s">
        <v>307</v>
      </c>
      <c r="B148" s="2">
        <v>45047</v>
      </c>
      <c r="C148" s="1" t="s">
        <v>19</v>
      </c>
      <c r="D148" s="1" t="s">
        <v>12</v>
      </c>
      <c r="E148" s="1" t="str">
        <f>TRIM(CLEAN(Sheet1[[#This Row],[Category]]))</f>
        <v>Office Supplies</v>
      </c>
      <c r="F148">
        <v>5</v>
      </c>
      <c r="G148" t="str">
        <f t="shared" si="2"/>
        <v>2. Mid-Market (4-7 Units)</v>
      </c>
      <c r="H148">
        <v>5</v>
      </c>
      <c r="I148">
        <v>87.67</v>
      </c>
      <c r="J148">
        <f>IF(ISBLANK(I148), ROUND(I148/ABS(VALUE(_xlfn.TEXTBEFORE(F148&amp;" ", " "))), 2), ABS(VALUE(SUBSTITUTE(I148, "$", ""))))</f>
        <v>87.67</v>
      </c>
      <c r="K148">
        <f>ROUND(Sheet1[[#This Row],[CleanedUnits_sold]]*Sheet1[[#This Row],[Cleaned_Unit_Price]],2)</f>
        <v>438.35</v>
      </c>
      <c r="L148">
        <v>438.35</v>
      </c>
      <c r="M148" s="1" t="s">
        <v>308</v>
      </c>
      <c r="N148" s="1" t="s">
        <v>14</v>
      </c>
      <c r="O148" s="1" t="s">
        <v>308</v>
      </c>
    </row>
    <row r="149" spans="1:15" x14ac:dyDescent="0.35">
      <c r="A149" s="1" t="s">
        <v>309</v>
      </c>
      <c r="B149" s="2">
        <v>45264</v>
      </c>
      <c r="C149" s="1" t="s">
        <v>58</v>
      </c>
      <c r="D149" s="1" t="s">
        <v>12</v>
      </c>
      <c r="E149" s="1" t="str">
        <f>TRIM(CLEAN(Sheet1[[#This Row],[Category]]))</f>
        <v>Office Supplies</v>
      </c>
      <c r="F149">
        <v>6</v>
      </c>
      <c r="G149" t="str">
        <f t="shared" si="2"/>
        <v>2. Mid-Market (4-7 Units)</v>
      </c>
      <c r="H149">
        <v>6</v>
      </c>
      <c r="I149">
        <v>248.86</v>
      </c>
      <c r="J149">
        <f>IF(ISBLANK(I149), ROUND(I149/ABS(VALUE(_xlfn.TEXTBEFORE(F149&amp;" ", " "))), 2), ABS(VALUE(SUBSTITUTE(I149, "$", ""))))</f>
        <v>248.86</v>
      </c>
      <c r="K149">
        <f>ROUND(Sheet1[[#This Row],[CleanedUnits_sold]]*Sheet1[[#This Row],[Cleaned_Unit_Price]],2)</f>
        <v>1493.16</v>
      </c>
      <c r="L149">
        <v>1493.16</v>
      </c>
      <c r="M149" s="1" t="s">
        <v>310</v>
      </c>
      <c r="N149" s="1" t="s">
        <v>50</v>
      </c>
      <c r="O149" s="1" t="s">
        <v>310</v>
      </c>
    </row>
    <row r="150" spans="1:15" x14ac:dyDescent="0.35">
      <c r="A150" s="1" t="s">
        <v>311</v>
      </c>
      <c r="B150" s="2">
        <v>1</v>
      </c>
      <c r="C150" s="1" t="s">
        <v>16</v>
      </c>
      <c r="D150" s="1" t="s">
        <v>12</v>
      </c>
      <c r="E150" s="1" t="str">
        <f>TRIM(CLEAN(Sheet1[[#This Row],[Category]]))</f>
        <v>Office Supplies</v>
      </c>
      <c r="F150">
        <v>3</v>
      </c>
      <c r="G150" t="str">
        <f t="shared" si="2"/>
        <v>1. Retail (1-3 Units)</v>
      </c>
      <c r="H150">
        <v>3</v>
      </c>
      <c r="I150">
        <v>188.42</v>
      </c>
      <c r="J150">
        <f>IF(ISBLANK(I150), ROUND(I150/ABS(VALUE(_xlfn.TEXTBEFORE(F150&amp;" ", " "))), 2), ABS(VALUE(SUBSTITUTE(I150, "$", ""))))</f>
        <v>188.42</v>
      </c>
      <c r="K150">
        <f>ROUND(Sheet1[[#This Row],[CleanedUnits_sold]]*Sheet1[[#This Row],[Cleaned_Unit_Price]],2)</f>
        <v>565.26</v>
      </c>
      <c r="L150">
        <v>565.26</v>
      </c>
      <c r="M150" s="1" t="s">
        <v>312</v>
      </c>
      <c r="N150" s="1" t="s">
        <v>38</v>
      </c>
      <c r="O150" s="1" t="s">
        <v>312</v>
      </c>
    </row>
    <row r="151" spans="1:15" x14ac:dyDescent="0.35">
      <c r="A151" s="1" t="s">
        <v>313</v>
      </c>
      <c r="B151" s="2">
        <v>45170</v>
      </c>
      <c r="C151" s="1" t="s">
        <v>16</v>
      </c>
      <c r="D151" s="1" t="s">
        <v>32</v>
      </c>
      <c r="E151" s="1" t="str">
        <f>TRIM(CLEAN(Sheet1[[#This Row],[Category]]))</f>
        <v>Furniture</v>
      </c>
      <c r="G151" t="str">
        <f t="shared" si="2"/>
        <v>2. Mid-Market (4-7 Units)</v>
      </c>
      <c r="H151">
        <v>4</v>
      </c>
      <c r="I151">
        <v>323.3</v>
      </c>
      <c r="J151">
        <f>IF(ISBLANK(I151), ROUND(I151/ABS(VALUE(_xlfn.TEXTBEFORE(F151&amp;" ", " "))), 2), ABS(VALUE(SUBSTITUTE(I151, "$", ""))))</f>
        <v>323.3</v>
      </c>
      <c r="K151">
        <f>ROUND(Sheet1[[#This Row],[CleanedUnits_sold]]*Sheet1[[#This Row],[Cleaned_Unit_Price]],2)</f>
        <v>1293.2</v>
      </c>
      <c r="L151">
        <v>1437.15</v>
      </c>
      <c r="M151" s="1" t="s">
        <v>314</v>
      </c>
      <c r="N151" s="1" t="s">
        <v>26</v>
      </c>
      <c r="O151" s="1" t="s">
        <v>314</v>
      </c>
    </row>
    <row r="152" spans="1:15" x14ac:dyDescent="0.35">
      <c r="A152" s="1" t="s">
        <v>315</v>
      </c>
      <c r="B152" s="2">
        <v>1</v>
      </c>
      <c r="C152" s="1" t="s">
        <v>11</v>
      </c>
      <c r="D152" s="1" t="s">
        <v>12</v>
      </c>
      <c r="E152" s="1" t="str">
        <f>TRIM(CLEAN(Sheet1[[#This Row],[Category]]))</f>
        <v>Office Supplies</v>
      </c>
      <c r="F152">
        <v>4</v>
      </c>
      <c r="G152" t="str">
        <f t="shared" si="2"/>
        <v>2. Mid-Market (4-7 Units)</v>
      </c>
      <c r="H152">
        <v>4</v>
      </c>
      <c r="I152">
        <v>73.23</v>
      </c>
      <c r="J152">
        <f>IF(ISBLANK(I152), ROUND(I152/ABS(VALUE(_xlfn.TEXTBEFORE(F152&amp;" ", " "))), 2), ABS(VALUE(SUBSTITUTE(I152, "$", ""))))</f>
        <v>73.23</v>
      </c>
      <c r="K152">
        <f>ROUND(Sheet1[[#This Row],[CleanedUnits_sold]]*Sheet1[[#This Row],[Cleaned_Unit_Price]],2)</f>
        <v>292.92</v>
      </c>
      <c r="L152">
        <v>292.92</v>
      </c>
      <c r="M152" s="1" t="s">
        <v>316</v>
      </c>
      <c r="N152" s="1" t="s">
        <v>26</v>
      </c>
      <c r="O152" s="1" t="s">
        <v>316</v>
      </c>
    </row>
    <row r="153" spans="1:15" x14ac:dyDescent="0.35">
      <c r="A153" s="1" t="s">
        <v>317</v>
      </c>
      <c r="B153" s="2">
        <v>45123</v>
      </c>
      <c r="C153" s="1" t="s">
        <v>11</v>
      </c>
      <c r="D153" s="1" t="s">
        <v>24</v>
      </c>
      <c r="E153" s="1" t="str">
        <f>TRIM(CLEAN(Sheet1[[#This Row],[Category]]))</f>
        <v>Electronics</v>
      </c>
      <c r="F153">
        <v>5</v>
      </c>
      <c r="G153" t="str">
        <f t="shared" si="2"/>
        <v>2. Mid-Market (4-7 Units)</v>
      </c>
      <c r="H153">
        <v>5</v>
      </c>
      <c r="I153">
        <v>220.86</v>
      </c>
      <c r="J153">
        <f>IF(ISBLANK(I153), ROUND(I153/ABS(VALUE(_xlfn.TEXTBEFORE(F153&amp;" ", " "))), 2), ABS(VALUE(SUBSTITUTE(I153, "$", ""))))</f>
        <v>220.86</v>
      </c>
      <c r="K153">
        <f>ROUND(Sheet1[[#This Row],[CleanedUnits_sold]]*Sheet1[[#This Row],[Cleaned_Unit_Price]],2)</f>
        <v>1104.3</v>
      </c>
      <c r="L153">
        <v>1104.3</v>
      </c>
      <c r="M153" s="1" t="s">
        <v>318</v>
      </c>
      <c r="N153" s="1" t="s">
        <v>50</v>
      </c>
      <c r="O153" s="1" t="s">
        <v>318</v>
      </c>
    </row>
    <row r="154" spans="1:15" x14ac:dyDescent="0.35">
      <c r="A154" s="1" t="s">
        <v>319</v>
      </c>
      <c r="B154" s="2">
        <v>45002</v>
      </c>
      <c r="C154" s="1" t="s">
        <v>16</v>
      </c>
      <c r="D154" s="1" t="s">
        <v>32</v>
      </c>
      <c r="E154" s="1" t="str">
        <f>TRIM(CLEAN(Sheet1[[#This Row],[Category]]))</f>
        <v>Furniture</v>
      </c>
      <c r="F154">
        <v>4</v>
      </c>
      <c r="G154" t="str">
        <f t="shared" si="2"/>
        <v>2. Mid-Market (4-7 Units)</v>
      </c>
      <c r="H154">
        <v>4</v>
      </c>
      <c r="I154">
        <v>144.61000000000001</v>
      </c>
      <c r="J154">
        <f>IF(ISBLANK(I154), ROUND(I154/ABS(VALUE(_xlfn.TEXTBEFORE(F154&amp;" ", " "))), 2), ABS(VALUE(SUBSTITUTE(I154, "$", ""))))</f>
        <v>144.61000000000001</v>
      </c>
      <c r="K154">
        <f>ROUND(Sheet1[[#This Row],[CleanedUnits_sold]]*Sheet1[[#This Row],[Cleaned_Unit_Price]],2)</f>
        <v>578.44000000000005</v>
      </c>
      <c r="L154">
        <v>578.44000000000005</v>
      </c>
      <c r="M154" s="1" t="s">
        <v>320</v>
      </c>
      <c r="N154" s="1" t="s">
        <v>14</v>
      </c>
      <c r="O154" s="1" t="s">
        <v>320</v>
      </c>
    </row>
    <row r="155" spans="1:15" x14ac:dyDescent="0.35">
      <c r="A155" s="1" t="s">
        <v>321</v>
      </c>
      <c r="B155" s="2">
        <v>44981</v>
      </c>
      <c r="C155" s="1" t="s">
        <v>11</v>
      </c>
      <c r="D155" s="1" t="s">
        <v>12</v>
      </c>
      <c r="E155" s="1" t="str">
        <f>TRIM(CLEAN(Sheet1[[#This Row],[Category]]))</f>
        <v>Office Supplies</v>
      </c>
      <c r="F155">
        <v>2</v>
      </c>
      <c r="G155" t="str">
        <f t="shared" si="2"/>
        <v>1. Retail (1-3 Units)</v>
      </c>
      <c r="H155">
        <v>2</v>
      </c>
      <c r="I155">
        <v>445</v>
      </c>
      <c r="J155">
        <f>IF(ISBLANK(I155), ROUND(I155/ABS(VALUE(_xlfn.TEXTBEFORE(F155&amp;" ", " "))), 2), ABS(VALUE(SUBSTITUTE(I155, "$", ""))))</f>
        <v>445</v>
      </c>
      <c r="K155">
        <f>ROUND(Sheet1[[#This Row],[CleanedUnits_sold]]*Sheet1[[#This Row],[Cleaned_Unit_Price]],2)</f>
        <v>890</v>
      </c>
      <c r="L155">
        <v>890</v>
      </c>
      <c r="M155" s="1"/>
      <c r="N155" s="1" t="s">
        <v>14</v>
      </c>
      <c r="O155" s="1" t="s">
        <v>131</v>
      </c>
    </row>
    <row r="156" spans="1:15" x14ac:dyDescent="0.35">
      <c r="A156" s="1" t="s">
        <v>322</v>
      </c>
      <c r="B156" s="2">
        <v>1</v>
      </c>
      <c r="C156" s="1" t="s">
        <v>19</v>
      </c>
      <c r="D156" s="1" t="s">
        <v>24</v>
      </c>
      <c r="E156" s="1" t="str">
        <f>TRIM(CLEAN(Sheet1[[#This Row],[Category]]))</f>
        <v>Electronics</v>
      </c>
      <c r="F156">
        <v>6</v>
      </c>
      <c r="G156" t="str">
        <f t="shared" si="2"/>
        <v>2. Mid-Market (4-7 Units)</v>
      </c>
      <c r="H156">
        <v>6</v>
      </c>
      <c r="I156">
        <v>457.73</v>
      </c>
      <c r="J156">
        <f>IF(ISBLANK(I156), ROUND(I156/ABS(VALUE(_xlfn.TEXTBEFORE(F156&amp;" ", " "))), 2), ABS(VALUE(SUBSTITUTE(I156, "$", ""))))</f>
        <v>457.73</v>
      </c>
      <c r="K156">
        <f>ROUND(Sheet1[[#This Row],[CleanedUnits_sold]]*Sheet1[[#This Row],[Cleaned_Unit_Price]],2)</f>
        <v>2746.38</v>
      </c>
      <c r="L156">
        <v>2746.38</v>
      </c>
      <c r="M156" s="1"/>
      <c r="N156" s="1" t="s">
        <v>50</v>
      </c>
      <c r="O156" s="1" t="s">
        <v>131</v>
      </c>
    </row>
    <row r="157" spans="1:15" x14ac:dyDescent="0.35">
      <c r="A157" s="1" t="s">
        <v>323</v>
      </c>
      <c r="B157" s="2">
        <v>44989</v>
      </c>
      <c r="C157" s="1" t="s">
        <v>16</v>
      </c>
      <c r="D157" s="1" t="s">
        <v>24</v>
      </c>
      <c r="E157" s="1" t="str">
        <f>TRIM(CLEAN(Sheet1[[#This Row],[Category]]))</f>
        <v>Electronics</v>
      </c>
      <c r="F157">
        <v>8</v>
      </c>
      <c r="G157" t="str">
        <f t="shared" si="2"/>
        <v>3. Wholesale / Bulk (8+ Units)</v>
      </c>
      <c r="H157">
        <v>8</v>
      </c>
      <c r="I157">
        <v>418.17</v>
      </c>
      <c r="J157">
        <f>IF(ISBLANK(I157), ROUND(I157/ABS(VALUE(_xlfn.TEXTBEFORE(F157&amp;" ", " "))), 2), ABS(VALUE(SUBSTITUTE(I157, "$", ""))))</f>
        <v>418.17</v>
      </c>
      <c r="K157">
        <f>ROUND(Sheet1[[#This Row],[CleanedUnits_sold]]*Sheet1[[#This Row],[Cleaned_Unit_Price]],2)</f>
        <v>3345.36</v>
      </c>
      <c r="L157">
        <v>3345.36</v>
      </c>
      <c r="M157" s="1" t="s">
        <v>324</v>
      </c>
      <c r="N157" s="1" t="s">
        <v>26</v>
      </c>
      <c r="O157" s="1" t="s">
        <v>324</v>
      </c>
    </row>
    <row r="158" spans="1:15" x14ac:dyDescent="0.35">
      <c r="A158" s="1" t="s">
        <v>325</v>
      </c>
      <c r="B158" s="2">
        <v>45164</v>
      </c>
      <c r="C158" s="1" t="s">
        <v>23</v>
      </c>
      <c r="D158" s="1" t="s">
        <v>12</v>
      </c>
      <c r="E158" s="1" t="str">
        <f>TRIM(CLEAN(Sheet1[[#This Row],[Category]]))</f>
        <v>Office Supplies</v>
      </c>
      <c r="F158">
        <v>1</v>
      </c>
      <c r="G158" t="str">
        <f t="shared" si="2"/>
        <v>1. Retail (1-3 Units)</v>
      </c>
      <c r="H158">
        <v>1</v>
      </c>
      <c r="I158">
        <v>155.81</v>
      </c>
      <c r="J158">
        <f>IF(ISBLANK(I158), ROUND(I158/ABS(VALUE(_xlfn.TEXTBEFORE(F158&amp;" ", " "))), 2), ABS(VALUE(SUBSTITUTE(I158, "$", ""))))</f>
        <v>155.81</v>
      </c>
      <c r="K158">
        <f>ROUND(Sheet1[[#This Row],[CleanedUnits_sold]]*Sheet1[[#This Row],[Cleaned_Unit_Price]],2)</f>
        <v>155.81</v>
      </c>
      <c r="L158">
        <v>155.81</v>
      </c>
      <c r="M158" s="1" t="s">
        <v>326</v>
      </c>
      <c r="N158" s="1" t="s">
        <v>21</v>
      </c>
      <c r="O158" s="1" t="s">
        <v>326</v>
      </c>
    </row>
    <row r="159" spans="1:15" x14ac:dyDescent="0.35">
      <c r="A159" s="1" t="s">
        <v>327</v>
      </c>
      <c r="B159" s="2">
        <v>45153</v>
      </c>
      <c r="C159" s="1" t="s">
        <v>11</v>
      </c>
      <c r="D159" s="1" t="s">
        <v>12</v>
      </c>
      <c r="E159" s="1" t="str">
        <f>TRIM(CLEAN(Sheet1[[#This Row],[Category]]))</f>
        <v>Office Supplies</v>
      </c>
      <c r="F159">
        <v>6</v>
      </c>
      <c r="G159" t="str">
        <f t="shared" si="2"/>
        <v>2. Mid-Market (4-7 Units)</v>
      </c>
      <c r="H159">
        <v>6</v>
      </c>
      <c r="I159">
        <v>396.75</v>
      </c>
      <c r="J159">
        <f>IF(ISBLANK(I159), ROUND(I159/ABS(VALUE(_xlfn.TEXTBEFORE(F159&amp;" ", " "))), 2), ABS(VALUE(SUBSTITUTE(I159, "$", ""))))</f>
        <v>396.75</v>
      </c>
      <c r="K159">
        <f>ROUND(Sheet1[[#This Row],[CleanedUnits_sold]]*Sheet1[[#This Row],[Cleaned_Unit_Price]],2)</f>
        <v>2380.5</v>
      </c>
      <c r="L159">
        <v>2380.5</v>
      </c>
      <c r="M159" s="1" t="s">
        <v>328</v>
      </c>
      <c r="N159" s="1" t="s">
        <v>50</v>
      </c>
      <c r="O159" s="1" t="s">
        <v>328</v>
      </c>
    </row>
    <row r="160" spans="1:15" x14ac:dyDescent="0.35">
      <c r="A160" s="1" t="s">
        <v>329</v>
      </c>
      <c r="B160" s="2">
        <v>45207</v>
      </c>
      <c r="C160" s="1" t="s">
        <v>11</v>
      </c>
      <c r="D160" s="1" t="s">
        <v>24</v>
      </c>
      <c r="E160" s="1" t="str">
        <f>TRIM(CLEAN(Sheet1[[#This Row],[Category]]))</f>
        <v>Electronics</v>
      </c>
      <c r="F160">
        <v>2</v>
      </c>
      <c r="G160" t="str">
        <f t="shared" si="2"/>
        <v>1. Retail (1-3 Units)</v>
      </c>
      <c r="H160">
        <v>2</v>
      </c>
      <c r="I160">
        <v>25.29</v>
      </c>
      <c r="J160">
        <f>IF(ISBLANK(I160), ROUND(I160/ABS(VALUE(_xlfn.TEXTBEFORE(F160&amp;" ", " "))), 2), ABS(VALUE(SUBSTITUTE(I160, "$", ""))))</f>
        <v>25.29</v>
      </c>
      <c r="K160">
        <f>ROUND(Sheet1[[#This Row],[CleanedUnits_sold]]*Sheet1[[#This Row],[Cleaned_Unit_Price]],2)</f>
        <v>50.58</v>
      </c>
      <c r="L160">
        <v>50.58</v>
      </c>
      <c r="M160" s="1" t="s">
        <v>330</v>
      </c>
      <c r="N160" s="1" t="s">
        <v>38</v>
      </c>
      <c r="O160" s="1" t="s">
        <v>330</v>
      </c>
    </row>
    <row r="161" spans="1:15" x14ac:dyDescent="0.35">
      <c r="A161" s="1" t="s">
        <v>331</v>
      </c>
      <c r="B161" s="2">
        <v>45170</v>
      </c>
      <c r="C161" s="1" t="s">
        <v>23</v>
      </c>
      <c r="D161" s="1" t="s">
        <v>12</v>
      </c>
      <c r="E161" s="1" t="str">
        <f>TRIM(CLEAN(Sheet1[[#This Row],[Category]]))</f>
        <v>Office Supplies</v>
      </c>
      <c r="F161">
        <v>5</v>
      </c>
      <c r="G161" t="str">
        <f t="shared" si="2"/>
        <v>2. Mid-Market (4-7 Units)</v>
      </c>
      <c r="H161">
        <v>5</v>
      </c>
      <c r="I161" t="s">
        <v>332</v>
      </c>
      <c r="J161">
        <f>IF(ISBLANK(I161), ROUND(I161/ABS(VALUE(_xlfn.TEXTBEFORE(F161&amp;" ", " "))), 2), ABS(VALUE(SUBSTITUTE(I161, "$", ""))))</f>
        <v>250</v>
      </c>
      <c r="K161">
        <f>ROUND(Sheet1[[#This Row],[CleanedUnits_sold]]*Sheet1[[#This Row],[Cleaned_Unit_Price]],2)</f>
        <v>1250</v>
      </c>
      <c r="L161">
        <v>2418.8000000000002</v>
      </c>
      <c r="M161" s="1" t="s">
        <v>333</v>
      </c>
      <c r="N161" s="1" t="s">
        <v>26</v>
      </c>
      <c r="O161" s="1" t="s">
        <v>333</v>
      </c>
    </row>
    <row r="162" spans="1:15" x14ac:dyDescent="0.35">
      <c r="A162" s="1" t="s">
        <v>334</v>
      </c>
      <c r="B162" s="2">
        <v>45193</v>
      </c>
      <c r="C162" s="1" t="s">
        <v>19</v>
      </c>
      <c r="D162" s="1" t="s">
        <v>24</v>
      </c>
      <c r="E162" s="1" t="str">
        <f>TRIM(CLEAN(Sheet1[[#This Row],[Category]]))</f>
        <v>Electronics</v>
      </c>
      <c r="F162">
        <v>6</v>
      </c>
      <c r="G162" t="str">
        <f t="shared" si="2"/>
        <v>2. Mid-Market (4-7 Units)</v>
      </c>
      <c r="H162">
        <v>6</v>
      </c>
      <c r="I162">
        <v>158.61000000000001</v>
      </c>
      <c r="J162">
        <f>IF(ISBLANK(I162), ROUND(I162/ABS(VALUE(_xlfn.TEXTBEFORE(F162&amp;" ", " "))), 2), ABS(VALUE(SUBSTITUTE(I162, "$", ""))))</f>
        <v>158.61000000000001</v>
      </c>
      <c r="K162">
        <f>ROUND(Sheet1[[#This Row],[CleanedUnits_sold]]*Sheet1[[#This Row],[Cleaned_Unit_Price]],2)</f>
        <v>951.66</v>
      </c>
      <c r="L162">
        <v>1296.1099999999999</v>
      </c>
      <c r="M162" s="1" t="s">
        <v>335</v>
      </c>
      <c r="N162" s="1" t="s">
        <v>38</v>
      </c>
      <c r="O162" s="1" t="s">
        <v>335</v>
      </c>
    </row>
    <row r="163" spans="1:15" x14ac:dyDescent="0.35">
      <c r="A163" s="1" t="s">
        <v>336</v>
      </c>
      <c r="B163" s="2">
        <v>45067</v>
      </c>
      <c r="C163" s="1" t="s">
        <v>23</v>
      </c>
      <c r="D163" s="1" t="s">
        <v>12</v>
      </c>
      <c r="E163" s="1" t="str">
        <f>TRIM(CLEAN(Sheet1[[#This Row],[Category]]))</f>
        <v>Office Supplies</v>
      </c>
      <c r="F163">
        <v>4</v>
      </c>
      <c r="G163" t="str">
        <f t="shared" si="2"/>
        <v>2. Mid-Market (4-7 Units)</v>
      </c>
      <c r="H163">
        <v>4</v>
      </c>
      <c r="I163" t="s">
        <v>332</v>
      </c>
      <c r="J163">
        <f>IF(ISBLANK(I163), ROUND(I163/ABS(VALUE(_xlfn.TEXTBEFORE(F163&amp;" ", " "))), 2), ABS(VALUE(SUBSTITUTE(I163, "$", ""))))</f>
        <v>250</v>
      </c>
      <c r="K163">
        <f>ROUND(Sheet1[[#This Row],[CleanedUnits_sold]]*Sheet1[[#This Row],[Cleaned_Unit_Price]],2)</f>
        <v>1000</v>
      </c>
      <c r="L163">
        <v>750.68</v>
      </c>
      <c r="M163" s="1" t="s">
        <v>337</v>
      </c>
      <c r="N163" s="1" t="s">
        <v>14</v>
      </c>
      <c r="O163" s="1" t="s">
        <v>337</v>
      </c>
    </row>
    <row r="164" spans="1:15" x14ac:dyDescent="0.35">
      <c r="A164" s="1" t="s">
        <v>338</v>
      </c>
      <c r="B164" s="2">
        <v>1</v>
      </c>
      <c r="C164" s="1" t="s">
        <v>16</v>
      </c>
      <c r="D164" s="1" t="s">
        <v>24</v>
      </c>
      <c r="E164" s="1" t="str">
        <f>TRIM(CLEAN(Sheet1[[#This Row],[Category]]))</f>
        <v>Electronics</v>
      </c>
      <c r="F164">
        <v>3</v>
      </c>
      <c r="G164" t="str">
        <f t="shared" si="2"/>
        <v>1. Retail (1-3 Units)</v>
      </c>
      <c r="H164">
        <v>3</v>
      </c>
      <c r="I164">
        <v>42.54</v>
      </c>
      <c r="J164">
        <f>IF(ISBLANK(I164), ROUND(I164/ABS(VALUE(_xlfn.TEXTBEFORE(F164&amp;" ", " "))), 2), ABS(VALUE(SUBSTITUTE(I164, "$", ""))))</f>
        <v>42.54</v>
      </c>
      <c r="K164">
        <f>ROUND(Sheet1[[#This Row],[CleanedUnits_sold]]*Sheet1[[#This Row],[Cleaned_Unit_Price]],2)</f>
        <v>127.62</v>
      </c>
      <c r="L164">
        <v>127.62</v>
      </c>
      <c r="M164" s="1" t="s">
        <v>339</v>
      </c>
      <c r="N164" s="1" t="s">
        <v>14</v>
      </c>
      <c r="O164" s="1" t="s">
        <v>339</v>
      </c>
    </row>
    <row r="165" spans="1:15" x14ac:dyDescent="0.35">
      <c r="A165" s="1" t="s">
        <v>340</v>
      </c>
      <c r="B165" s="2">
        <v>45066</v>
      </c>
      <c r="C165" s="1" t="s">
        <v>16</v>
      </c>
      <c r="D165" s="1" t="s">
        <v>12</v>
      </c>
      <c r="E165" s="1" t="str">
        <f>TRIM(CLEAN(Sheet1[[#This Row],[Category]]))</f>
        <v>Office Supplies</v>
      </c>
      <c r="F165">
        <v>5</v>
      </c>
      <c r="G165" t="str">
        <f t="shared" si="2"/>
        <v>2. Mid-Market (4-7 Units)</v>
      </c>
      <c r="H165">
        <v>5</v>
      </c>
      <c r="I165">
        <v>494.78</v>
      </c>
      <c r="J165">
        <f>IF(ISBLANK(I165), ROUND(I165/ABS(VALUE(_xlfn.TEXTBEFORE(F165&amp;" ", " "))), 2), ABS(VALUE(SUBSTITUTE(I165, "$", ""))))</f>
        <v>494.78</v>
      </c>
      <c r="K165">
        <f>ROUND(Sheet1[[#This Row],[CleanedUnits_sold]]*Sheet1[[#This Row],[Cleaned_Unit_Price]],2)</f>
        <v>2473.9</v>
      </c>
      <c r="L165">
        <v>2473.9</v>
      </c>
      <c r="M165" s="1" t="s">
        <v>341</v>
      </c>
      <c r="N165" s="1" t="s">
        <v>50</v>
      </c>
      <c r="O165" s="1" t="s">
        <v>341</v>
      </c>
    </row>
    <row r="166" spans="1:15" x14ac:dyDescent="0.35">
      <c r="A166" s="1" t="s">
        <v>342</v>
      </c>
      <c r="B166" s="2">
        <v>45203</v>
      </c>
      <c r="C166" s="1" t="s">
        <v>11</v>
      </c>
      <c r="D166" s="1" t="s">
        <v>12</v>
      </c>
      <c r="E166" s="1" t="str">
        <f>TRIM(CLEAN(Sheet1[[#This Row],[Category]]))</f>
        <v>Office Supplies</v>
      </c>
      <c r="F166">
        <v>6</v>
      </c>
      <c r="G166" t="str">
        <f t="shared" si="2"/>
        <v>2. Mid-Market (4-7 Units)</v>
      </c>
      <c r="H166">
        <v>6</v>
      </c>
      <c r="I166">
        <v>29.25</v>
      </c>
      <c r="J166">
        <f>IF(ISBLANK(I166), ROUND(I166/ABS(VALUE(_xlfn.TEXTBEFORE(F166&amp;" ", " "))), 2), ABS(VALUE(SUBSTITUTE(I166, "$", ""))))</f>
        <v>29.25</v>
      </c>
      <c r="K166">
        <f>ROUND(Sheet1[[#This Row],[CleanedUnits_sold]]*Sheet1[[#This Row],[Cleaned_Unit_Price]],2)</f>
        <v>175.5</v>
      </c>
      <c r="L166">
        <v>175.5</v>
      </c>
      <c r="M166" s="1" t="s">
        <v>343</v>
      </c>
      <c r="N166" s="1" t="s">
        <v>50</v>
      </c>
      <c r="O166" s="1" t="s">
        <v>343</v>
      </c>
    </row>
    <row r="167" spans="1:15" x14ac:dyDescent="0.35">
      <c r="A167" s="1" t="s">
        <v>344</v>
      </c>
      <c r="B167" s="2">
        <v>45045</v>
      </c>
      <c r="C167" s="1" t="s">
        <v>23</v>
      </c>
      <c r="D167" s="1" t="s">
        <v>24</v>
      </c>
      <c r="E167" s="1" t="str">
        <f>TRIM(CLEAN(Sheet1[[#This Row],[Category]]))</f>
        <v>Electronics</v>
      </c>
      <c r="F167">
        <v>3</v>
      </c>
      <c r="G167" t="str">
        <f t="shared" si="2"/>
        <v>1. Retail (1-3 Units)</v>
      </c>
      <c r="H167">
        <v>3</v>
      </c>
      <c r="I167">
        <v>330.9</v>
      </c>
      <c r="J167">
        <f>IF(ISBLANK(I167), ROUND(I167/ABS(VALUE(_xlfn.TEXTBEFORE(F167&amp;" ", " "))), 2), ABS(VALUE(SUBSTITUTE(I167, "$", ""))))</f>
        <v>330.9</v>
      </c>
      <c r="K167">
        <f>ROUND(Sheet1[[#This Row],[CleanedUnits_sold]]*Sheet1[[#This Row],[Cleaned_Unit_Price]],2)</f>
        <v>992.7</v>
      </c>
      <c r="L167">
        <v>992.7</v>
      </c>
      <c r="M167" s="1" t="s">
        <v>345</v>
      </c>
      <c r="N167" s="1" t="s">
        <v>14</v>
      </c>
      <c r="O167" s="1" t="s">
        <v>345</v>
      </c>
    </row>
    <row r="168" spans="1:15" x14ac:dyDescent="0.35">
      <c r="A168" s="1" t="s">
        <v>346</v>
      </c>
      <c r="B168" s="2">
        <v>1</v>
      </c>
      <c r="C168" s="1" t="s">
        <v>19</v>
      </c>
      <c r="D168" s="1" t="s">
        <v>24</v>
      </c>
      <c r="E168" s="1" t="str">
        <f>TRIM(CLEAN(Sheet1[[#This Row],[Category]]))</f>
        <v>Electronics</v>
      </c>
      <c r="F168">
        <v>4</v>
      </c>
      <c r="G168" t="str">
        <f t="shared" si="2"/>
        <v>2. Mid-Market (4-7 Units)</v>
      </c>
      <c r="H168">
        <v>4</v>
      </c>
      <c r="I168">
        <v>226.94</v>
      </c>
      <c r="J168">
        <f>IF(ISBLANK(I168), ROUND(I168/ABS(VALUE(_xlfn.TEXTBEFORE(F168&amp;" ", " "))), 2), ABS(VALUE(SUBSTITUTE(I168, "$", ""))))</f>
        <v>226.94</v>
      </c>
      <c r="K168">
        <f>ROUND(Sheet1[[#This Row],[CleanedUnits_sold]]*Sheet1[[#This Row],[Cleaned_Unit_Price]],2)</f>
        <v>907.76</v>
      </c>
      <c r="L168">
        <v>907.76</v>
      </c>
      <c r="M168" s="1" t="s">
        <v>347</v>
      </c>
      <c r="N168" s="1" t="s">
        <v>14</v>
      </c>
      <c r="O168" s="1" t="s">
        <v>347</v>
      </c>
    </row>
    <row r="169" spans="1:15" x14ac:dyDescent="0.35">
      <c r="A169" s="1" t="s">
        <v>348</v>
      </c>
      <c r="B169" s="2">
        <v>1</v>
      </c>
      <c r="C169" s="1" t="s">
        <v>58</v>
      </c>
      <c r="D169" s="1" t="s">
        <v>46</v>
      </c>
      <c r="E169" s="1" t="str">
        <f>TRIM(CLEAN(Sheet1[[#This Row],[Category]]))</f>
        <v>Furniture</v>
      </c>
      <c r="F169">
        <v>8</v>
      </c>
      <c r="G169" t="str">
        <f t="shared" si="2"/>
        <v>3. Wholesale / Bulk (8+ Units)</v>
      </c>
      <c r="H169">
        <v>8</v>
      </c>
      <c r="I169">
        <v>474.97</v>
      </c>
      <c r="J169">
        <f>IF(ISBLANK(I169), ROUND(I169/ABS(VALUE(_xlfn.TEXTBEFORE(F169&amp;" ", " "))), 2), ABS(VALUE(SUBSTITUTE(I169, "$", ""))))</f>
        <v>474.97</v>
      </c>
      <c r="K169">
        <f>ROUND(Sheet1[[#This Row],[CleanedUnits_sold]]*Sheet1[[#This Row],[Cleaned_Unit_Price]],2)</f>
        <v>3799.76</v>
      </c>
      <c r="L169">
        <v>3799.76</v>
      </c>
      <c r="M169" s="1" t="s">
        <v>49</v>
      </c>
      <c r="N169" s="1" t="s">
        <v>26</v>
      </c>
      <c r="O169" s="1" t="s">
        <v>51</v>
      </c>
    </row>
    <row r="170" spans="1:15" x14ac:dyDescent="0.35">
      <c r="A170" s="1" t="s">
        <v>349</v>
      </c>
      <c r="B170" s="2">
        <v>45204</v>
      </c>
      <c r="C170" s="1" t="s">
        <v>19</v>
      </c>
      <c r="D170" s="1" t="s">
        <v>12</v>
      </c>
      <c r="E170" s="1" t="str">
        <f>TRIM(CLEAN(Sheet1[[#This Row],[Category]]))</f>
        <v>Office Supplies</v>
      </c>
      <c r="F170">
        <v>4</v>
      </c>
      <c r="G170" t="str">
        <f t="shared" si="2"/>
        <v>2. Mid-Market (4-7 Units)</v>
      </c>
      <c r="H170">
        <v>4</v>
      </c>
      <c r="I170">
        <v>130.54</v>
      </c>
      <c r="J170">
        <f>IF(ISBLANK(I170), ROUND(I170/ABS(VALUE(_xlfn.TEXTBEFORE(F170&amp;" ", " "))), 2), ABS(VALUE(SUBSTITUTE(I170, "$", ""))))</f>
        <v>130.54</v>
      </c>
      <c r="K170">
        <f>ROUND(Sheet1[[#This Row],[CleanedUnits_sold]]*Sheet1[[#This Row],[Cleaned_Unit_Price]],2)</f>
        <v>522.16</v>
      </c>
      <c r="L170">
        <v>522.16</v>
      </c>
      <c r="M170" s="1" t="s">
        <v>350</v>
      </c>
      <c r="N170" s="1" t="s">
        <v>26</v>
      </c>
      <c r="O170" s="1" t="s">
        <v>350</v>
      </c>
    </row>
    <row r="171" spans="1:15" x14ac:dyDescent="0.35">
      <c r="A171" s="1" t="s">
        <v>351</v>
      </c>
      <c r="B171" s="2">
        <v>45032</v>
      </c>
      <c r="C171" s="1" t="s">
        <v>16</v>
      </c>
      <c r="D171" s="1" t="s">
        <v>24</v>
      </c>
      <c r="E171" s="1" t="str">
        <f>TRIM(CLEAN(Sheet1[[#This Row],[Category]]))</f>
        <v>Electronics</v>
      </c>
      <c r="F171">
        <v>10</v>
      </c>
      <c r="G171" t="str">
        <f t="shared" si="2"/>
        <v>3. Wholesale / Bulk (8+ Units)</v>
      </c>
      <c r="H171">
        <v>10</v>
      </c>
      <c r="I171">
        <v>270.72000000000003</v>
      </c>
      <c r="J171">
        <f>IF(ISBLANK(I171), ROUND(I171/ABS(VALUE(_xlfn.TEXTBEFORE(F171&amp;" ", " "))), 2), ABS(VALUE(SUBSTITUTE(I171, "$", ""))))</f>
        <v>270.72000000000003</v>
      </c>
      <c r="K171">
        <f>ROUND(Sheet1[[#This Row],[CleanedUnits_sold]]*Sheet1[[#This Row],[Cleaned_Unit_Price]],2)</f>
        <v>2707.2</v>
      </c>
      <c r="L171">
        <v>2707.2</v>
      </c>
      <c r="M171" s="1" t="s">
        <v>352</v>
      </c>
      <c r="N171" s="1" t="s">
        <v>21</v>
      </c>
      <c r="O171" s="1" t="s">
        <v>352</v>
      </c>
    </row>
    <row r="172" spans="1:15" x14ac:dyDescent="0.35">
      <c r="A172" s="1" t="s">
        <v>353</v>
      </c>
      <c r="B172" s="2">
        <v>45226</v>
      </c>
      <c r="C172" s="1" t="s">
        <v>19</v>
      </c>
      <c r="D172" s="1" t="s">
        <v>12</v>
      </c>
      <c r="E172" s="1" t="str">
        <f>TRIM(CLEAN(Sheet1[[#This Row],[Category]]))</f>
        <v>Office Supplies</v>
      </c>
      <c r="F172">
        <v>4</v>
      </c>
      <c r="G172" t="str">
        <f t="shared" si="2"/>
        <v>2. Mid-Market (4-7 Units)</v>
      </c>
      <c r="H172">
        <v>4</v>
      </c>
      <c r="I172">
        <v>246.35</v>
      </c>
      <c r="J172">
        <f>IF(ISBLANK(I172), ROUND(I172/ABS(VALUE(_xlfn.TEXTBEFORE(F172&amp;" ", " "))), 2), ABS(VALUE(SUBSTITUTE(I172, "$", ""))))</f>
        <v>246.35</v>
      </c>
      <c r="K172">
        <f>ROUND(Sheet1[[#This Row],[CleanedUnits_sold]]*Sheet1[[#This Row],[Cleaned_Unit_Price]],2)</f>
        <v>985.4</v>
      </c>
      <c r="L172">
        <v>985.4</v>
      </c>
      <c r="M172" s="1" t="s">
        <v>354</v>
      </c>
      <c r="N172" s="1" t="s">
        <v>14</v>
      </c>
      <c r="O172" s="1" t="s">
        <v>354</v>
      </c>
    </row>
    <row r="173" spans="1:15" x14ac:dyDescent="0.35">
      <c r="A173" s="1" t="s">
        <v>355</v>
      </c>
      <c r="B173" s="2">
        <v>45221</v>
      </c>
      <c r="C173" s="1" t="s">
        <v>58</v>
      </c>
      <c r="D173" s="1" t="s">
        <v>12</v>
      </c>
      <c r="E173" s="1" t="str">
        <f>TRIM(CLEAN(Sheet1[[#This Row],[Category]]))</f>
        <v>Office Supplies</v>
      </c>
      <c r="F173">
        <v>5</v>
      </c>
      <c r="G173" t="str">
        <f t="shared" si="2"/>
        <v>2. Mid-Market (4-7 Units)</v>
      </c>
      <c r="H173">
        <v>5</v>
      </c>
      <c r="I173">
        <v>354.4</v>
      </c>
      <c r="J173">
        <f>IF(ISBLANK(I173), ROUND(I173/ABS(VALUE(_xlfn.TEXTBEFORE(F173&amp;" ", " "))), 2), ABS(VALUE(SUBSTITUTE(I173, "$", ""))))</f>
        <v>354.4</v>
      </c>
      <c r="K173">
        <f>ROUND(Sheet1[[#This Row],[CleanedUnits_sold]]*Sheet1[[#This Row],[Cleaned_Unit_Price]],2)</f>
        <v>1772</v>
      </c>
      <c r="L173">
        <v>1772</v>
      </c>
      <c r="M173" s="1" t="s">
        <v>356</v>
      </c>
      <c r="N173" s="1" t="s">
        <v>38</v>
      </c>
      <c r="O173" s="1" t="s">
        <v>356</v>
      </c>
    </row>
    <row r="174" spans="1:15" x14ac:dyDescent="0.35">
      <c r="A174" s="1" t="s">
        <v>357</v>
      </c>
      <c r="B174" s="2">
        <v>45107</v>
      </c>
      <c r="C174" s="1" t="s">
        <v>19</v>
      </c>
      <c r="D174" s="1" t="s">
        <v>32</v>
      </c>
      <c r="E174" s="1" t="str">
        <f>TRIM(CLEAN(Sheet1[[#This Row],[Category]]))</f>
        <v>Furniture</v>
      </c>
      <c r="F174">
        <v>10</v>
      </c>
      <c r="G174" t="str">
        <f t="shared" si="2"/>
        <v>3. Wholesale / Bulk (8+ Units)</v>
      </c>
      <c r="H174">
        <v>10</v>
      </c>
      <c r="I174">
        <v>43.33</v>
      </c>
      <c r="J174">
        <f>IF(ISBLANK(I174), ROUND(I174/ABS(VALUE(_xlfn.TEXTBEFORE(F174&amp;" ", " "))), 2), ABS(VALUE(SUBSTITUTE(I174, "$", ""))))</f>
        <v>43.33</v>
      </c>
      <c r="K174">
        <f>ROUND(Sheet1[[#This Row],[CleanedUnits_sold]]*Sheet1[[#This Row],[Cleaned_Unit_Price]],2)</f>
        <v>433.3</v>
      </c>
      <c r="L174">
        <v>433.3</v>
      </c>
      <c r="M174" s="1" t="s">
        <v>49</v>
      </c>
      <c r="N174" s="1" t="s">
        <v>26</v>
      </c>
      <c r="O174" s="1" t="s">
        <v>51</v>
      </c>
    </row>
    <row r="175" spans="1:15" x14ac:dyDescent="0.35">
      <c r="A175" s="1" t="s">
        <v>358</v>
      </c>
      <c r="B175" s="2">
        <v>44993</v>
      </c>
      <c r="C175" s="1" t="s">
        <v>23</v>
      </c>
      <c r="D175" s="1" t="s">
        <v>24</v>
      </c>
      <c r="E175" s="1" t="str">
        <f>TRIM(CLEAN(Sheet1[[#This Row],[Category]]))</f>
        <v>Electronics</v>
      </c>
      <c r="F175">
        <v>3</v>
      </c>
      <c r="G175" t="str">
        <f t="shared" si="2"/>
        <v>1. Retail (1-3 Units)</v>
      </c>
      <c r="H175">
        <v>3</v>
      </c>
      <c r="I175">
        <v>104.96</v>
      </c>
      <c r="J175">
        <f>IF(ISBLANK(I175), ROUND(I175/ABS(VALUE(_xlfn.TEXTBEFORE(F175&amp;" ", " "))), 2), ABS(VALUE(SUBSTITUTE(I175, "$", ""))))</f>
        <v>104.96</v>
      </c>
      <c r="K175">
        <f>ROUND(Sheet1[[#This Row],[CleanedUnits_sold]]*Sheet1[[#This Row],[Cleaned_Unit_Price]],2)</f>
        <v>314.88</v>
      </c>
      <c r="L175">
        <v>408.84</v>
      </c>
      <c r="M175" s="1" t="s">
        <v>359</v>
      </c>
      <c r="N175" s="1" t="s">
        <v>50</v>
      </c>
      <c r="O175" s="1" t="s">
        <v>359</v>
      </c>
    </row>
    <row r="176" spans="1:15" x14ac:dyDescent="0.35">
      <c r="A176" s="1" t="s">
        <v>360</v>
      </c>
      <c r="B176" s="2">
        <v>45066</v>
      </c>
      <c r="C176" s="1" t="s">
        <v>23</v>
      </c>
      <c r="D176" s="1" t="s">
        <v>32</v>
      </c>
      <c r="E176" s="1" t="str">
        <f>TRIM(CLEAN(Sheet1[[#This Row],[Category]]))</f>
        <v>Furniture</v>
      </c>
      <c r="F176">
        <v>4</v>
      </c>
      <c r="G176" t="str">
        <f t="shared" si="2"/>
        <v>2. Mid-Market (4-7 Units)</v>
      </c>
      <c r="H176">
        <v>4</v>
      </c>
      <c r="I176">
        <v>115.14</v>
      </c>
      <c r="J176">
        <f>IF(ISBLANK(I176), ROUND(I176/ABS(VALUE(_xlfn.TEXTBEFORE(F176&amp;" ", " "))), 2), ABS(VALUE(SUBSTITUTE(I176, "$", ""))))</f>
        <v>115.14</v>
      </c>
      <c r="K176">
        <f>ROUND(Sheet1[[#This Row],[CleanedUnits_sold]]*Sheet1[[#This Row],[Cleaned_Unit_Price]],2)</f>
        <v>460.56</v>
      </c>
      <c r="L176">
        <v>460.56</v>
      </c>
      <c r="M176" s="1" t="s">
        <v>49</v>
      </c>
      <c r="N176" s="1" t="s">
        <v>21</v>
      </c>
      <c r="O176" s="1" t="s">
        <v>51</v>
      </c>
    </row>
    <row r="177" spans="1:15" x14ac:dyDescent="0.35">
      <c r="A177" s="1" t="s">
        <v>361</v>
      </c>
      <c r="B177" s="2">
        <v>45126</v>
      </c>
      <c r="C177" s="1" t="s">
        <v>16</v>
      </c>
      <c r="D177" s="1" t="s">
        <v>46</v>
      </c>
      <c r="E177" s="1" t="str">
        <f>TRIM(CLEAN(Sheet1[[#This Row],[Category]]))</f>
        <v>Furniture</v>
      </c>
      <c r="F177">
        <v>7</v>
      </c>
      <c r="G177" t="str">
        <f t="shared" si="2"/>
        <v>2. Mid-Market (4-7 Units)</v>
      </c>
      <c r="H177">
        <v>7</v>
      </c>
      <c r="I177">
        <v>371.69</v>
      </c>
      <c r="J177">
        <f>IF(ISBLANK(I177), ROUND(I177/ABS(VALUE(_xlfn.TEXTBEFORE(F177&amp;" ", " "))), 2), ABS(VALUE(SUBSTITUTE(I177, "$", ""))))</f>
        <v>371.69</v>
      </c>
      <c r="K177">
        <f>ROUND(Sheet1[[#This Row],[CleanedUnits_sold]]*Sheet1[[#This Row],[Cleaned_Unit_Price]],2)</f>
        <v>2601.83</v>
      </c>
      <c r="L177">
        <v>2601.83</v>
      </c>
      <c r="M177" s="1" t="s">
        <v>362</v>
      </c>
      <c r="N177" s="1" t="s">
        <v>26</v>
      </c>
      <c r="O177" s="1" t="s">
        <v>362</v>
      </c>
    </row>
    <row r="178" spans="1:15" x14ac:dyDescent="0.35">
      <c r="A178" s="1" t="s">
        <v>363</v>
      </c>
      <c r="B178" s="2">
        <v>1</v>
      </c>
      <c r="C178" s="1" t="s">
        <v>11</v>
      </c>
      <c r="D178" s="1" t="s">
        <v>32</v>
      </c>
      <c r="E178" s="1" t="str">
        <f>TRIM(CLEAN(Sheet1[[#This Row],[Category]]))</f>
        <v>Furniture</v>
      </c>
      <c r="F178">
        <v>5</v>
      </c>
      <c r="G178" t="str">
        <f t="shared" si="2"/>
        <v>2. Mid-Market (4-7 Units)</v>
      </c>
      <c r="H178">
        <v>5</v>
      </c>
      <c r="J178">
        <f>IF(ISBLANK(I178), ROUND(I178/ABS(VALUE(_xlfn.TEXTBEFORE(F178&amp;" ", " "))), 2), ABS(VALUE(SUBSTITUTE(I178, "$", ""))))</f>
        <v>0</v>
      </c>
      <c r="K178">
        <f>ROUND(Sheet1[[#This Row],[CleanedUnits_sold]]*Sheet1[[#This Row],[Cleaned_Unit_Price]],2)</f>
        <v>0</v>
      </c>
      <c r="L178">
        <v>513.4</v>
      </c>
      <c r="M178" s="1" t="s">
        <v>364</v>
      </c>
      <c r="N178" s="1" t="s">
        <v>21</v>
      </c>
      <c r="O178" s="1" t="s">
        <v>364</v>
      </c>
    </row>
    <row r="179" spans="1:15" x14ac:dyDescent="0.35">
      <c r="A179" s="1" t="s">
        <v>365</v>
      </c>
      <c r="B179" s="2">
        <v>44992</v>
      </c>
      <c r="C179" s="1" t="s">
        <v>16</v>
      </c>
      <c r="D179" s="1" t="s">
        <v>12</v>
      </c>
      <c r="E179" s="1" t="str">
        <f>TRIM(CLEAN(Sheet1[[#This Row],[Category]]))</f>
        <v>Office Supplies</v>
      </c>
      <c r="F179">
        <v>10</v>
      </c>
      <c r="G179" t="str">
        <f t="shared" si="2"/>
        <v>3. Wholesale / Bulk (8+ Units)</v>
      </c>
      <c r="H179">
        <v>10</v>
      </c>
      <c r="I179">
        <v>291.01</v>
      </c>
      <c r="J179">
        <f>IF(ISBLANK(I179), ROUND(I179/ABS(VALUE(_xlfn.TEXTBEFORE(F179&amp;" ", " "))), 2), ABS(VALUE(SUBSTITUTE(I179, "$", ""))))</f>
        <v>291.01</v>
      </c>
      <c r="K179">
        <f>ROUND(Sheet1[[#This Row],[CleanedUnits_sold]]*Sheet1[[#This Row],[Cleaned_Unit_Price]],2)</f>
        <v>2910.1</v>
      </c>
      <c r="L179">
        <v>2910.1</v>
      </c>
      <c r="M179" s="1" t="s">
        <v>366</v>
      </c>
      <c r="N179" s="1" t="s">
        <v>21</v>
      </c>
      <c r="O179" s="1" t="s">
        <v>366</v>
      </c>
    </row>
    <row r="180" spans="1:15" x14ac:dyDescent="0.35">
      <c r="A180" s="1" t="s">
        <v>367</v>
      </c>
      <c r="B180" s="2">
        <v>45230</v>
      </c>
      <c r="C180" s="1" t="s">
        <v>11</v>
      </c>
      <c r="D180" s="1" t="s">
        <v>12</v>
      </c>
      <c r="E180" s="1" t="str">
        <f>TRIM(CLEAN(Sheet1[[#This Row],[Category]]))</f>
        <v>Office Supplies</v>
      </c>
      <c r="F180">
        <v>4</v>
      </c>
      <c r="G180" t="str">
        <f t="shared" si="2"/>
        <v>2. Mid-Market (4-7 Units)</v>
      </c>
      <c r="H180">
        <v>4</v>
      </c>
      <c r="I180">
        <v>115.47</v>
      </c>
      <c r="J180">
        <f>IF(ISBLANK(I180), ROUND(I180/ABS(VALUE(_xlfn.TEXTBEFORE(F180&amp;" ", " "))), 2), ABS(VALUE(SUBSTITUTE(I180, "$", ""))))</f>
        <v>115.47</v>
      </c>
      <c r="K180">
        <f>ROUND(Sheet1[[#This Row],[CleanedUnits_sold]]*Sheet1[[#This Row],[Cleaned_Unit_Price]],2)</f>
        <v>461.88</v>
      </c>
      <c r="L180">
        <v>461.88</v>
      </c>
      <c r="M180" s="1" t="s">
        <v>368</v>
      </c>
      <c r="N180" s="1" t="s">
        <v>26</v>
      </c>
      <c r="O180" s="1" t="s">
        <v>368</v>
      </c>
    </row>
    <row r="181" spans="1:15" x14ac:dyDescent="0.35">
      <c r="A181" s="1" t="s">
        <v>369</v>
      </c>
      <c r="B181" s="2">
        <v>1</v>
      </c>
      <c r="C181" s="1" t="s">
        <v>16</v>
      </c>
      <c r="D181" s="1" t="s">
        <v>12</v>
      </c>
      <c r="E181" s="1" t="str">
        <f>TRIM(CLEAN(Sheet1[[#This Row],[Category]]))</f>
        <v>Office Supplies</v>
      </c>
      <c r="F181">
        <v>-4</v>
      </c>
      <c r="G181" t="str">
        <f t="shared" si="2"/>
        <v>2. Mid-Market (4-7 Units)</v>
      </c>
      <c r="H181">
        <v>4</v>
      </c>
      <c r="I181">
        <v>432.2</v>
      </c>
      <c r="J181">
        <f>IF(ISBLANK(I181), ROUND(I181/ABS(VALUE(_xlfn.TEXTBEFORE(F181&amp;" ", " "))), 2), ABS(VALUE(SUBSTITUTE(I181, "$", ""))))</f>
        <v>432.2</v>
      </c>
      <c r="K181">
        <f>ROUND(Sheet1[[#This Row],[CleanedUnits_sold]]*Sheet1[[#This Row],[Cleaned_Unit_Price]],2)</f>
        <v>1728.8</v>
      </c>
      <c r="L181">
        <v>955.77</v>
      </c>
      <c r="M181" s="1" t="s">
        <v>370</v>
      </c>
      <c r="N181" s="1" t="s">
        <v>14</v>
      </c>
      <c r="O181" s="1" t="s">
        <v>370</v>
      </c>
    </row>
    <row r="182" spans="1:15" x14ac:dyDescent="0.35">
      <c r="A182" s="1" t="s">
        <v>371</v>
      </c>
      <c r="B182" s="2">
        <v>1</v>
      </c>
      <c r="C182" s="1" t="s">
        <v>23</v>
      </c>
      <c r="D182" s="1" t="s">
        <v>24</v>
      </c>
      <c r="E182" s="1" t="str">
        <f>TRIM(CLEAN(Sheet1[[#This Row],[Category]]))</f>
        <v>Electronics</v>
      </c>
      <c r="F182">
        <v>3</v>
      </c>
      <c r="G182" t="str">
        <f t="shared" si="2"/>
        <v>1. Retail (1-3 Units)</v>
      </c>
      <c r="H182">
        <v>3</v>
      </c>
      <c r="I182">
        <v>471.67</v>
      </c>
      <c r="J182">
        <f>IF(ISBLANK(I182), ROUND(I182/ABS(VALUE(_xlfn.TEXTBEFORE(F182&amp;" ", " "))), 2), ABS(VALUE(SUBSTITUTE(I182, "$", ""))))</f>
        <v>471.67</v>
      </c>
      <c r="K182">
        <f>ROUND(Sheet1[[#This Row],[CleanedUnits_sold]]*Sheet1[[#This Row],[Cleaned_Unit_Price]],2)</f>
        <v>1415.01</v>
      </c>
      <c r="L182">
        <v>1415.01</v>
      </c>
      <c r="M182" s="1" t="s">
        <v>372</v>
      </c>
      <c r="N182" s="1" t="s">
        <v>14</v>
      </c>
      <c r="O182" s="1" t="s">
        <v>372</v>
      </c>
    </row>
    <row r="183" spans="1:15" x14ac:dyDescent="0.35">
      <c r="A183" s="1" t="s">
        <v>373</v>
      </c>
      <c r="B183" s="2">
        <v>1</v>
      </c>
      <c r="C183" s="1" t="s">
        <v>16</v>
      </c>
      <c r="D183" s="1" t="s">
        <v>12</v>
      </c>
      <c r="E183" s="1" t="str">
        <f>TRIM(CLEAN(Sheet1[[#This Row],[Category]]))</f>
        <v>Office Supplies</v>
      </c>
      <c r="F183">
        <v>5</v>
      </c>
      <c r="G183" t="str">
        <f t="shared" si="2"/>
        <v>2. Mid-Market (4-7 Units)</v>
      </c>
      <c r="H183">
        <v>5</v>
      </c>
      <c r="I183">
        <v>264.06</v>
      </c>
      <c r="J183">
        <f>IF(ISBLANK(I183), ROUND(I183/ABS(VALUE(_xlfn.TEXTBEFORE(F183&amp;" ", " "))), 2), ABS(VALUE(SUBSTITUTE(I183, "$", ""))))</f>
        <v>264.06</v>
      </c>
      <c r="K183">
        <f>ROUND(Sheet1[[#This Row],[CleanedUnits_sold]]*Sheet1[[#This Row],[Cleaned_Unit_Price]],2)</f>
        <v>1320.3</v>
      </c>
      <c r="M183" s="1" t="s">
        <v>374</v>
      </c>
      <c r="N183" s="1" t="s">
        <v>14</v>
      </c>
      <c r="O183" s="1" t="s">
        <v>374</v>
      </c>
    </row>
    <row r="184" spans="1:15" x14ac:dyDescent="0.35">
      <c r="A184" s="1" t="s">
        <v>375</v>
      </c>
      <c r="B184" s="2">
        <v>45035</v>
      </c>
      <c r="C184" s="1" t="s">
        <v>16</v>
      </c>
      <c r="D184" s="1" t="s">
        <v>12</v>
      </c>
      <c r="E184" s="1" t="str">
        <f>TRIM(CLEAN(Sheet1[[#This Row],[Category]]))</f>
        <v>Office Supplies</v>
      </c>
      <c r="F184">
        <v>8</v>
      </c>
      <c r="G184" t="str">
        <f t="shared" si="2"/>
        <v>3. Wholesale / Bulk (8+ Units)</v>
      </c>
      <c r="H184">
        <v>8</v>
      </c>
      <c r="I184">
        <v>-93.03</v>
      </c>
      <c r="J184">
        <f>IF(ISBLANK(I184), ROUND(I184/ABS(VALUE(_xlfn.TEXTBEFORE(F184&amp;" ", " "))), 2), ABS(VALUE(SUBSTITUTE(I184, "$", ""))))</f>
        <v>93.03</v>
      </c>
      <c r="K184">
        <f>ROUND(Sheet1[[#This Row],[CleanedUnits_sold]]*Sheet1[[#This Row],[Cleaned_Unit_Price]],2)</f>
        <v>744.24</v>
      </c>
      <c r="L184">
        <v>1461.04</v>
      </c>
      <c r="M184" s="1"/>
      <c r="N184" s="1" t="s">
        <v>50</v>
      </c>
      <c r="O184" s="1" t="s">
        <v>131</v>
      </c>
    </row>
    <row r="185" spans="1:15" x14ac:dyDescent="0.35">
      <c r="A185" s="1" t="s">
        <v>376</v>
      </c>
      <c r="B185" s="2">
        <v>45121</v>
      </c>
      <c r="C185" s="1" t="s">
        <v>58</v>
      </c>
      <c r="D185" s="1" t="s">
        <v>46</v>
      </c>
      <c r="E185" s="1" t="str">
        <f>TRIM(CLEAN(Sheet1[[#This Row],[Category]]))</f>
        <v>Furniture</v>
      </c>
      <c r="F185">
        <v>4</v>
      </c>
      <c r="G185" t="str">
        <f t="shared" si="2"/>
        <v>2. Mid-Market (4-7 Units)</v>
      </c>
      <c r="H185">
        <v>4</v>
      </c>
      <c r="I185">
        <v>124.69</v>
      </c>
      <c r="J185">
        <f>IF(ISBLANK(I185), ROUND(I185/ABS(VALUE(_xlfn.TEXTBEFORE(F185&amp;" ", " "))), 2), ABS(VALUE(SUBSTITUTE(I185, "$", ""))))</f>
        <v>124.69</v>
      </c>
      <c r="K185">
        <f>ROUND(Sheet1[[#This Row],[CleanedUnits_sold]]*Sheet1[[#This Row],[Cleaned_Unit_Price]],2)</f>
        <v>498.76</v>
      </c>
      <c r="L185">
        <v>498.76</v>
      </c>
      <c r="M185" s="1" t="s">
        <v>377</v>
      </c>
      <c r="N185" s="1" t="s">
        <v>50</v>
      </c>
      <c r="O185" s="1" t="s">
        <v>377</v>
      </c>
    </row>
    <row r="186" spans="1:15" x14ac:dyDescent="0.35">
      <c r="A186" s="1" t="s">
        <v>378</v>
      </c>
      <c r="B186" s="2">
        <v>45142</v>
      </c>
      <c r="C186" s="1" t="s">
        <v>11</v>
      </c>
      <c r="D186" s="1" t="s">
        <v>12</v>
      </c>
      <c r="E186" s="1" t="str">
        <f>TRIM(CLEAN(Sheet1[[#This Row],[Category]]))</f>
        <v>Office Supplies</v>
      </c>
      <c r="F186">
        <v>3</v>
      </c>
      <c r="G186" t="str">
        <f t="shared" si="2"/>
        <v>1. Retail (1-3 Units)</v>
      </c>
      <c r="H186">
        <v>3</v>
      </c>
      <c r="I186">
        <v>34.39</v>
      </c>
      <c r="J186">
        <f>IF(ISBLANK(I186), ROUND(I186/ABS(VALUE(_xlfn.TEXTBEFORE(F186&amp;" ", " "))), 2), ABS(VALUE(SUBSTITUTE(I186, "$", ""))))</f>
        <v>34.39</v>
      </c>
      <c r="K186">
        <f>ROUND(Sheet1[[#This Row],[CleanedUnits_sold]]*Sheet1[[#This Row],[Cleaned_Unit_Price]],2)</f>
        <v>103.17</v>
      </c>
      <c r="L186">
        <v>103.17</v>
      </c>
      <c r="M186" s="1" t="s">
        <v>379</v>
      </c>
      <c r="N186" s="1" t="s">
        <v>38</v>
      </c>
      <c r="O186" s="1" t="s">
        <v>379</v>
      </c>
    </row>
    <row r="187" spans="1:15" x14ac:dyDescent="0.35">
      <c r="A187" s="1" t="s">
        <v>380</v>
      </c>
      <c r="B187" s="2">
        <v>45167</v>
      </c>
      <c r="C187" s="1" t="s">
        <v>11</v>
      </c>
      <c r="D187" s="1" t="s">
        <v>12</v>
      </c>
      <c r="E187" s="1" t="str">
        <f>TRIM(CLEAN(Sheet1[[#This Row],[Category]]))</f>
        <v>Office Supplies</v>
      </c>
      <c r="F187">
        <v>8</v>
      </c>
      <c r="G187" t="str">
        <f t="shared" si="2"/>
        <v>3. Wholesale / Bulk (8+ Units)</v>
      </c>
      <c r="H187">
        <v>8</v>
      </c>
      <c r="I187">
        <v>141.57</v>
      </c>
      <c r="J187">
        <f>IF(ISBLANK(I187), ROUND(I187/ABS(VALUE(_xlfn.TEXTBEFORE(F187&amp;" ", " "))), 2), ABS(VALUE(SUBSTITUTE(I187, "$", ""))))</f>
        <v>141.57</v>
      </c>
      <c r="K187">
        <f>ROUND(Sheet1[[#This Row],[CleanedUnits_sold]]*Sheet1[[#This Row],[Cleaned_Unit_Price]],2)</f>
        <v>1132.56</v>
      </c>
      <c r="L187">
        <v>1132.56</v>
      </c>
      <c r="M187" s="1" t="s">
        <v>381</v>
      </c>
      <c r="N187" s="1" t="s">
        <v>26</v>
      </c>
      <c r="O187" s="1" t="s">
        <v>381</v>
      </c>
    </row>
    <row r="188" spans="1:15" x14ac:dyDescent="0.35">
      <c r="A188" s="1" t="s">
        <v>382</v>
      </c>
      <c r="B188" s="2">
        <v>44953</v>
      </c>
      <c r="C188" s="1" t="s">
        <v>11</v>
      </c>
      <c r="D188" s="1" t="s">
        <v>12</v>
      </c>
      <c r="E188" s="1" t="str">
        <f>TRIM(CLEAN(Sheet1[[#This Row],[Category]]))</f>
        <v>Office Supplies</v>
      </c>
      <c r="F188">
        <v>6</v>
      </c>
      <c r="G188" t="str">
        <f t="shared" si="2"/>
        <v>2. Mid-Market (4-7 Units)</v>
      </c>
      <c r="H188">
        <v>6</v>
      </c>
      <c r="I188">
        <v>330.58</v>
      </c>
      <c r="J188">
        <f>IF(ISBLANK(I188), ROUND(I188/ABS(VALUE(_xlfn.TEXTBEFORE(F188&amp;" ", " "))), 2), ABS(VALUE(SUBSTITUTE(I188, "$", ""))))</f>
        <v>330.58</v>
      </c>
      <c r="K188">
        <f>ROUND(Sheet1[[#This Row],[CleanedUnits_sold]]*Sheet1[[#This Row],[Cleaned_Unit_Price]],2)</f>
        <v>1983.48</v>
      </c>
      <c r="L188">
        <v>1983.48</v>
      </c>
      <c r="M188" s="1" t="s">
        <v>383</v>
      </c>
      <c r="N188" s="1" t="s">
        <v>14</v>
      </c>
      <c r="O188" s="1" t="s">
        <v>383</v>
      </c>
    </row>
    <row r="189" spans="1:15" x14ac:dyDescent="0.35">
      <c r="A189" s="1" t="s">
        <v>384</v>
      </c>
      <c r="B189" s="2">
        <v>44962</v>
      </c>
      <c r="C189" s="1" t="s">
        <v>11</v>
      </c>
      <c r="D189" s="1" t="s">
        <v>12</v>
      </c>
      <c r="E189" s="1" t="str">
        <f>TRIM(CLEAN(Sheet1[[#This Row],[Category]]))</f>
        <v>Office Supplies</v>
      </c>
      <c r="F189">
        <v>8</v>
      </c>
      <c r="G189" t="str">
        <f t="shared" si="2"/>
        <v>3. Wholesale / Bulk (8+ Units)</v>
      </c>
      <c r="H189">
        <v>8</v>
      </c>
      <c r="I189">
        <v>271.47000000000003</v>
      </c>
      <c r="J189">
        <f>IF(ISBLANK(I189), ROUND(I189/ABS(VALUE(_xlfn.TEXTBEFORE(F189&amp;" ", " "))), 2), ABS(VALUE(SUBSTITUTE(I189, "$", ""))))</f>
        <v>271.47000000000003</v>
      </c>
      <c r="K189">
        <f>ROUND(Sheet1[[#This Row],[CleanedUnits_sold]]*Sheet1[[#This Row],[Cleaned_Unit_Price]],2)</f>
        <v>2171.7600000000002</v>
      </c>
      <c r="M189" s="1" t="s">
        <v>385</v>
      </c>
      <c r="N189" s="1" t="s">
        <v>50</v>
      </c>
      <c r="O189" s="1" t="s">
        <v>385</v>
      </c>
    </row>
    <row r="190" spans="1:15" x14ac:dyDescent="0.35">
      <c r="A190" s="1" t="s">
        <v>386</v>
      </c>
      <c r="B190" s="2">
        <v>45112</v>
      </c>
      <c r="C190" s="1" t="s">
        <v>11</v>
      </c>
      <c r="D190" s="1" t="s">
        <v>32</v>
      </c>
      <c r="E190" s="1" t="str">
        <f>TRIM(CLEAN(Sheet1[[#This Row],[Category]]))</f>
        <v>Furniture</v>
      </c>
      <c r="F190">
        <v>5</v>
      </c>
      <c r="G190" t="str">
        <f t="shared" si="2"/>
        <v>2. Mid-Market (4-7 Units)</v>
      </c>
      <c r="H190">
        <v>5</v>
      </c>
      <c r="I190">
        <v>472.58</v>
      </c>
      <c r="J190">
        <f>IF(ISBLANK(I190), ROUND(I190/ABS(VALUE(_xlfn.TEXTBEFORE(F190&amp;" ", " "))), 2), ABS(VALUE(SUBSTITUTE(I190, "$", ""))))</f>
        <v>472.58</v>
      </c>
      <c r="K190">
        <f>ROUND(Sheet1[[#This Row],[CleanedUnits_sold]]*Sheet1[[#This Row],[Cleaned_Unit_Price]],2)</f>
        <v>2362.9</v>
      </c>
      <c r="L190">
        <v>1417.74</v>
      </c>
      <c r="M190" s="1" t="s">
        <v>387</v>
      </c>
      <c r="N190" s="1" t="s">
        <v>38</v>
      </c>
      <c r="O190" s="1" t="s">
        <v>387</v>
      </c>
    </row>
    <row r="191" spans="1:15" x14ac:dyDescent="0.35">
      <c r="A191" s="1" t="s">
        <v>388</v>
      </c>
      <c r="B191" s="2">
        <v>1</v>
      </c>
      <c r="C191" s="1" t="s">
        <v>23</v>
      </c>
      <c r="D191" s="1" t="s">
        <v>12</v>
      </c>
      <c r="E191" s="1" t="str">
        <f>TRIM(CLEAN(Sheet1[[#This Row],[Category]]))</f>
        <v>Office Supplies</v>
      </c>
      <c r="F191">
        <v>3</v>
      </c>
      <c r="G191" t="str">
        <f t="shared" si="2"/>
        <v>1. Retail (1-3 Units)</v>
      </c>
      <c r="H191">
        <v>3</v>
      </c>
      <c r="I191">
        <v>204.18</v>
      </c>
      <c r="J191">
        <f>IF(ISBLANK(I191), ROUND(I191/ABS(VALUE(_xlfn.TEXTBEFORE(F191&amp;" ", " "))), 2), ABS(VALUE(SUBSTITUTE(I191, "$", ""))))</f>
        <v>204.18</v>
      </c>
      <c r="K191">
        <f>ROUND(Sheet1[[#This Row],[CleanedUnits_sold]]*Sheet1[[#This Row],[Cleaned_Unit_Price]],2)</f>
        <v>612.54</v>
      </c>
      <c r="L191">
        <v>612.54</v>
      </c>
      <c r="M191" s="1" t="s">
        <v>389</v>
      </c>
      <c r="N191" s="1" t="s">
        <v>26</v>
      </c>
      <c r="O191" s="1" t="s">
        <v>389</v>
      </c>
    </row>
    <row r="192" spans="1:15" x14ac:dyDescent="0.35">
      <c r="A192" s="1" t="s">
        <v>390</v>
      </c>
      <c r="B192" s="2">
        <v>45169</v>
      </c>
      <c r="C192" s="1" t="s">
        <v>19</v>
      </c>
      <c r="D192" s="1" t="s">
        <v>24</v>
      </c>
      <c r="E192" s="1" t="str">
        <f>TRIM(CLEAN(Sheet1[[#This Row],[Category]]))</f>
        <v>Electronics</v>
      </c>
      <c r="F192">
        <v>5</v>
      </c>
      <c r="G192" t="str">
        <f t="shared" si="2"/>
        <v>2. Mid-Market (4-7 Units)</v>
      </c>
      <c r="H192">
        <v>5</v>
      </c>
      <c r="I192">
        <v>349.99</v>
      </c>
      <c r="J192">
        <f>IF(ISBLANK(I192), ROUND(I192/ABS(VALUE(_xlfn.TEXTBEFORE(F192&amp;" ", " "))), 2), ABS(VALUE(SUBSTITUTE(I192, "$", ""))))</f>
        <v>349.99</v>
      </c>
      <c r="K192">
        <f>ROUND(Sheet1[[#This Row],[CleanedUnits_sold]]*Sheet1[[#This Row],[Cleaned_Unit_Price]],2)</f>
        <v>1749.95</v>
      </c>
      <c r="L192">
        <v>1749.95</v>
      </c>
      <c r="M192" s="1" t="s">
        <v>391</v>
      </c>
      <c r="N192" s="1" t="s">
        <v>38</v>
      </c>
      <c r="O192" s="1" t="s">
        <v>391</v>
      </c>
    </row>
    <row r="193" spans="1:15" x14ac:dyDescent="0.35">
      <c r="A193" s="1" t="s">
        <v>392</v>
      </c>
      <c r="B193" s="2">
        <v>45038</v>
      </c>
      <c r="C193" s="1" t="s">
        <v>16</v>
      </c>
      <c r="D193" s="1" t="s">
        <v>24</v>
      </c>
      <c r="E193" s="1" t="str">
        <f>TRIM(CLEAN(Sheet1[[#This Row],[Category]]))</f>
        <v>Electronics</v>
      </c>
      <c r="F193">
        <v>11</v>
      </c>
      <c r="G193" t="str">
        <f t="shared" si="2"/>
        <v>3. Wholesale / Bulk (8+ Units)</v>
      </c>
      <c r="H193">
        <v>11</v>
      </c>
      <c r="I193">
        <v>249.77</v>
      </c>
      <c r="J193">
        <f>IF(ISBLANK(I193), ROUND(I193/ABS(VALUE(_xlfn.TEXTBEFORE(F193&amp;" ", " "))), 2), ABS(VALUE(SUBSTITUTE(I193, "$", ""))))</f>
        <v>249.77</v>
      </c>
      <c r="K193">
        <f>ROUND(Sheet1[[#This Row],[CleanedUnits_sold]]*Sheet1[[#This Row],[Cleaned_Unit_Price]],2)</f>
        <v>2747.47</v>
      </c>
      <c r="L193">
        <v>2747.47</v>
      </c>
      <c r="M193" s="1"/>
      <c r="N193" s="1" t="s">
        <v>50</v>
      </c>
      <c r="O193" s="1" t="s">
        <v>131</v>
      </c>
    </row>
    <row r="194" spans="1:15" x14ac:dyDescent="0.35">
      <c r="A194" s="1" t="s">
        <v>393</v>
      </c>
      <c r="B194" s="2">
        <v>45145</v>
      </c>
      <c r="C194" s="1" t="s">
        <v>16</v>
      </c>
      <c r="D194" s="1" t="s">
        <v>46</v>
      </c>
      <c r="E194" s="1" t="str">
        <f>TRIM(CLEAN(Sheet1[[#This Row],[Category]]))</f>
        <v>Furniture</v>
      </c>
      <c r="F194">
        <v>7</v>
      </c>
      <c r="G194" t="str">
        <f t="shared" ref="G194:G257" si="3">IF(H194=0, "Non-Billable / Zero", IF(H194&lt;=3, "1. Retail (1-3 Units)", IF(H194&lt;=7, "2. Mid-Market (4-7 Units)", "3. Wholesale / Bulk (8+ Units)")))</f>
        <v>2. Mid-Market (4-7 Units)</v>
      </c>
      <c r="H194">
        <v>7</v>
      </c>
      <c r="I194">
        <v>261.16000000000003</v>
      </c>
      <c r="J194">
        <f>IF(ISBLANK(I194), ROUND(I194/ABS(VALUE(_xlfn.TEXTBEFORE(F194&amp;" ", " "))), 2), ABS(VALUE(SUBSTITUTE(I194, "$", ""))))</f>
        <v>261.16000000000003</v>
      </c>
      <c r="K194">
        <f>ROUND(Sheet1[[#This Row],[CleanedUnits_sold]]*Sheet1[[#This Row],[Cleaned_Unit_Price]],2)</f>
        <v>1828.12</v>
      </c>
      <c r="L194">
        <v>1828.12</v>
      </c>
      <c r="M194" s="1" t="s">
        <v>394</v>
      </c>
      <c r="N194" s="1" t="s">
        <v>50</v>
      </c>
      <c r="O194" s="1" t="s">
        <v>394</v>
      </c>
    </row>
    <row r="195" spans="1:15" x14ac:dyDescent="0.35">
      <c r="A195" s="1" t="s">
        <v>395</v>
      </c>
      <c r="B195" s="2">
        <v>1</v>
      </c>
      <c r="C195" s="1" t="s">
        <v>19</v>
      </c>
      <c r="D195" s="1" t="s">
        <v>24</v>
      </c>
      <c r="E195" s="1" t="str">
        <f>TRIM(CLEAN(Sheet1[[#This Row],[Category]]))</f>
        <v>Electronics</v>
      </c>
      <c r="G195" t="str">
        <f t="shared" si="3"/>
        <v>2. Mid-Market (4-7 Units)</v>
      </c>
      <c r="H195">
        <v>4</v>
      </c>
      <c r="I195">
        <v>141.21</v>
      </c>
      <c r="J195">
        <f>IF(ISBLANK(I195), ROUND(I195/ABS(VALUE(_xlfn.TEXTBEFORE(F195&amp;" ", " "))), 2), ABS(VALUE(SUBSTITUTE(I195, "$", ""))))</f>
        <v>141.21</v>
      </c>
      <c r="K195">
        <f>ROUND(Sheet1[[#This Row],[CleanedUnits_sold]]*Sheet1[[#This Row],[Cleaned_Unit_Price]],2)</f>
        <v>564.84</v>
      </c>
      <c r="L195">
        <v>564.84</v>
      </c>
      <c r="M195" s="1" t="s">
        <v>84</v>
      </c>
      <c r="N195" s="1" t="s">
        <v>26</v>
      </c>
      <c r="O195" s="1" t="s">
        <v>85</v>
      </c>
    </row>
    <row r="196" spans="1:15" x14ac:dyDescent="0.35">
      <c r="A196" s="1" t="s">
        <v>396</v>
      </c>
      <c r="B196" s="2">
        <v>44982</v>
      </c>
      <c r="C196" s="1" t="s">
        <v>16</v>
      </c>
      <c r="D196" s="1" t="s">
        <v>32</v>
      </c>
      <c r="E196" s="1" t="str">
        <f>TRIM(CLEAN(Sheet1[[#This Row],[Category]]))</f>
        <v>Furniture</v>
      </c>
      <c r="F196">
        <v>3</v>
      </c>
      <c r="G196" t="str">
        <f t="shared" si="3"/>
        <v>1. Retail (1-3 Units)</v>
      </c>
      <c r="H196">
        <v>3</v>
      </c>
      <c r="I196">
        <v>232.93</v>
      </c>
      <c r="J196">
        <f>IF(ISBLANK(I196), ROUND(I196/ABS(VALUE(_xlfn.TEXTBEFORE(F196&amp;" ", " "))), 2), ABS(VALUE(SUBSTITUTE(I196, "$", ""))))</f>
        <v>232.93</v>
      </c>
      <c r="K196">
        <f>ROUND(Sheet1[[#This Row],[CleanedUnits_sold]]*Sheet1[[#This Row],[Cleaned_Unit_Price]],2)</f>
        <v>698.79</v>
      </c>
      <c r="L196">
        <v>698.79</v>
      </c>
      <c r="M196" s="1" t="s">
        <v>397</v>
      </c>
      <c r="N196" s="1" t="s">
        <v>26</v>
      </c>
      <c r="O196" s="1" t="s">
        <v>397</v>
      </c>
    </row>
    <row r="197" spans="1:15" x14ac:dyDescent="0.35">
      <c r="A197" s="1" t="s">
        <v>398</v>
      </c>
      <c r="B197" s="2">
        <v>45221</v>
      </c>
      <c r="C197" s="1" t="s">
        <v>16</v>
      </c>
      <c r="D197" s="1" t="s">
        <v>46</v>
      </c>
      <c r="E197" s="1" t="str">
        <f>TRIM(CLEAN(Sheet1[[#This Row],[Category]]))</f>
        <v>Furniture</v>
      </c>
      <c r="F197">
        <v>8</v>
      </c>
      <c r="G197" t="str">
        <f t="shared" si="3"/>
        <v>3. Wholesale / Bulk (8+ Units)</v>
      </c>
      <c r="H197">
        <v>8</v>
      </c>
      <c r="I197">
        <v>240.68</v>
      </c>
      <c r="J197">
        <f>IF(ISBLANK(I197), ROUND(I197/ABS(VALUE(_xlfn.TEXTBEFORE(F197&amp;" ", " "))), 2), ABS(VALUE(SUBSTITUTE(I197, "$", ""))))</f>
        <v>240.68</v>
      </c>
      <c r="K197">
        <f>ROUND(Sheet1[[#This Row],[CleanedUnits_sold]]*Sheet1[[#This Row],[Cleaned_Unit_Price]],2)</f>
        <v>1925.44</v>
      </c>
      <c r="L197">
        <v>1925.44</v>
      </c>
      <c r="M197" s="1" t="s">
        <v>399</v>
      </c>
      <c r="N197" s="1" t="s">
        <v>26</v>
      </c>
      <c r="O197" s="1" t="s">
        <v>399</v>
      </c>
    </row>
    <row r="198" spans="1:15" x14ac:dyDescent="0.35">
      <c r="A198" s="1" t="s">
        <v>400</v>
      </c>
      <c r="B198" s="2">
        <v>45028</v>
      </c>
      <c r="C198" s="1" t="s">
        <v>58</v>
      </c>
      <c r="D198" s="1" t="s">
        <v>12</v>
      </c>
      <c r="E198" s="1" t="str">
        <f>TRIM(CLEAN(Sheet1[[#This Row],[Category]]))</f>
        <v>Office Supplies</v>
      </c>
      <c r="F198">
        <v>8</v>
      </c>
      <c r="G198" t="str">
        <f t="shared" si="3"/>
        <v>3. Wholesale / Bulk (8+ Units)</v>
      </c>
      <c r="H198">
        <v>8</v>
      </c>
      <c r="I198">
        <v>356.25</v>
      </c>
      <c r="J198">
        <f>IF(ISBLANK(I198), ROUND(I198/ABS(VALUE(_xlfn.TEXTBEFORE(F198&amp;" ", " "))), 2), ABS(VALUE(SUBSTITUTE(I198, "$", ""))))</f>
        <v>356.25</v>
      </c>
      <c r="K198">
        <f>ROUND(Sheet1[[#This Row],[CleanedUnits_sold]]*Sheet1[[#This Row],[Cleaned_Unit_Price]],2)</f>
        <v>2850</v>
      </c>
      <c r="L198">
        <v>2850</v>
      </c>
      <c r="M198" s="1" t="s">
        <v>401</v>
      </c>
      <c r="N198" s="1" t="s">
        <v>14</v>
      </c>
      <c r="O198" s="1" t="s">
        <v>401</v>
      </c>
    </row>
    <row r="199" spans="1:15" x14ac:dyDescent="0.35">
      <c r="A199" s="1" t="s">
        <v>402</v>
      </c>
      <c r="B199" s="2">
        <v>1</v>
      </c>
      <c r="C199" s="1" t="s">
        <v>16</v>
      </c>
      <c r="D199" s="1" t="s">
        <v>12</v>
      </c>
      <c r="E199" s="1" t="str">
        <f>TRIM(CLEAN(Sheet1[[#This Row],[Category]]))</f>
        <v>Office Supplies</v>
      </c>
      <c r="F199">
        <v>3</v>
      </c>
      <c r="G199" t="str">
        <f t="shared" si="3"/>
        <v>1. Retail (1-3 Units)</v>
      </c>
      <c r="H199">
        <v>3</v>
      </c>
      <c r="I199">
        <v>470.91</v>
      </c>
      <c r="J199">
        <f>IF(ISBLANK(I199), ROUND(I199/ABS(VALUE(_xlfn.TEXTBEFORE(F199&amp;" ", " "))), 2), ABS(VALUE(SUBSTITUTE(I199, "$", ""))))</f>
        <v>470.91</v>
      </c>
      <c r="K199">
        <f>ROUND(Sheet1[[#This Row],[CleanedUnits_sold]]*Sheet1[[#This Row],[Cleaned_Unit_Price]],2)</f>
        <v>1412.73</v>
      </c>
      <c r="L199">
        <v>1412.73</v>
      </c>
      <c r="M199" s="1" t="s">
        <v>403</v>
      </c>
      <c r="N199" s="1" t="s">
        <v>14</v>
      </c>
      <c r="O199" s="1" t="s">
        <v>403</v>
      </c>
    </row>
    <row r="200" spans="1:15" x14ac:dyDescent="0.35">
      <c r="A200" s="1" t="s">
        <v>404</v>
      </c>
      <c r="B200" s="2">
        <v>45081</v>
      </c>
      <c r="C200" s="1" t="s">
        <v>11</v>
      </c>
      <c r="D200" s="1" t="s">
        <v>46</v>
      </c>
      <c r="E200" s="1" t="str">
        <f>TRIM(CLEAN(Sheet1[[#This Row],[Category]]))</f>
        <v>Furniture</v>
      </c>
      <c r="F200">
        <v>3</v>
      </c>
      <c r="G200" t="str">
        <f t="shared" si="3"/>
        <v>1. Retail (1-3 Units)</v>
      </c>
      <c r="H200">
        <v>3</v>
      </c>
      <c r="I200">
        <v>171.37</v>
      </c>
      <c r="J200">
        <f>IF(ISBLANK(I200), ROUND(I200/ABS(VALUE(_xlfn.TEXTBEFORE(F200&amp;" ", " "))), 2), ABS(VALUE(SUBSTITUTE(I200, "$", ""))))</f>
        <v>171.37</v>
      </c>
      <c r="K200">
        <f>ROUND(Sheet1[[#This Row],[CleanedUnits_sold]]*Sheet1[[#This Row],[Cleaned_Unit_Price]],2)</f>
        <v>514.11</v>
      </c>
      <c r="L200">
        <v>514.11</v>
      </c>
      <c r="M200" s="1" t="s">
        <v>405</v>
      </c>
      <c r="N200" s="1" t="s">
        <v>14</v>
      </c>
      <c r="O200" s="1" t="s">
        <v>405</v>
      </c>
    </row>
    <row r="201" spans="1:15" x14ac:dyDescent="0.35">
      <c r="A201" s="1" t="s">
        <v>406</v>
      </c>
      <c r="B201" s="2">
        <v>45216</v>
      </c>
      <c r="C201" s="1" t="s">
        <v>11</v>
      </c>
      <c r="D201" s="1" t="s">
        <v>24</v>
      </c>
      <c r="E201" s="1" t="str">
        <f>TRIM(CLEAN(Sheet1[[#This Row],[Category]]))</f>
        <v>Electronics</v>
      </c>
      <c r="F201">
        <v>6</v>
      </c>
      <c r="G201" t="str">
        <f t="shared" si="3"/>
        <v>2. Mid-Market (4-7 Units)</v>
      </c>
      <c r="H201">
        <v>6</v>
      </c>
      <c r="I201">
        <v>30.68</v>
      </c>
      <c r="J201">
        <f>IF(ISBLANK(I201), ROUND(I201/ABS(VALUE(_xlfn.TEXTBEFORE(F201&amp;" ", " "))), 2), ABS(VALUE(SUBSTITUTE(I201, "$", ""))))</f>
        <v>30.68</v>
      </c>
      <c r="K201">
        <f>ROUND(Sheet1[[#This Row],[CleanedUnits_sold]]*Sheet1[[#This Row],[Cleaned_Unit_Price]],2)</f>
        <v>184.08</v>
      </c>
      <c r="L201">
        <v>184.08</v>
      </c>
      <c r="M201" s="1" t="s">
        <v>407</v>
      </c>
      <c r="N201" s="1" t="s">
        <v>50</v>
      </c>
      <c r="O201" s="1" t="s">
        <v>407</v>
      </c>
    </row>
    <row r="202" spans="1:15" x14ac:dyDescent="0.35">
      <c r="A202" s="1" t="s">
        <v>408</v>
      </c>
      <c r="B202" s="2">
        <v>45146</v>
      </c>
      <c r="C202" s="1" t="s">
        <v>58</v>
      </c>
      <c r="D202" s="1" t="s">
        <v>24</v>
      </c>
      <c r="E202" s="1" t="str">
        <f>TRIM(CLEAN(Sheet1[[#This Row],[Category]]))</f>
        <v>Electronics</v>
      </c>
      <c r="F202">
        <v>2</v>
      </c>
      <c r="G202" t="str">
        <f t="shared" si="3"/>
        <v>1. Retail (1-3 Units)</v>
      </c>
      <c r="H202">
        <v>2</v>
      </c>
      <c r="I202">
        <v>253.18</v>
      </c>
      <c r="J202">
        <f>IF(ISBLANK(I202), ROUND(I202/ABS(VALUE(_xlfn.TEXTBEFORE(F202&amp;" ", " "))), 2), ABS(VALUE(SUBSTITUTE(I202, "$", ""))))</f>
        <v>253.18</v>
      </c>
      <c r="K202">
        <f>ROUND(Sheet1[[#This Row],[CleanedUnits_sold]]*Sheet1[[#This Row],[Cleaned_Unit_Price]],2)</f>
        <v>506.36</v>
      </c>
      <c r="L202">
        <v>506.36</v>
      </c>
      <c r="M202" s="1" t="s">
        <v>409</v>
      </c>
      <c r="N202" s="1" t="s">
        <v>50</v>
      </c>
      <c r="O202" s="1" t="s">
        <v>409</v>
      </c>
    </row>
    <row r="203" spans="1:15" x14ac:dyDescent="0.35">
      <c r="A203" s="1" t="s">
        <v>410</v>
      </c>
      <c r="B203" s="2">
        <v>1</v>
      </c>
      <c r="C203" s="1" t="s">
        <v>11</v>
      </c>
      <c r="D203" s="1" t="s">
        <v>12</v>
      </c>
      <c r="E203" s="1" t="str">
        <f>TRIM(CLEAN(Sheet1[[#This Row],[Category]]))</f>
        <v>Office Supplies</v>
      </c>
      <c r="F203">
        <v>7</v>
      </c>
      <c r="G203" t="str">
        <f t="shared" si="3"/>
        <v>2. Mid-Market (4-7 Units)</v>
      </c>
      <c r="H203">
        <v>7</v>
      </c>
      <c r="I203">
        <v>276.79000000000002</v>
      </c>
      <c r="J203">
        <f>IF(ISBLANK(I203), ROUND(I203/ABS(VALUE(_xlfn.TEXTBEFORE(F203&amp;" ", " "))), 2), ABS(VALUE(SUBSTITUTE(I203, "$", ""))))</f>
        <v>276.79000000000002</v>
      </c>
      <c r="K203">
        <f>ROUND(Sheet1[[#This Row],[CleanedUnits_sold]]*Sheet1[[#This Row],[Cleaned_Unit_Price]],2)</f>
        <v>1937.53</v>
      </c>
      <c r="M203" s="1" t="s">
        <v>411</v>
      </c>
      <c r="N203" s="1" t="s">
        <v>50</v>
      </c>
      <c r="O203" s="1" t="s">
        <v>411</v>
      </c>
    </row>
    <row r="204" spans="1:15" x14ac:dyDescent="0.35">
      <c r="A204" s="1" t="s">
        <v>412</v>
      </c>
      <c r="B204" s="2">
        <v>44933</v>
      </c>
      <c r="C204" s="1" t="s">
        <v>11</v>
      </c>
      <c r="D204" s="1" t="s">
        <v>24</v>
      </c>
      <c r="E204" s="1" t="str">
        <f>TRIM(CLEAN(Sheet1[[#This Row],[Category]]))</f>
        <v>Electronics</v>
      </c>
      <c r="F204">
        <v>5</v>
      </c>
      <c r="G204" t="str">
        <f t="shared" si="3"/>
        <v>2. Mid-Market (4-7 Units)</v>
      </c>
      <c r="H204">
        <v>5</v>
      </c>
      <c r="I204">
        <v>92.54</v>
      </c>
      <c r="J204">
        <f>IF(ISBLANK(I204), ROUND(I204/ABS(VALUE(_xlfn.TEXTBEFORE(F204&amp;" ", " "))), 2), ABS(VALUE(SUBSTITUTE(I204, "$", ""))))</f>
        <v>92.54</v>
      </c>
      <c r="K204">
        <f>ROUND(Sheet1[[#This Row],[CleanedUnits_sold]]*Sheet1[[#This Row],[Cleaned_Unit_Price]],2)</f>
        <v>462.7</v>
      </c>
      <c r="L204">
        <v>462.7</v>
      </c>
      <c r="M204" s="1" t="s">
        <v>413</v>
      </c>
      <c r="N204" s="1" t="s">
        <v>38</v>
      </c>
      <c r="O204" s="1" t="s">
        <v>413</v>
      </c>
    </row>
    <row r="205" spans="1:15" x14ac:dyDescent="0.35">
      <c r="A205" s="1" t="s">
        <v>414</v>
      </c>
      <c r="B205" s="2">
        <v>44981</v>
      </c>
      <c r="C205" s="1" t="s">
        <v>23</v>
      </c>
      <c r="D205" s="1" t="s">
        <v>24</v>
      </c>
      <c r="E205" s="1" t="str">
        <f>TRIM(CLEAN(Sheet1[[#This Row],[Category]]))</f>
        <v>Electronics</v>
      </c>
      <c r="F205">
        <v>5</v>
      </c>
      <c r="G205" t="str">
        <f t="shared" si="3"/>
        <v>2. Mid-Market (4-7 Units)</v>
      </c>
      <c r="H205">
        <v>5</v>
      </c>
      <c r="I205">
        <v>-187.37</v>
      </c>
      <c r="J205">
        <f>IF(ISBLANK(I205), ROUND(I205/ABS(VALUE(_xlfn.TEXTBEFORE(F205&amp;" ", " "))), 2), ABS(VALUE(SUBSTITUTE(I205, "$", ""))))</f>
        <v>187.37</v>
      </c>
      <c r="K205">
        <f>ROUND(Sheet1[[#This Row],[CleanedUnits_sold]]*Sheet1[[#This Row],[Cleaned_Unit_Price]],2)</f>
        <v>936.85</v>
      </c>
      <c r="L205">
        <v>1913.15</v>
      </c>
      <c r="M205" s="1" t="s">
        <v>415</v>
      </c>
      <c r="N205" s="1" t="s">
        <v>14</v>
      </c>
      <c r="O205" s="1" t="s">
        <v>415</v>
      </c>
    </row>
    <row r="206" spans="1:15" x14ac:dyDescent="0.35">
      <c r="A206" s="1" t="s">
        <v>416</v>
      </c>
      <c r="B206" s="2">
        <v>45252</v>
      </c>
      <c r="C206" s="1" t="s">
        <v>23</v>
      </c>
      <c r="D206" s="1" t="s">
        <v>12</v>
      </c>
      <c r="E206" s="1" t="str">
        <f>TRIM(CLEAN(Sheet1[[#This Row],[Category]]))</f>
        <v>Office Supplies</v>
      </c>
      <c r="F206">
        <v>6</v>
      </c>
      <c r="G206" t="str">
        <f t="shared" si="3"/>
        <v>2. Mid-Market (4-7 Units)</v>
      </c>
      <c r="H206">
        <v>6</v>
      </c>
      <c r="I206">
        <v>492.62</v>
      </c>
      <c r="J206">
        <f>IF(ISBLANK(I206), ROUND(I206/ABS(VALUE(_xlfn.TEXTBEFORE(F206&amp;" ", " "))), 2), ABS(VALUE(SUBSTITUTE(I206, "$", ""))))</f>
        <v>492.62</v>
      </c>
      <c r="K206">
        <f>ROUND(Sheet1[[#This Row],[CleanedUnits_sold]]*Sheet1[[#This Row],[Cleaned_Unit_Price]],2)</f>
        <v>2955.72</v>
      </c>
      <c r="L206">
        <v>2955.72</v>
      </c>
      <c r="M206" s="1" t="s">
        <v>417</v>
      </c>
      <c r="N206" s="1" t="s">
        <v>21</v>
      </c>
      <c r="O206" s="1" t="s">
        <v>417</v>
      </c>
    </row>
    <row r="207" spans="1:15" x14ac:dyDescent="0.35">
      <c r="A207" s="1" t="s">
        <v>418</v>
      </c>
      <c r="B207" s="2">
        <v>45238</v>
      </c>
      <c r="C207" s="1" t="s">
        <v>23</v>
      </c>
      <c r="D207" s="1" t="s">
        <v>12</v>
      </c>
      <c r="E207" s="1" t="str">
        <f>TRIM(CLEAN(Sheet1[[#This Row],[Category]]))</f>
        <v>Office Supplies</v>
      </c>
      <c r="F207">
        <v>1</v>
      </c>
      <c r="G207" t="str">
        <f t="shared" si="3"/>
        <v>1. Retail (1-3 Units)</v>
      </c>
      <c r="H207">
        <v>1</v>
      </c>
      <c r="I207">
        <v>473.43</v>
      </c>
      <c r="J207">
        <f>IF(ISBLANK(I207), ROUND(I207/ABS(VALUE(_xlfn.TEXTBEFORE(F207&amp;" ", " "))), 2), ABS(VALUE(SUBSTITUTE(I207, "$", ""))))</f>
        <v>473.43</v>
      </c>
      <c r="K207">
        <f>ROUND(Sheet1[[#This Row],[CleanedUnits_sold]]*Sheet1[[#This Row],[Cleaned_Unit_Price]],2)</f>
        <v>473.43</v>
      </c>
      <c r="L207">
        <v>473.43</v>
      </c>
      <c r="M207" s="1" t="s">
        <v>419</v>
      </c>
      <c r="N207" s="1" t="s">
        <v>14</v>
      </c>
      <c r="O207" s="1" t="s">
        <v>419</v>
      </c>
    </row>
    <row r="208" spans="1:15" x14ac:dyDescent="0.35">
      <c r="A208" s="1" t="s">
        <v>420</v>
      </c>
      <c r="B208" s="2">
        <v>45260</v>
      </c>
      <c r="C208" s="1" t="s">
        <v>19</v>
      </c>
      <c r="D208" s="1" t="s">
        <v>24</v>
      </c>
      <c r="E208" s="1" t="str">
        <f>TRIM(CLEAN(Sheet1[[#This Row],[Category]]))</f>
        <v>Electronics</v>
      </c>
      <c r="F208">
        <v>10</v>
      </c>
      <c r="G208" t="str">
        <f t="shared" si="3"/>
        <v>3. Wholesale / Bulk (8+ Units)</v>
      </c>
      <c r="H208">
        <v>10</v>
      </c>
      <c r="I208" t="s">
        <v>332</v>
      </c>
      <c r="J208">
        <f>IF(ISBLANK(I208), ROUND(I208/ABS(VALUE(_xlfn.TEXTBEFORE(F208&amp;" ", " "))), 2), ABS(VALUE(SUBSTITUTE(I208, "$", ""))))</f>
        <v>250</v>
      </c>
      <c r="K208">
        <f>ROUND(Sheet1[[#This Row],[CleanedUnits_sold]]*Sheet1[[#This Row],[Cleaned_Unit_Price]],2)</f>
        <v>2500</v>
      </c>
      <c r="L208">
        <v>1465.5</v>
      </c>
      <c r="M208" s="1" t="s">
        <v>421</v>
      </c>
      <c r="N208" s="1" t="s">
        <v>21</v>
      </c>
      <c r="O208" s="1" t="s">
        <v>421</v>
      </c>
    </row>
    <row r="209" spans="1:15" x14ac:dyDescent="0.35">
      <c r="A209" s="1" t="s">
        <v>422</v>
      </c>
      <c r="B209" s="2">
        <v>45202</v>
      </c>
      <c r="C209" s="1" t="s">
        <v>11</v>
      </c>
      <c r="D209" s="1" t="s">
        <v>12</v>
      </c>
      <c r="E209" s="1" t="str">
        <f>TRIM(CLEAN(Sheet1[[#This Row],[Category]]))</f>
        <v>Office Supplies</v>
      </c>
      <c r="F209">
        <v>2</v>
      </c>
      <c r="G209" t="str">
        <f t="shared" si="3"/>
        <v>1. Retail (1-3 Units)</v>
      </c>
      <c r="H209">
        <v>2</v>
      </c>
      <c r="I209">
        <v>438.93</v>
      </c>
      <c r="J209">
        <f>IF(ISBLANK(I209), ROUND(I209/ABS(VALUE(_xlfn.TEXTBEFORE(F209&amp;" ", " "))), 2), ABS(VALUE(SUBSTITUTE(I209, "$", ""))))</f>
        <v>438.93</v>
      </c>
      <c r="K209">
        <f>ROUND(Sheet1[[#This Row],[CleanedUnits_sold]]*Sheet1[[#This Row],[Cleaned_Unit_Price]],2)</f>
        <v>877.86</v>
      </c>
      <c r="L209">
        <v>877.86</v>
      </c>
      <c r="M209" s="1" t="s">
        <v>423</v>
      </c>
      <c r="N209" s="1" t="s">
        <v>50</v>
      </c>
      <c r="O209" s="1" t="s">
        <v>423</v>
      </c>
    </row>
    <row r="210" spans="1:15" x14ac:dyDescent="0.35">
      <c r="A210" s="1" t="s">
        <v>424</v>
      </c>
      <c r="B210" s="2">
        <v>45230</v>
      </c>
      <c r="C210" s="1" t="s">
        <v>11</v>
      </c>
      <c r="D210" s="1" t="s">
        <v>12</v>
      </c>
      <c r="E210" s="1" t="str">
        <f>TRIM(CLEAN(Sheet1[[#This Row],[Category]]))</f>
        <v>Office Supplies</v>
      </c>
      <c r="F210">
        <v>5</v>
      </c>
      <c r="G210" t="str">
        <f t="shared" si="3"/>
        <v>2. Mid-Market (4-7 Units)</v>
      </c>
      <c r="H210">
        <v>5</v>
      </c>
      <c r="I210">
        <v>355.2</v>
      </c>
      <c r="J210">
        <f>IF(ISBLANK(I210), ROUND(I210/ABS(VALUE(_xlfn.TEXTBEFORE(F210&amp;" ", " "))), 2), ABS(VALUE(SUBSTITUTE(I210, "$", ""))))</f>
        <v>355.2</v>
      </c>
      <c r="K210">
        <f>ROUND(Sheet1[[#This Row],[CleanedUnits_sold]]*Sheet1[[#This Row],[Cleaned_Unit_Price]],2)</f>
        <v>1776</v>
      </c>
      <c r="L210">
        <v>1776</v>
      </c>
      <c r="M210" s="1" t="s">
        <v>425</v>
      </c>
      <c r="N210" s="1" t="s">
        <v>14</v>
      </c>
      <c r="O210" s="1" t="s">
        <v>425</v>
      </c>
    </row>
    <row r="211" spans="1:15" x14ac:dyDescent="0.35">
      <c r="A211" s="1" t="s">
        <v>426</v>
      </c>
      <c r="B211" s="2">
        <v>45052</v>
      </c>
      <c r="C211" s="1" t="s">
        <v>19</v>
      </c>
      <c r="D211" s="1" t="s">
        <v>32</v>
      </c>
      <c r="E211" s="1" t="str">
        <f>TRIM(CLEAN(Sheet1[[#This Row],[Category]]))</f>
        <v>Furniture</v>
      </c>
      <c r="F211">
        <v>4</v>
      </c>
      <c r="G211" t="str">
        <f t="shared" si="3"/>
        <v>2. Mid-Market (4-7 Units)</v>
      </c>
      <c r="H211">
        <v>4</v>
      </c>
      <c r="I211">
        <v>232.38</v>
      </c>
      <c r="J211">
        <f>IF(ISBLANK(I211), ROUND(I211/ABS(VALUE(_xlfn.TEXTBEFORE(F211&amp;" ", " "))), 2), ABS(VALUE(SUBSTITUTE(I211, "$", ""))))</f>
        <v>232.38</v>
      </c>
      <c r="K211">
        <f>ROUND(Sheet1[[#This Row],[CleanedUnits_sold]]*Sheet1[[#This Row],[Cleaned_Unit_Price]],2)</f>
        <v>929.52</v>
      </c>
      <c r="L211">
        <v>1409.54</v>
      </c>
      <c r="M211" s="1" t="s">
        <v>427</v>
      </c>
      <c r="N211" s="1" t="s">
        <v>50</v>
      </c>
      <c r="O211" s="1" t="s">
        <v>427</v>
      </c>
    </row>
    <row r="212" spans="1:15" x14ac:dyDescent="0.35">
      <c r="A212" s="1" t="s">
        <v>428</v>
      </c>
      <c r="B212" s="2">
        <v>1</v>
      </c>
      <c r="C212" s="1" t="s">
        <v>11</v>
      </c>
      <c r="D212" s="1" t="s">
        <v>32</v>
      </c>
      <c r="E212" s="1" t="str">
        <f>TRIM(CLEAN(Sheet1[[#This Row],[Category]]))</f>
        <v>Furniture</v>
      </c>
      <c r="F212">
        <v>5</v>
      </c>
      <c r="G212" t="str">
        <f t="shared" si="3"/>
        <v>2. Mid-Market (4-7 Units)</v>
      </c>
      <c r="H212">
        <v>5</v>
      </c>
      <c r="I212">
        <v>274.89999999999998</v>
      </c>
      <c r="J212">
        <f>IF(ISBLANK(I212), ROUND(I212/ABS(VALUE(_xlfn.TEXTBEFORE(F212&amp;" ", " "))), 2), ABS(VALUE(SUBSTITUTE(I212, "$", ""))))</f>
        <v>274.89999999999998</v>
      </c>
      <c r="K212">
        <f>ROUND(Sheet1[[#This Row],[CleanedUnits_sold]]*Sheet1[[#This Row],[Cleaned_Unit_Price]],2)</f>
        <v>1374.5</v>
      </c>
      <c r="L212">
        <v>1374.5</v>
      </c>
      <c r="M212" s="1" t="s">
        <v>429</v>
      </c>
      <c r="N212" s="1" t="s">
        <v>14</v>
      </c>
      <c r="O212" s="1" t="s">
        <v>429</v>
      </c>
    </row>
    <row r="213" spans="1:15" x14ac:dyDescent="0.35">
      <c r="A213" s="1" t="s">
        <v>430</v>
      </c>
      <c r="B213" s="2">
        <v>45218</v>
      </c>
      <c r="C213" s="1" t="s">
        <v>19</v>
      </c>
      <c r="D213" s="1" t="s">
        <v>24</v>
      </c>
      <c r="E213" s="1" t="str">
        <f>TRIM(CLEAN(Sheet1[[#This Row],[Category]]))</f>
        <v>Electronics</v>
      </c>
      <c r="F213">
        <v>4</v>
      </c>
      <c r="G213" t="str">
        <f t="shared" si="3"/>
        <v>2. Mid-Market (4-7 Units)</v>
      </c>
      <c r="H213">
        <v>4</v>
      </c>
      <c r="I213">
        <v>426.3</v>
      </c>
      <c r="J213">
        <f>IF(ISBLANK(I213), ROUND(I213/ABS(VALUE(_xlfn.TEXTBEFORE(F213&amp;" ", " "))), 2), ABS(VALUE(SUBSTITUTE(I213, "$", ""))))</f>
        <v>426.3</v>
      </c>
      <c r="K213">
        <f>ROUND(Sheet1[[#This Row],[CleanedUnits_sold]]*Sheet1[[#This Row],[Cleaned_Unit_Price]],2)</f>
        <v>1705.2</v>
      </c>
      <c r="L213">
        <v>1705.2</v>
      </c>
      <c r="M213" s="1" t="s">
        <v>431</v>
      </c>
      <c r="N213" s="1" t="s">
        <v>21</v>
      </c>
      <c r="O213" s="1" t="s">
        <v>431</v>
      </c>
    </row>
    <row r="214" spans="1:15" x14ac:dyDescent="0.35">
      <c r="A214" s="1" t="s">
        <v>432</v>
      </c>
      <c r="B214" s="2">
        <v>45180</v>
      </c>
      <c r="C214" s="1" t="s">
        <v>58</v>
      </c>
      <c r="D214" s="1" t="s">
        <v>12</v>
      </c>
      <c r="E214" s="1" t="str">
        <f>TRIM(CLEAN(Sheet1[[#This Row],[Category]]))</f>
        <v>Office Supplies</v>
      </c>
      <c r="F214">
        <v>5</v>
      </c>
      <c r="G214" t="str">
        <f t="shared" si="3"/>
        <v>2. Mid-Market (4-7 Units)</v>
      </c>
      <c r="H214">
        <v>5</v>
      </c>
      <c r="I214">
        <v>245.27</v>
      </c>
      <c r="J214">
        <f>IF(ISBLANK(I214), ROUND(I214/ABS(VALUE(_xlfn.TEXTBEFORE(F214&amp;" ", " "))), 2), ABS(VALUE(SUBSTITUTE(I214, "$", ""))))</f>
        <v>245.27</v>
      </c>
      <c r="K214">
        <f>ROUND(Sheet1[[#This Row],[CleanedUnits_sold]]*Sheet1[[#This Row],[Cleaned_Unit_Price]],2)</f>
        <v>1226.3499999999999</v>
      </c>
      <c r="L214">
        <v>1226.3499999999999</v>
      </c>
      <c r="M214" s="1" t="s">
        <v>49</v>
      </c>
      <c r="N214" s="1" t="s">
        <v>50</v>
      </c>
      <c r="O214" s="1" t="s">
        <v>51</v>
      </c>
    </row>
    <row r="215" spans="1:15" x14ac:dyDescent="0.35">
      <c r="A215" s="1" t="s">
        <v>433</v>
      </c>
      <c r="B215" s="2">
        <v>45035</v>
      </c>
      <c r="C215" s="1" t="s">
        <v>23</v>
      </c>
      <c r="D215" s="1" t="s">
        <v>24</v>
      </c>
      <c r="E215" s="1" t="str">
        <f>TRIM(CLEAN(Sheet1[[#This Row],[Category]]))</f>
        <v>Electronics</v>
      </c>
      <c r="F215">
        <v>6</v>
      </c>
      <c r="G215" t="str">
        <f t="shared" si="3"/>
        <v>2. Mid-Market (4-7 Units)</v>
      </c>
      <c r="H215">
        <v>6</v>
      </c>
      <c r="I215">
        <v>192.87</v>
      </c>
      <c r="J215">
        <f>IF(ISBLANK(I215), ROUND(I215/ABS(VALUE(_xlfn.TEXTBEFORE(F215&amp;" ", " "))), 2), ABS(VALUE(SUBSTITUTE(I215, "$", ""))))</f>
        <v>192.87</v>
      </c>
      <c r="K215">
        <f>ROUND(Sheet1[[#This Row],[CleanedUnits_sold]]*Sheet1[[#This Row],[Cleaned_Unit_Price]],2)</f>
        <v>1157.22</v>
      </c>
      <c r="L215">
        <v>1157.22</v>
      </c>
      <c r="M215" s="1" t="s">
        <v>434</v>
      </c>
      <c r="N215" s="1" t="s">
        <v>21</v>
      </c>
      <c r="O215" s="1" t="s">
        <v>434</v>
      </c>
    </row>
    <row r="216" spans="1:15" x14ac:dyDescent="0.35">
      <c r="A216" s="1" t="s">
        <v>435</v>
      </c>
      <c r="B216" s="2">
        <v>45101</v>
      </c>
      <c r="C216" s="1" t="s">
        <v>58</v>
      </c>
      <c r="D216" s="1" t="s">
        <v>24</v>
      </c>
      <c r="E216" s="1" t="str">
        <f>TRIM(CLEAN(Sheet1[[#This Row],[Category]]))</f>
        <v>Electronics</v>
      </c>
      <c r="F216">
        <v>-3</v>
      </c>
      <c r="G216" t="str">
        <f t="shared" si="3"/>
        <v>1. Retail (1-3 Units)</v>
      </c>
      <c r="H216">
        <v>3</v>
      </c>
      <c r="I216">
        <v>251.69</v>
      </c>
      <c r="J216">
        <f>IF(ISBLANK(I216), ROUND(I216/ABS(VALUE(_xlfn.TEXTBEFORE(F216&amp;" ", " "))), 2), ABS(VALUE(SUBSTITUTE(I216, "$", ""))))</f>
        <v>251.69</v>
      </c>
      <c r="K216">
        <f>ROUND(Sheet1[[#This Row],[CleanedUnits_sold]]*Sheet1[[#This Row],[Cleaned_Unit_Price]],2)</f>
        <v>755.07</v>
      </c>
      <c r="M216" s="1" t="s">
        <v>49</v>
      </c>
      <c r="N216" s="1" t="s">
        <v>38</v>
      </c>
      <c r="O216" s="1" t="s">
        <v>51</v>
      </c>
    </row>
    <row r="217" spans="1:15" x14ac:dyDescent="0.35">
      <c r="A217" s="1" t="s">
        <v>436</v>
      </c>
      <c r="B217" s="2">
        <v>45286</v>
      </c>
      <c r="C217" s="1" t="s">
        <v>16</v>
      </c>
      <c r="D217" s="1" t="s">
        <v>24</v>
      </c>
      <c r="E217" s="1" t="str">
        <f>TRIM(CLEAN(Sheet1[[#This Row],[Category]]))</f>
        <v>Electronics</v>
      </c>
      <c r="F217">
        <v>3</v>
      </c>
      <c r="G217" t="str">
        <f t="shared" si="3"/>
        <v>1. Retail (1-3 Units)</v>
      </c>
      <c r="H217">
        <v>3</v>
      </c>
      <c r="I217">
        <v>293.77</v>
      </c>
      <c r="J217">
        <f>IF(ISBLANK(I217), ROUND(I217/ABS(VALUE(_xlfn.TEXTBEFORE(F217&amp;" ", " "))), 2), ABS(VALUE(SUBSTITUTE(I217, "$", ""))))</f>
        <v>293.77</v>
      </c>
      <c r="K217">
        <f>ROUND(Sheet1[[#This Row],[CleanedUnits_sold]]*Sheet1[[#This Row],[Cleaned_Unit_Price]],2)</f>
        <v>881.31</v>
      </c>
      <c r="L217">
        <v>881.31</v>
      </c>
      <c r="M217" s="1" t="s">
        <v>437</v>
      </c>
      <c r="N217" s="1" t="s">
        <v>26</v>
      </c>
      <c r="O217" s="1" t="s">
        <v>437</v>
      </c>
    </row>
    <row r="218" spans="1:15" x14ac:dyDescent="0.35">
      <c r="A218" s="1" t="s">
        <v>438</v>
      </c>
      <c r="B218" s="2">
        <v>1</v>
      </c>
      <c r="C218" s="1" t="s">
        <v>16</v>
      </c>
      <c r="D218" s="1" t="s">
        <v>46</v>
      </c>
      <c r="E218" s="1" t="str">
        <f>TRIM(CLEAN(Sheet1[[#This Row],[Category]]))</f>
        <v>Furniture</v>
      </c>
      <c r="F218">
        <v>2</v>
      </c>
      <c r="G218" t="str">
        <f t="shared" si="3"/>
        <v>1. Retail (1-3 Units)</v>
      </c>
      <c r="H218">
        <v>2</v>
      </c>
      <c r="I218">
        <v>102.65</v>
      </c>
      <c r="J218">
        <f>IF(ISBLANK(I218), ROUND(I218/ABS(VALUE(_xlfn.TEXTBEFORE(F218&amp;" ", " "))), 2), ABS(VALUE(SUBSTITUTE(I218, "$", ""))))</f>
        <v>102.65</v>
      </c>
      <c r="K218">
        <f>ROUND(Sheet1[[#This Row],[CleanedUnits_sold]]*Sheet1[[#This Row],[Cleaned_Unit_Price]],2)</f>
        <v>205.3</v>
      </c>
      <c r="L218">
        <v>205.3</v>
      </c>
      <c r="M218" s="1" t="s">
        <v>439</v>
      </c>
      <c r="N218" s="1" t="s">
        <v>50</v>
      </c>
      <c r="O218" s="1" t="s">
        <v>439</v>
      </c>
    </row>
    <row r="219" spans="1:15" x14ac:dyDescent="0.35">
      <c r="A219" s="1" t="s">
        <v>440</v>
      </c>
      <c r="B219" s="2">
        <v>1</v>
      </c>
      <c r="C219" s="1" t="s">
        <v>19</v>
      </c>
      <c r="D219" s="1" t="s">
        <v>32</v>
      </c>
      <c r="E219" s="1" t="str">
        <f>TRIM(CLEAN(Sheet1[[#This Row],[Category]]))</f>
        <v>Furniture</v>
      </c>
      <c r="F219">
        <v>5</v>
      </c>
      <c r="G219" t="str">
        <f t="shared" si="3"/>
        <v>2. Mid-Market (4-7 Units)</v>
      </c>
      <c r="H219">
        <v>5</v>
      </c>
      <c r="I219">
        <v>451.44</v>
      </c>
      <c r="J219">
        <f>IF(ISBLANK(I219), ROUND(I219/ABS(VALUE(_xlfn.TEXTBEFORE(F219&amp;" ", " "))), 2), ABS(VALUE(SUBSTITUTE(I219, "$", ""))))</f>
        <v>451.44</v>
      </c>
      <c r="K219">
        <f>ROUND(Sheet1[[#This Row],[CleanedUnits_sold]]*Sheet1[[#This Row],[Cleaned_Unit_Price]],2)</f>
        <v>2257.1999999999998</v>
      </c>
      <c r="L219">
        <v>2257.1999999999998</v>
      </c>
      <c r="M219" s="1" t="s">
        <v>441</v>
      </c>
      <c r="N219" s="1" t="s">
        <v>14</v>
      </c>
      <c r="O219" s="1" t="s">
        <v>441</v>
      </c>
    </row>
    <row r="220" spans="1:15" x14ac:dyDescent="0.35">
      <c r="A220" s="1" t="s">
        <v>442</v>
      </c>
      <c r="B220" s="2">
        <v>45147</v>
      </c>
      <c r="C220" s="1" t="s">
        <v>23</v>
      </c>
      <c r="D220" s="1" t="s">
        <v>12</v>
      </c>
      <c r="E220" s="1" t="str">
        <f>TRIM(CLEAN(Sheet1[[#This Row],[Category]]))</f>
        <v>Office Supplies</v>
      </c>
      <c r="F220">
        <v>4</v>
      </c>
      <c r="G220" t="str">
        <f t="shared" si="3"/>
        <v>2. Mid-Market (4-7 Units)</v>
      </c>
      <c r="H220">
        <v>4</v>
      </c>
      <c r="I220">
        <v>340.35</v>
      </c>
      <c r="J220">
        <f>IF(ISBLANK(I220), ROUND(I220/ABS(VALUE(_xlfn.TEXTBEFORE(F220&amp;" ", " "))), 2), ABS(VALUE(SUBSTITUTE(I220, "$", ""))))</f>
        <v>340.35</v>
      </c>
      <c r="K220">
        <f>ROUND(Sheet1[[#This Row],[CleanedUnits_sold]]*Sheet1[[#This Row],[Cleaned_Unit_Price]],2)</f>
        <v>1361.4</v>
      </c>
      <c r="M220" s="1" t="s">
        <v>443</v>
      </c>
      <c r="N220" s="1" t="s">
        <v>14</v>
      </c>
      <c r="O220" s="1" t="s">
        <v>443</v>
      </c>
    </row>
    <row r="221" spans="1:15" x14ac:dyDescent="0.35">
      <c r="A221" s="1" t="s">
        <v>444</v>
      </c>
      <c r="B221" s="2">
        <v>45257</v>
      </c>
      <c r="C221" s="1" t="s">
        <v>19</v>
      </c>
      <c r="D221" s="1" t="s">
        <v>24</v>
      </c>
      <c r="E221" s="1" t="str">
        <f>TRIM(CLEAN(Sheet1[[#This Row],[Category]]))</f>
        <v>Electronics</v>
      </c>
      <c r="F221">
        <v>7</v>
      </c>
      <c r="G221" t="str">
        <f t="shared" si="3"/>
        <v>2. Mid-Market (4-7 Units)</v>
      </c>
      <c r="H221">
        <v>7</v>
      </c>
      <c r="I221">
        <v>320.3</v>
      </c>
      <c r="J221">
        <f>IF(ISBLANK(I221), ROUND(I221/ABS(VALUE(_xlfn.TEXTBEFORE(F221&amp;" ", " "))), 2), ABS(VALUE(SUBSTITUTE(I221, "$", ""))))</f>
        <v>320.3</v>
      </c>
      <c r="K221">
        <f>ROUND(Sheet1[[#This Row],[CleanedUnits_sold]]*Sheet1[[#This Row],[Cleaned_Unit_Price]],2)</f>
        <v>2242.1</v>
      </c>
      <c r="L221">
        <v>2242.1</v>
      </c>
      <c r="M221" s="1" t="s">
        <v>445</v>
      </c>
      <c r="N221" s="1" t="s">
        <v>14</v>
      </c>
      <c r="O221" s="1" t="s">
        <v>445</v>
      </c>
    </row>
    <row r="222" spans="1:15" x14ac:dyDescent="0.35">
      <c r="A222" s="1" t="s">
        <v>446</v>
      </c>
      <c r="B222" s="2">
        <v>44935</v>
      </c>
      <c r="C222" s="1" t="s">
        <v>58</v>
      </c>
      <c r="D222" s="1" t="s">
        <v>12</v>
      </c>
      <c r="E222" s="1" t="str">
        <f>TRIM(CLEAN(Sheet1[[#This Row],[Category]]))</f>
        <v>Office Supplies</v>
      </c>
      <c r="F222">
        <v>7</v>
      </c>
      <c r="G222" t="str">
        <f t="shared" si="3"/>
        <v>2. Mid-Market (4-7 Units)</v>
      </c>
      <c r="H222">
        <v>7</v>
      </c>
      <c r="I222">
        <v>58.75</v>
      </c>
      <c r="J222">
        <f>IF(ISBLANK(I222), ROUND(I222/ABS(VALUE(_xlfn.TEXTBEFORE(F222&amp;" ", " "))), 2), ABS(VALUE(SUBSTITUTE(I222, "$", ""))))</f>
        <v>58.75</v>
      </c>
      <c r="K222">
        <f>ROUND(Sheet1[[#This Row],[CleanedUnits_sold]]*Sheet1[[#This Row],[Cleaned_Unit_Price]],2)</f>
        <v>411.25</v>
      </c>
      <c r="L222">
        <v>411.25</v>
      </c>
      <c r="M222" s="1" t="s">
        <v>447</v>
      </c>
      <c r="N222" s="1" t="s">
        <v>21</v>
      </c>
      <c r="O222" s="1" t="s">
        <v>447</v>
      </c>
    </row>
    <row r="223" spans="1:15" x14ac:dyDescent="0.35">
      <c r="A223" s="1" t="s">
        <v>448</v>
      </c>
      <c r="B223" s="2">
        <v>1</v>
      </c>
      <c r="C223" s="1" t="s">
        <v>58</v>
      </c>
      <c r="D223" s="1" t="s">
        <v>12</v>
      </c>
      <c r="E223" s="1" t="str">
        <f>TRIM(CLEAN(Sheet1[[#This Row],[Category]]))</f>
        <v>Office Supplies</v>
      </c>
      <c r="F223">
        <v>2</v>
      </c>
      <c r="G223" t="str">
        <f t="shared" si="3"/>
        <v>1. Retail (1-3 Units)</v>
      </c>
      <c r="H223">
        <v>2</v>
      </c>
      <c r="I223">
        <v>306.05</v>
      </c>
      <c r="J223">
        <f>IF(ISBLANK(I223), ROUND(I223/ABS(VALUE(_xlfn.TEXTBEFORE(F223&amp;" ", " "))), 2), ABS(VALUE(SUBSTITUTE(I223, "$", ""))))</f>
        <v>306.05</v>
      </c>
      <c r="K223">
        <f>ROUND(Sheet1[[#This Row],[CleanedUnits_sold]]*Sheet1[[#This Row],[Cleaned_Unit_Price]],2)</f>
        <v>612.1</v>
      </c>
      <c r="L223">
        <v>612.1</v>
      </c>
      <c r="M223" s="1" t="s">
        <v>449</v>
      </c>
      <c r="N223" s="1" t="s">
        <v>14</v>
      </c>
      <c r="O223" s="1" t="s">
        <v>449</v>
      </c>
    </row>
    <row r="224" spans="1:15" x14ac:dyDescent="0.35">
      <c r="A224" s="1" t="s">
        <v>450</v>
      </c>
      <c r="B224" s="2">
        <v>45224</v>
      </c>
      <c r="C224" s="1" t="s">
        <v>11</v>
      </c>
      <c r="D224" s="1" t="s">
        <v>32</v>
      </c>
      <c r="E224" s="1" t="str">
        <f>TRIM(CLEAN(Sheet1[[#This Row],[Category]]))</f>
        <v>Furniture</v>
      </c>
      <c r="F224">
        <v>6</v>
      </c>
      <c r="G224" t="str">
        <f t="shared" si="3"/>
        <v>2. Mid-Market (4-7 Units)</v>
      </c>
      <c r="H224">
        <v>6</v>
      </c>
      <c r="I224">
        <v>-97.91</v>
      </c>
      <c r="J224">
        <f>IF(ISBLANK(I224), ROUND(I224/ABS(VALUE(_xlfn.TEXTBEFORE(F224&amp;" ", " "))), 2), ABS(VALUE(SUBSTITUTE(I224, "$", ""))))</f>
        <v>97.91</v>
      </c>
      <c r="K224">
        <f>ROUND(Sheet1[[#This Row],[CleanedUnits_sold]]*Sheet1[[#This Row],[Cleaned_Unit_Price]],2)</f>
        <v>587.46</v>
      </c>
      <c r="L224">
        <v>415.62</v>
      </c>
      <c r="M224" s="1" t="s">
        <v>451</v>
      </c>
      <c r="N224" s="1" t="s">
        <v>21</v>
      </c>
      <c r="O224" s="1" t="s">
        <v>451</v>
      </c>
    </row>
    <row r="225" spans="1:15" x14ac:dyDescent="0.35">
      <c r="A225" s="1" t="s">
        <v>452</v>
      </c>
      <c r="B225" s="2">
        <v>45198</v>
      </c>
      <c r="C225" s="1" t="s">
        <v>11</v>
      </c>
      <c r="D225" s="1" t="s">
        <v>12</v>
      </c>
      <c r="E225" s="1" t="str">
        <f>TRIM(CLEAN(Sheet1[[#This Row],[Category]]))</f>
        <v>Office Supplies</v>
      </c>
      <c r="F225">
        <v>7</v>
      </c>
      <c r="G225" t="str">
        <f t="shared" si="3"/>
        <v>2. Mid-Market (4-7 Units)</v>
      </c>
      <c r="H225">
        <v>7</v>
      </c>
      <c r="I225">
        <v>48.56</v>
      </c>
      <c r="J225">
        <f>IF(ISBLANK(I225), ROUND(I225/ABS(VALUE(_xlfn.TEXTBEFORE(F225&amp;" ", " "))), 2), ABS(VALUE(SUBSTITUTE(I225, "$", ""))))</f>
        <v>48.56</v>
      </c>
      <c r="K225">
        <f>ROUND(Sheet1[[#This Row],[CleanedUnits_sold]]*Sheet1[[#This Row],[Cleaned_Unit_Price]],2)</f>
        <v>339.92</v>
      </c>
      <c r="M225" s="1" t="s">
        <v>453</v>
      </c>
      <c r="N225" s="1" t="s">
        <v>14</v>
      </c>
      <c r="O225" s="1" t="s">
        <v>453</v>
      </c>
    </row>
    <row r="226" spans="1:15" x14ac:dyDescent="0.35">
      <c r="A226" s="1" t="s">
        <v>454</v>
      </c>
      <c r="B226" s="2">
        <v>45208</v>
      </c>
      <c r="C226" s="1" t="s">
        <v>16</v>
      </c>
      <c r="D226" s="1" t="s">
        <v>12</v>
      </c>
      <c r="E226" s="1" t="str">
        <f>TRIM(CLEAN(Sheet1[[#This Row],[Category]]))</f>
        <v>Office Supplies</v>
      </c>
      <c r="F226">
        <v>2</v>
      </c>
      <c r="G226" t="str">
        <f t="shared" si="3"/>
        <v>1. Retail (1-3 Units)</v>
      </c>
      <c r="H226">
        <v>2</v>
      </c>
      <c r="I226">
        <v>268.38</v>
      </c>
      <c r="J226">
        <f>IF(ISBLANK(I226), ROUND(I226/ABS(VALUE(_xlfn.TEXTBEFORE(F226&amp;" ", " "))), 2), ABS(VALUE(SUBSTITUTE(I226, "$", ""))))</f>
        <v>268.38</v>
      </c>
      <c r="K226">
        <f>ROUND(Sheet1[[#This Row],[CleanedUnits_sold]]*Sheet1[[#This Row],[Cleaned_Unit_Price]],2)</f>
        <v>536.76</v>
      </c>
      <c r="L226">
        <v>843.87</v>
      </c>
      <c r="M226" s="1" t="s">
        <v>455</v>
      </c>
      <c r="N226" s="1" t="s">
        <v>21</v>
      </c>
      <c r="O226" s="1" t="s">
        <v>455</v>
      </c>
    </row>
    <row r="227" spans="1:15" x14ac:dyDescent="0.35">
      <c r="A227" s="1" t="s">
        <v>456</v>
      </c>
      <c r="B227" s="2">
        <v>45159</v>
      </c>
      <c r="C227" s="1" t="s">
        <v>19</v>
      </c>
      <c r="D227" s="1" t="s">
        <v>32</v>
      </c>
      <c r="E227" s="1" t="str">
        <f>TRIM(CLEAN(Sheet1[[#This Row],[Category]]))</f>
        <v>Furniture</v>
      </c>
      <c r="F227">
        <v>7</v>
      </c>
      <c r="G227" t="str">
        <f t="shared" si="3"/>
        <v>2. Mid-Market (4-7 Units)</v>
      </c>
      <c r="H227">
        <v>7</v>
      </c>
      <c r="I227">
        <v>207.36</v>
      </c>
      <c r="J227">
        <f>IF(ISBLANK(I227), ROUND(I227/ABS(VALUE(_xlfn.TEXTBEFORE(F227&amp;" ", " "))), 2), ABS(VALUE(SUBSTITUTE(I227, "$", ""))))</f>
        <v>207.36</v>
      </c>
      <c r="K227">
        <f>ROUND(Sheet1[[#This Row],[CleanedUnits_sold]]*Sheet1[[#This Row],[Cleaned_Unit_Price]],2)</f>
        <v>1451.52</v>
      </c>
      <c r="L227">
        <v>1451.52</v>
      </c>
      <c r="M227" s="1" t="s">
        <v>457</v>
      </c>
      <c r="N227" s="1" t="s">
        <v>14</v>
      </c>
      <c r="O227" s="1" t="s">
        <v>457</v>
      </c>
    </row>
    <row r="228" spans="1:15" x14ac:dyDescent="0.35">
      <c r="A228" s="1" t="s">
        <v>458</v>
      </c>
      <c r="B228" s="2">
        <v>45045</v>
      </c>
      <c r="C228" s="1" t="s">
        <v>16</v>
      </c>
      <c r="D228" s="1" t="s">
        <v>12</v>
      </c>
      <c r="E228" s="1" t="str">
        <f>TRIM(CLEAN(Sheet1[[#This Row],[Category]]))</f>
        <v>Office Supplies</v>
      </c>
      <c r="F228">
        <v>5</v>
      </c>
      <c r="G228" t="str">
        <f t="shared" si="3"/>
        <v>2. Mid-Market (4-7 Units)</v>
      </c>
      <c r="H228">
        <v>5</v>
      </c>
      <c r="I228">
        <v>298.52</v>
      </c>
      <c r="J228">
        <f>IF(ISBLANK(I228), ROUND(I228/ABS(VALUE(_xlfn.TEXTBEFORE(F228&amp;" ", " "))), 2), ABS(VALUE(SUBSTITUTE(I228, "$", ""))))</f>
        <v>298.52</v>
      </c>
      <c r="K228">
        <f>ROUND(Sheet1[[#This Row],[CleanedUnits_sold]]*Sheet1[[#This Row],[Cleaned_Unit_Price]],2)</f>
        <v>1492.6</v>
      </c>
      <c r="L228">
        <v>1492.6</v>
      </c>
      <c r="M228" s="1" t="s">
        <v>459</v>
      </c>
      <c r="N228" s="1" t="s">
        <v>38</v>
      </c>
      <c r="O228" s="1" t="s">
        <v>459</v>
      </c>
    </row>
    <row r="229" spans="1:15" x14ac:dyDescent="0.35">
      <c r="A229" s="1" t="s">
        <v>460</v>
      </c>
      <c r="B229" s="2">
        <v>45088</v>
      </c>
      <c r="C229" s="1" t="s">
        <v>23</v>
      </c>
      <c r="D229" s="1" t="s">
        <v>24</v>
      </c>
      <c r="E229" s="1" t="str">
        <f>TRIM(CLEAN(Sheet1[[#This Row],[Category]]))</f>
        <v>Electronics</v>
      </c>
      <c r="F229">
        <v>7</v>
      </c>
      <c r="G229" t="str">
        <f t="shared" si="3"/>
        <v>2. Mid-Market (4-7 Units)</v>
      </c>
      <c r="H229">
        <v>7</v>
      </c>
      <c r="I229">
        <v>53.72</v>
      </c>
      <c r="J229">
        <f>IF(ISBLANK(I229), ROUND(I229/ABS(VALUE(_xlfn.TEXTBEFORE(F229&amp;" ", " "))), 2), ABS(VALUE(SUBSTITUTE(I229, "$", ""))))</f>
        <v>53.72</v>
      </c>
      <c r="K229">
        <f>ROUND(Sheet1[[#This Row],[CleanedUnits_sold]]*Sheet1[[#This Row],[Cleaned_Unit_Price]],2)</f>
        <v>376.04</v>
      </c>
      <c r="L229">
        <v>376.04</v>
      </c>
      <c r="M229" s="1" t="s">
        <v>461</v>
      </c>
      <c r="N229" s="1" t="s">
        <v>26</v>
      </c>
      <c r="O229" s="1" t="s">
        <v>461</v>
      </c>
    </row>
    <row r="230" spans="1:15" x14ac:dyDescent="0.35">
      <c r="A230" s="1" t="s">
        <v>462</v>
      </c>
      <c r="B230" s="2">
        <v>1</v>
      </c>
      <c r="C230" s="1" t="s">
        <v>11</v>
      </c>
      <c r="D230" s="1" t="s">
        <v>12</v>
      </c>
      <c r="E230" s="1" t="str">
        <f>TRIM(CLEAN(Sheet1[[#This Row],[Category]]))</f>
        <v>Office Supplies</v>
      </c>
      <c r="F230">
        <v>6</v>
      </c>
      <c r="G230" t="str">
        <f t="shared" si="3"/>
        <v>2. Mid-Market (4-7 Units)</v>
      </c>
      <c r="H230">
        <v>6</v>
      </c>
      <c r="I230">
        <v>221.18</v>
      </c>
      <c r="J230">
        <f>IF(ISBLANK(I230), ROUND(I230/ABS(VALUE(_xlfn.TEXTBEFORE(F230&amp;" ", " "))), 2), ABS(VALUE(SUBSTITUTE(I230, "$", ""))))</f>
        <v>221.18</v>
      </c>
      <c r="K230">
        <f>ROUND(Sheet1[[#This Row],[CleanedUnits_sold]]*Sheet1[[#This Row],[Cleaned_Unit_Price]],2)</f>
        <v>1327.08</v>
      </c>
      <c r="L230">
        <v>1327.08</v>
      </c>
      <c r="M230" s="1" t="s">
        <v>463</v>
      </c>
      <c r="N230" s="1" t="s">
        <v>14</v>
      </c>
      <c r="O230" s="1" t="s">
        <v>463</v>
      </c>
    </row>
    <row r="231" spans="1:15" x14ac:dyDescent="0.35">
      <c r="A231" s="1" t="s">
        <v>464</v>
      </c>
      <c r="B231" s="2">
        <v>45174</v>
      </c>
      <c r="C231" s="1" t="s">
        <v>23</v>
      </c>
      <c r="D231" s="1" t="s">
        <v>24</v>
      </c>
      <c r="E231" s="1" t="str">
        <f>TRIM(CLEAN(Sheet1[[#This Row],[Category]]))</f>
        <v>Electronics</v>
      </c>
      <c r="F231">
        <v>5</v>
      </c>
      <c r="G231" t="str">
        <f t="shared" si="3"/>
        <v>2. Mid-Market (4-7 Units)</v>
      </c>
      <c r="H231">
        <v>5</v>
      </c>
      <c r="I231">
        <v>95.65</v>
      </c>
      <c r="J231">
        <f>IF(ISBLANK(I231), ROUND(I231/ABS(VALUE(_xlfn.TEXTBEFORE(F231&amp;" ", " "))), 2), ABS(VALUE(SUBSTITUTE(I231, "$", ""))))</f>
        <v>95.65</v>
      </c>
      <c r="K231">
        <f>ROUND(Sheet1[[#This Row],[CleanedUnits_sold]]*Sheet1[[#This Row],[Cleaned_Unit_Price]],2)</f>
        <v>478.25</v>
      </c>
      <c r="L231">
        <v>478.25</v>
      </c>
      <c r="M231" s="1" t="s">
        <v>49</v>
      </c>
      <c r="N231" s="1" t="s">
        <v>50</v>
      </c>
      <c r="O231" s="1" t="s">
        <v>51</v>
      </c>
    </row>
    <row r="232" spans="1:15" x14ac:dyDescent="0.35">
      <c r="A232" s="1" t="s">
        <v>465</v>
      </c>
      <c r="B232" s="2">
        <v>45195</v>
      </c>
      <c r="C232" s="1" t="s">
        <v>11</v>
      </c>
      <c r="D232" s="1" t="s">
        <v>12</v>
      </c>
      <c r="E232" s="1" t="str">
        <f>TRIM(CLEAN(Sheet1[[#This Row],[Category]]))</f>
        <v>Office Supplies</v>
      </c>
      <c r="F232">
        <v>6</v>
      </c>
      <c r="G232" t="str">
        <f t="shared" si="3"/>
        <v>2. Mid-Market (4-7 Units)</v>
      </c>
      <c r="H232">
        <v>6</v>
      </c>
      <c r="I232">
        <v>493.68</v>
      </c>
      <c r="J232">
        <f>IF(ISBLANK(I232), ROUND(I232/ABS(VALUE(_xlfn.TEXTBEFORE(F232&amp;" ", " "))), 2), ABS(VALUE(SUBSTITUTE(I232, "$", ""))))</f>
        <v>493.68</v>
      </c>
      <c r="K232">
        <f>ROUND(Sheet1[[#This Row],[CleanedUnits_sold]]*Sheet1[[#This Row],[Cleaned_Unit_Price]],2)</f>
        <v>2962.08</v>
      </c>
      <c r="L232">
        <v>2962.08</v>
      </c>
      <c r="M232" s="1" t="s">
        <v>84</v>
      </c>
      <c r="N232" s="1" t="s">
        <v>26</v>
      </c>
      <c r="O232" s="1" t="s">
        <v>85</v>
      </c>
    </row>
    <row r="233" spans="1:15" x14ac:dyDescent="0.35">
      <c r="A233" s="1" t="s">
        <v>466</v>
      </c>
      <c r="B233" s="2">
        <v>45026</v>
      </c>
      <c r="C233" s="1" t="s">
        <v>11</v>
      </c>
      <c r="D233" s="1" t="s">
        <v>46</v>
      </c>
      <c r="E233" s="1" t="str">
        <f>TRIM(CLEAN(Sheet1[[#This Row],[Category]]))</f>
        <v>Furniture</v>
      </c>
      <c r="F233">
        <v>5</v>
      </c>
      <c r="G233" t="str">
        <f t="shared" si="3"/>
        <v>2. Mid-Market (4-7 Units)</v>
      </c>
      <c r="H233">
        <v>5</v>
      </c>
      <c r="I233">
        <v>284.95999999999998</v>
      </c>
      <c r="J233">
        <f>IF(ISBLANK(I233), ROUND(I233/ABS(VALUE(_xlfn.TEXTBEFORE(F233&amp;" ", " "))), 2), ABS(VALUE(SUBSTITUTE(I233, "$", ""))))</f>
        <v>284.95999999999998</v>
      </c>
      <c r="K233">
        <f>ROUND(Sheet1[[#This Row],[CleanedUnits_sold]]*Sheet1[[#This Row],[Cleaned_Unit_Price]],2)</f>
        <v>1424.8</v>
      </c>
      <c r="L233">
        <v>1424.8</v>
      </c>
      <c r="M233" s="1" t="s">
        <v>467</v>
      </c>
      <c r="N233" s="1" t="s">
        <v>38</v>
      </c>
      <c r="O233" s="1" t="s">
        <v>467</v>
      </c>
    </row>
    <row r="234" spans="1:15" x14ac:dyDescent="0.35">
      <c r="A234" s="1" t="s">
        <v>468</v>
      </c>
      <c r="B234" s="2">
        <v>45018</v>
      </c>
      <c r="C234" s="1" t="s">
        <v>11</v>
      </c>
      <c r="D234" s="1" t="s">
        <v>24</v>
      </c>
      <c r="E234" s="1" t="str">
        <f>TRIM(CLEAN(Sheet1[[#This Row],[Category]]))</f>
        <v>Electronics</v>
      </c>
      <c r="F234">
        <v>4</v>
      </c>
      <c r="G234" t="str">
        <f t="shared" si="3"/>
        <v>2. Mid-Market (4-7 Units)</v>
      </c>
      <c r="H234">
        <v>4</v>
      </c>
      <c r="J234">
        <f>IF(ISBLANK(I234), ROUND(I234/ABS(VALUE(_xlfn.TEXTBEFORE(F234&amp;" ", " "))), 2), ABS(VALUE(SUBSTITUTE(I234, "$", ""))))</f>
        <v>0</v>
      </c>
      <c r="K234">
        <f>ROUND(Sheet1[[#This Row],[CleanedUnits_sold]]*Sheet1[[#This Row],[Cleaned_Unit_Price]],2)</f>
        <v>0</v>
      </c>
      <c r="L234">
        <v>1387.36</v>
      </c>
      <c r="M234" s="1" t="s">
        <v>469</v>
      </c>
      <c r="N234" s="1" t="s">
        <v>38</v>
      </c>
      <c r="O234" s="1" t="s">
        <v>469</v>
      </c>
    </row>
    <row r="235" spans="1:15" x14ac:dyDescent="0.35">
      <c r="A235" s="1" t="s">
        <v>470</v>
      </c>
      <c r="B235" s="2">
        <v>1</v>
      </c>
      <c r="C235" s="1" t="s">
        <v>11</v>
      </c>
      <c r="D235" s="1" t="s">
        <v>32</v>
      </c>
      <c r="E235" s="1" t="str">
        <f>TRIM(CLEAN(Sheet1[[#This Row],[Category]]))</f>
        <v>Furniture</v>
      </c>
      <c r="G235" t="str">
        <f t="shared" si="3"/>
        <v>2. Mid-Market (4-7 Units)</v>
      </c>
      <c r="H235">
        <v>7</v>
      </c>
      <c r="I235">
        <v>169.45</v>
      </c>
      <c r="J235">
        <f>IF(ISBLANK(I235), ROUND(I235/ABS(VALUE(_xlfn.TEXTBEFORE(F235&amp;" ", " "))), 2), ABS(VALUE(SUBSTITUTE(I235, "$", ""))))</f>
        <v>169.45</v>
      </c>
      <c r="K235">
        <f>ROUND(Sheet1[[#This Row],[CleanedUnits_sold]]*Sheet1[[#This Row],[Cleaned_Unit_Price]],2)</f>
        <v>1186.1500000000001</v>
      </c>
      <c r="L235">
        <v>1186.1500000000001</v>
      </c>
      <c r="M235" s="1" t="s">
        <v>471</v>
      </c>
      <c r="N235" s="1" t="s">
        <v>14</v>
      </c>
      <c r="O235" s="1" t="s">
        <v>471</v>
      </c>
    </row>
    <row r="236" spans="1:15" x14ac:dyDescent="0.35">
      <c r="A236" s="1" t="s">
        <v>472</v>
      </c>
      <c r="B236" s="2">
        <v>45067</v>
      </c>
      <c r="C236" s="1" t="s">
        <v>16</v>
      </c>
      <c r="D236" s="1" t="s">
        <v>12</v>
      </c>
      <c r="E236" s="1" t="str">
        <f>TRIM(CLEAN(Sheet1[[#This Row],[Category]]))</f>
        <v>Office Supplies</v>
      </c>
      <c r="F236">
        <v>1</v>
      </c>
      <c r="G236" t="str">
        <f t="shared" si="3"/>
        <v>1. Retail (1-3 Units)</v>
      </c>
      <c r="H236">
        <v>1</v>
      </c>
      <c r="I236">
        <v>56.42</v>
      </c>
      <c r="J236">
        <f>IF(ISBLANK(I236), ROUND(I236/ABS(VALUE(_xlfn.TEXTBEFORE(F236&amp;" ", " "))), 2), ABS(VALUE(SUBSTITUTE(I236, "$", ""))))</f>
        <v>56.42</v>
      </c>
      <c r="K236">
        <f>ROUND(Sheet1[[#This Row],[CleanedUnits_sold]]*Sheet1[[#This Row],[Cleaned_Unit_Price]],2)</f>
        <v>56.42</v>
      </c>
      <c r="L236">
        <v>56.42</v>
      </c>
      <c r="M236" s="1" t="s">
        <v>473</v>
      </c>
      <c r="N236" s="1" t="s">
        <v>50</v>
      </c>
      <c r="O236" s="1" t="s">
        <v>473</v>
      </c>
    </row>
    <row r="237" spans="1:15" x14ac:dyDescent="0.35">
      <c r="A237" s="1" t="s">
        <v>474</v>
      </c>
      <c r="B237" s="2">
        <v>45210</v>
      </c>
      <c r="C237" s="1" t="s">
        <v>19</v>
      </c>
      <c r="D237" s="1" t="s">
        <v>12</v>
      </c>
      <c r="E237" s="1" t="str">
        <f>TRIM(CLEAN(Sheet1[[#This Row],[Category]]))</f>
        <v>Office Supplies</v>
      </c>
      <c r="F237">
        <v>8</v>
      </c>
      <c r="G237" t="str">
        <f t="shared" si="3"/>
        <v>3. Wholesale / Bulk (8+ Units)</v>
      </c>
      <c r="H237">
        <v>8</v>
      </c>
      <c r="I237">
        <v>488.18</v>
      </c>
      <c r="J237">
        <f>IF(ISBLANK(I237), ROUND(I237/ABS(VALUE(_xlfn.TEXTBEFORE(F237&amp;" ", " "))), 2), ABS(VALUE(SUBSTITUTE(I237, "$", ""))))</f>
        <v>488.18</v>
      </c>
      <c r="K237">
        <f>ROUND(Sheet1[[#This Row],[CleanedUnits_sold]]*Sheet1[[#This Row],[Cleaned_Unit_Price]],2)</f>
        <v>3905.44</v>
      </c>
      <c r="L237">
        <v>3905.44</v>
      </c>
      <c r="M237" s="1" t="s">
        <v>475</v>
      </c>
      <c r="N237" s="1" t="s">
        <v>14</v>
      </c>
      <c r="O237" s="1" t="s">
        <v>475</v>
      </c>
    </row>
    <row r="238" spans="1:15" x14ac:dyDescent="0.35">
      <c r="A238" s="1" t="s">
        <v>476</v>
      </c>
      <c r="B238" s="2">
        <v>44991</v>
      </c>
      <c r="C238" s="1" t="s">
        <v>11</v>
      </c>
      <c r="D238" s="1" t="s">
        <v>12</v>
      </c>
      <c r="E238" s="1" t="str">
        <f>TRIM(CLEAN(Sheet1[[#This Row],[Category]]))</f>
        <v>Office Supplies</v>
      </c>
      <c r="F238">
        <v>4</v>
      </c>
      <c r="G238" t="str">
        <f t="shared" si="3"/>
        <v>2. Mid-Market (4-7 Units)</v>
      </c>
      <c r="H238">
        <v>4</v>
      </c>
      <c r="I238">
        <v>150.27000000000001</v>
      </c>
      <c r="J238">
        <f>IF(ISBLANK(I238), ROUND(I238/ABS(VALUE(_xlfn.TEXTBEFORE(F238&amp;" ", " "))), 2), ABS(VALUE(SUBSTITUTE(I238, "$", ""))))</f>
        <v>150.27000000000001</v>
      </c>
      <c r="K238">
        <f>ROUND(Sheet1[[#This Row],[CleanedUnits_sold]]*Sheet1[[#This Row],[Cleaned_Unit_Price]],2)</f>
        <v>601.08000000000004</v>
      </c>
      <c r="L238">
        <v>601.08000000000004</v>
      </c>
      <c r="M238" s="1" t="s">
        <v>477</v>
      </c>
      <c r="N238" s="1" t="s">
        <v>14</v>
      </c>
      <c r="O238" s="1" t="s">
        <v>477</v>
      </c>
    </row>
    <row r="239" spans="1:15" x14ac:dyDescent="0.35">
      <c r="A239" s="1" t="s">
        <v>478</v>
      </c>
      <c r="B239" s="2">
        <v>44933</v>
      </c>
      <c r="C239" s="1" t="s">
        <v>16</v>
      </c>
      <c r="D239" s="1" t="s">
        <v>12</v>
      </c>
      <c r="E239" s="1" t="str">
        <f>TRIM(CLEAN(Sheet1[[#This Row],[Category]]))</f>
        <v>Office Supplies</v>
      </c>
      <c r="F239">
        <v>5</v>
      </c>
      <c r="G239" t="str">
        <f t="shared" si="3"/>
        <v>2. Mid-Market (4-7 Units)</v>
      </c>
      <c r="H239">
        <v>5</v>
      </c>
      <c r="I239">
        <v>217.67</v>
      </c>
      <c r="J239">
        <f>IF(ISBLANK(I239), ROUND(I239/ABS(VALUE(_xlfn.TEXTBEFORE(F239&amp;" ", " "))), 2), ABS(VALUE(SUBSTITUTE(I239, "$", ""))))</f>
        <v>217.67</v>
      </c>
      <c r="K239">
        <f>ROUND(Sheet1[[#This Row],[CleanedUnits_sold]]*Sheet1[[#This Row],[Cleaned_Unit_Price]],2)</f>
        <v>1088.3499999999999</v>
      </c>
      <c r="L239">
        <v>1088.3499999999999</v>
      </c>
      <c r="M239" s="1" t="s">
        <v>479</v>
      </c>
      <c r="N239" s="1" t="s">
        <v>50</v>
      </c>
      <c r="O239" s="1" t="s">
        <v>479</v>
      </c>
    </row>
    <row r="240" spans="1:15" x14ac:dyDescent="0.35">
      <c r="A240" s="1" t="s">
        <v>480</v>
      </c>
      <c r="B240" s="2">
        <v>45152</v>
      </c>
      <c r="C240" s="1" t="s">
        <v>58</v>
      </c>
      <c r="D240" s="1" t="s">
        <v>24</v>
      </c>
      <c r="E240" s="1" t="str">
        <f>TRIM(CLEAN(Sheet1[[#This Row],[Category]]))</f>
        <v>Electronics</v>
      </c>
      <c r="F240">
        <v>3</v>
      </c>
      <c r="G240" t="str">
        <f t="shared" si="3"/>
        <v>1. Retail (1-3 Units)</v>
      </c>
      <c r="H240">
        <v>3</v>
      </c>
      <c r="I240">
        <v>328.43</v>
      </c>
      <c r="J240">
        <f>IF(ISBLANK(I240), ROUND(I240/ABS(VALUE(_xlfn.TEXTBEFORE(F240&amp;" ", " "))), 2), ABS(VALUE(SUBSTITUTE(I240, "$", ""))))</f>
        <v>328.43</v>
      </c>
      <c r="K240">
        <f>ROUND(Sheet1[[#This Row],[CleanedUnits_sold]]*Sheet1[[#This Row],[Cleaned_Unit_Price]],2)</f>
        <v>985.29</v>
      </c>
      <c r="M240" s="1" t="s">
        <v>481</v>
      </c>
      <c r="N240" s="1" t="s">
        <v>38</v>
      </c>
      <c r="O240" s="1" t="s">
        <v>481</v>
      </c>
    </row>
    <row r="241" spans="1:15" x14ac:dyDescent="0.35">
      <c r="A241" s="1" t="s">
        <v>482</v>
      </c>
      <c r="B241" s="2">
        <v>44953</v>
      </c>
      <c r="C241" s="1" t="s">
        <v>23</v>
      </c>
      <c r="D241" s="1" t="s">
        <v>12</v>
      </c>
      <c r="E241" s="1" t="str">
        <f>TRIM(CLEAN(Sheet1[[#This Row],[Category]]))</f>
        <v>Office Supplies</v>
      </c>
      <c r="F241">
        <v>7</v>
      </c>
      <c r="G241" t="str">
        <f t="shared" si="3"/>
        <v>2. Mid-Market (4-7 Units)</v>
      </c>
      <c r="H241">
        <v>7</v>
      </c>
      <c r="I241">
        <v>22.1</v>
      </c>
      <c r="J241">
        <f>IF(ISBLANK(I241), ROUND(I241/ABS(VALUE(_xlfn.TEXTBEFORE(F241&amp;" ", " "))), 2), ABS(VALUE(SUBSTITUTE(I241, "$", ""))))</f>
        <v>22.1</v>
      </c>
      <c r="K241">
        <f>ROUND(Sheet1[[#This Row],[CleanedUnits_sold]]*Sheet1[[#This Row],[Cleaned_Unit_Price]],2)</f>
        <v>154.69999999999999</v>
      </c>
      <c r="L241">
        <v>154.69999999999999</v>
      </c>
      <c r="M241" s="1" t="s">
        <v>483</v>
      </c>
      <c r="N241" s="1" t="s">
        <v>21</v>
      </c>
      <c r="O241" s="1" t="s">
        <v>483</v>
      </c>
    </row>
    <row r="242" spans="1:15" x14ac:dyDescent="0.35">
      <c r="A242" s="1" t="s">
        <v>484</v>
      </c>
      <c r="B242" s="2">
        <v>45171</v>
      </c>
      <c r="C242" s="1" t="s">
        <v>23</v>
      </c>
      <c r="D242" s="1" t="s">
        <v>32</v>
      </c>
      <c r="E242" s="1" t="str">
        <f>TRIM(CLEAN(Sheet1[[#This Row],[Category]]))</f>
        <v>Furniture</v>
      </c>
      <c r="F242">
        <v>2</v>
      </c>
      <c r="G242" t="str">
        <f t="shared" si="3"/>
        <v>1. Retail (1-3 Units)</v>
      </c>
      <c r="H242">
        <v>2</v>
      </c>
      <c r="I242">
        <v>407.03</v>
      </c>
      <c r="J242">
        <f>IF(ISBLANK(I242), ROUND(I242/ABS(VALUE(_xlfn.TEXTBEFORE(F242&amp;" ", " "))), 2), ABS(VALUE(SUBSTITUTE(I242, "$", ""))))</f>
        <v>407.03</v>
      </c>
      <c r="K242">
        <f>ROUND(Sheet1[[#This Row],[CleanedUnits_sold]]*Sheet1[[#This Row],[Cleaned_Unit_Price]],2)</f>
        <v>814.06</v>
      </c>
      <c r="L242">
        <v>814.06</v>
      </c>
      <c r="M242" s="1" t="s">
        <v>485</v>
      </c>
      <c r="N242" s="1" t="s">
        <v>50</v>
      </c>
      <c r="O242" s="1" t="s">
        <v>485</v>
      </c>
    </row>
    <row r="243" spans="1:15" x14ac:dyDescent="0.35">
      <c r="A243" s="1" t="s">
        <v>486</v>
      </c>
      <c r="B243" s="2">
        <v>45132</v>
      </c>
      <c r="C243" s="1" t="s">
        <v>16</v>
      </c>
      <c r="D243" s="1" t="s">
        <v>12</v>
      </c>
      <c r="E243" s="1" t="str">
        <f>TRIM(CLEAN(Sheet1[[#This Row],[Category]]))</f>
        <v>Office Supplies</v>
      </c>
      <c r="F243">
        <v>5</v>
      </c>
      <c r="G243" t="str">
        <f t="shared" si="3"/>
        <v>2. Mid-Market (4-7 Units)</v>
      </c>
      <c r="H243">
        <v>5</v>
      </c>
      <c r="I243">
        <v>272.92</v>
      </c>
      <c r="J243">
        <f>IF(ISBLANK(I243), ROUND(I243/ABS(VALUE(_xlfn.TEXTBEFORE(F243&amp;" ", " "))), 2), ABS(VALUE(SUBSTITUTE(I243, "$", ""))))</f>
        <v>272.92</v>
      </c>
      <c r="K243">
        <f>ROUND(Sheet1[[#This Row],[CleanedUnits_sold]]*Sheet1[[#This Row],[Cleaned_Unit_Price]],2)</f>
        <v>1364.6</v>
      </c>
      <c r="L243">
        <v>1364.6</v>
      </c>
      <c r="M243" s="1" t="s">
        <v>487</v>
      </c>
      <c r="N243" s="1" t="s">
        <v>14</v>
      </c>
      <c r="O243" s="1" t="s">
        <v>487</v>
      </c>
    </row>
    <row r="244" spans="1:15" x14ac:dyDescent="0.35">
      <c r="A244" s="1" t="s">
        <v>488</v>
      </c>
      <c r="B244" s="2">
        <v>1</v>
      </c>
      <c r="C244" s="1" t="s">
        <v>16</v>
      </c>
      <c r="D244" s="1" t="s">
        <v>24</v>
      </c>
      <c r="E244" s="1" t="str">
        <f>TRIM(CLEAN(Sheet1[[#This Row],[Category]]))</f>
        <v>Electronics</v>
      </c>
      <c r="F244">
        <v>10</v>
      </c>
      <c r="G244" t="str">
        <f t="shared" si="3"/>
        <v>3. Wholesale / Bulk (8+ Units)</v>
      </c>
      <c r="H244">
        <v>10</v>
      </c>
      <c r="I244">
        <v>146.33000000000001</v>
      </c>
      <c r="J244">
        <f>IF(ISBLANK(I244), ROUND(I244/ABS(VALUE(_xlfn.TEXTBEFORE(F244&amp;" ", " "))), 2), ABS(VALUE(SUBSTITUTE(I244, "$", ""))))</f>
        <v>146.33000000000001</v>
      </c>
      <c r="K244">
        <f>ROUND(Sheet1[[#This Row],[CleanedUnits_sold]]*Sheet1[[#This Row],[Cleaned_Unit_Price]],2)</f>
        <v>1463.3</v>
      </c>
      <c r="L244">
        <v>1463.3</v>
      </c>
      <c r="M244" s="1" t="s">
        <v>489</v>
      </c>
      <c r="N244" s="1" t="s">
        <v>50</v>
      </c>
      <c r="O244" s="1" t="s">
        <v>489</v>
      </c>
    </row>
    <row r="245" spans="1:15" x14ac:dyDescent="0.35">
      <c r="A245" s="1" t="s">
        <v>490</v>
      </c>
      <c r="B245" s="2">
        <v>1</v>
      </c>
      <c r="C245" s="1" t="s">
        <v>19</v>
      </c>
      <c r="D245" s="1" t="s">
        <v>24</v>
      </c>
      <c r="E245" s="1" t="str">
        <f>TRIM(CLEAN(Sheet1[[#This Row],[Category]]))</f>
        <v>Electronics</v>
      </c>
      <c r="F245">
        <v>7</v>
      </c>
      <c r="G245" t="str">
        <f t="shared" si="3"/>
        <v>2. Mid-Market (4-7 Units)</v>
      </c>
      <c r="H245">
        <v>7</v>
      </c>
      <c r="I245">
        <v>-46.98</v>
      </c>
      <c r="J245">
        <f>IF(ISBLANK(I245), ROUND(I245/ABS(VALUE(_xlfn.TEXTBEFORE(F245&amp;" ", " "))), 2), ABS(VALUE(SUBSTITUTE(I245, "$", ""))))</f>
        <v>46.98</v>
      </c>
      <c r="K245">
        <f>ROUND(Sheet1[[#This Row],[CleanedUnits_sold]]*Sheet1[[#This Row],[Cleaned_Unit_Price]],2)</f>
        <v>328.86</v>
      </c>
      <c r="L245">
        <v>281.33</v>
      </c>
      <c r="M245" s="1" t="s">
        <v>491</v>
      </c>
      <c r="N245" s="1" t="s">
        <v>26</v>
      </c>
      <c r="O245" s="1" t="s">
        <v>491</v>
      </c>
    </row>
    <row r="246" spans="1:15" x14ac:dyDescent="0.35">
      <c r="A246" s="1" t="s">
        <v>492</v>
      </c>
      <c r="B246" s="2">
        <v>45215</v>
      </c>
      <c r="C246" s="1" t="s">
        <v>11</v>
      </c>
      <c r="D246" s="1" t="s">
        <v>12</v>
      </c>
      <c r="E246" s="1" t="str">
        <f>TRIM(CLEAN(Sheet1[[#This Row],[Category]]))</f>
        <v>Office Supplies</v>
      </c>
      <c r="F246">
        <v>7</v>
      </c>
      <c r="G246" t="str">
        <f t="shared" si="3"/>
        <v>2. Mid-Market (4-7 Units)</v>
      </c>
      <c r="H246">
        <v>7</v>
      </c>
      <c r="I246">
        <v>-150.11000000000001</v>
      </c>
      <c r="J246">
        <f>IF(ISBLANK(I246), ROUND(I246/ABS(VALUE(_xlfn.TEXTBEFORE(F246&amp;" ", " "))), 2), ABS(VALUE(SUBSTITUTE(I246, "$", ""))))</f>
        <v>150.11000000000001</v>
      </c>
      <c r="K246">
        <f>ROUND(Sheet1[[#This Row],[CleanedUnits_sold]]*Sheet1[[#This Row],[Cleaned_Unit_Price]],2)</f>
        <v>1050.77</v>
      </c>
      <c r="L246">
        <v>1106.71</v>
      </c>
      <c r="M246" s="1" t="s">
        <v>493</v>
      </c>
      <c r="N246" s="1" t="s">
        <v>14</v>
      </c>
      <c r="O246" s="1" t="s">
        <v>493</v>
      </c>
    </row>
    <row r="247" spans="1:15" x14ac:dyDescent="0.35">
      <c r="A247" s="1" t="s">
        <v>494</v>
      </c>
      <c r="B247" s="2">
        <v>1</v>
      </c>
      <c r="C247" s="1" t="s">
        <v>11</v>
      </c>
      <c r="D247" s="1" t="s">
        <v>12</v>
      </c>
      <c r="E247" s="1" t="str">
        <f>TRIM(CLEAN(Sheet1[[#This Row],[Category]]))</f>
        <v>Office Supplies</v>
      </c>
      <c r="F247">
        <v>10</v>
      </c>
      <c r="G247" t="str">
        <f t="shared" si="3"/>
        <v>3. Wholesale / Bulk (8+ Units)</v>
      </c>
      <c r="H247">
        <v>10</v>
      </c>
      <c r="I247">
        <v>448.57</v>
      </c>
      <c r="J247">
        <f>IF(ISBLANK(I247), ROUND(I247/ABS(VALUE(_xlfn.TEXTBEFORE(F247&amp;" ", " "))), 2), ABS(VALUE(SUBSTITUTE(I247, "$", ""))))</f>
        <v>448.57</v>
      </c>
      <c r="K247">
        <f>ROUND(Sheet1[[#This Row],[CleanedUnits_sold]]*Sheet1[[#This Row],[Cleaned_Unit_Price]],2)</f>
        <v>4485.7</v>
      </c>
      <c r="L247">
        <v>4485.7</v>
      </c>
      <c r="M247" s="1" t="s">
        <v>495</v>
      </c>
      <c r="N247" s="1" t="s">
        <v>50</v>
      </c>
      <c r="O247" s="1" t="s">
        <v>495</v>
      </c>
    </row>
    <row r="248" spans="1:15" x14ac:dyDescent="0.35">
      <c r="A248" s="1" t="s">
        <v>496</v>
      </c>
      <c r="B248" s="2">
        <v>45212</v>
      </c>
      <c r="C248" s="1" t="s">
        <v>23</v>
      </c>
      <c r="D248" s="1" t="s">
        <v>12</v>
      </c>
      <c r="E248" s="1" t="str">
        <f>TRIM(CLEAN(Sheet1[[#This Row],[Category]]))</f>
        <v>Office Supplies</v>
      </c>
      <c r="F248">
        <v>1</v>
      </c>
      <c r="G248" t="str">
        <f t="shared" si="3"/>
        <v>1. Retail (1-3 Units)</v>
      </c>
      <c r="H248">
        <v>1</v>
      </c>
      <c r="I248">
        <v>346.15</v>
      </c>
      <c r="J248">
        <f>IF(ISBLANK(I248), ROUND(I248/ABS(VALUE(_xlfn.TEXTBEFORE(F248&amp;" ", " "))), 2), ABS(VALUE(SUBSTITUTE(I248, "$", ""))))</f>
        <v>346.15</v>
      </c>
      <c r="K248">
        <f>ROUND(Sheet1[[#This Row],[CleanedUnits_sold]]*Sheet1[[#This Row],[Cleaned_Unit_Price]],2)</f>
        <v>346.15</v>
      </c>
      <c r="L248">
        <v>346.15</v>
      </c>
      <c r="M248" s="1" t="s">
        <v>497</v>
      </c>
      <c r="N248" s="1" t="s">
        <v>14</v>
      </c>
      <c r="O248" s="1" t="s">
        <v>497</v>
      </c>
    </row>
    <row r="249" spans="1:15" x14ac:dyDescent="0.35">
      <c r="A249" s="1" t="s">
        <v>498</v>
      </c>
      <c r="B249" s="2">
        <v>1</v>
      </c>
      <c r="C249" s="1" t="s">
        <v>23</v>
      </c>
      <c r="D249" s="1" t="s">
        <v>24</v>
      </c>
      <c r="E249" s="1" t="str">
        <f>TRIM(CLEAN(Sheet1[[#This Row],[Category]]))</f>
        <v>Electronics</v>
      </c>
      <c r="F249">
        <v>5</v>
      </c>
      <c r="G249" t="str">
        <f t="shared" si="3"/>
        <v>2. Mid-Market (4-7 Units)</v>
      </c>
      <c r="H249">
        <v>5</v>
      </c>
      <c r="I249">
        <v>132.44999999999999</v>
      </c>
      <c r="J249">
        <f>IF(ISBLANK(I249), ROUND(I249/ABS(VALUE(_xlfn.TEXTBEFORE(F249&amp;" ", " "))), 2), ABS(VALUE(SUBSTITUTE(I249, "$", ""))))</f>
        <v>132.44999999999999</v>
      </c>
      <c r="K249">
        <f>ROUND(Sheet1[[#This Row],[CleanedUnits_sold]]*Sheet1[[#This Row],[Cleaned_Unit_Price]],2)</f>
        <v>662.25</v>
      </c>
      <c r="L249">
        <v>662.25</v>
      </c>
      <c r="M249" s="1" t="s">
        <v>499</v>
      </c>
      <c r="N249" s="1" t="s">
        <v>14</v>
      </c>
      <c r="O249" s="1" t="s">
        <v>499</v>
      </c>
    </row>
    <row r="250" spans="1:15" x14ac:dyDescent="0.35">
      <c r="A250" s="1" t="s">
        <v>500</v>
      </c>
      <c r="B250" s="2">
        <v>45121</v>
      </c>
      <c r="C250" s="1" t="s">
        <v>23</v>
      </c>
      <c r="D250" s="1" t="s">
        <v>24</v>
      </c>
      <c r="E250" s="1" t="str">
        <f>TRIM(CLEAN(Sheet1[[#This Row],[Category]]))</f>
        <v>Electronics</v>
      </c>
      <c r="F250">
        <v>3</v>
      </c>
      <c r="G250" t="str">
        <f t="shared" si="3"/>
        <v>1. Retail (1-3 Units)</v>
      </c>
      <c r="H250">
        <v>3</v>
      </c>
      <c r="I250">
        <v>42.14</v>
      </c>
      <c r="J250">
        <f>IF(ISBLANK(I250), ROUND(I250/ABS(VALUE(_xlfn.TEXTBEFORE(F250&amp;" ", " "))), 2), ABS(VALUE(SUBSTITUTE(I250, "$", ""))))</f>
        <v>42.14</v>
      </c>
      <c r="K250">
        <f>ROUND(Sheet1[[#This Row],[CleanedUnits_sold]]*Sheet1[[#This Row],[Cleaned_Unit_Price]],2)</f>
        <v>126.42</v>
      </c>
      <c r="L250">
        <v>126.42</v>
      </c>
      <c r="M250" s="1" t="s">
        <v>501</v>
      </c>
      <c r="N250" s="1" t="s">
        <v>26</v>
      </c>
      <c r="O250" s="1" t="s">
        <v>501</v>
      </c>
    </row>
    <row r="251" spans="1:15" x14ac:dyDescent="0.35">
      <c r="A251" s="1" t="s">
        <v>502</v>
      </c>
      <c r="B251" s="2">
        <v>45079</v>
      </c>
      <c r="C251" s="1" t="s">
        <v>16</v>
      </c>
      <c r="D251" s="1" t="s">
        <v>24</v>
      </c>
      <c r="E251" s="1" t="str">
        <f>TRIM(CLEAN(Sheet1[[#This Row],[Category]]))</f>
        <v>Electronics</v>
      </c>
      <c r="F251">
        <v>8</v>
      </c>
      <c r="G251" t="str">
        <f t="shared" si="3"/>
        <v>3. Wholesale / Bulk (8+ Units)</v>
      </c>
      <c r="H251">
        <v>8</v>
      </c>
      <c r="I251">
        <v>348.4</v>
      </c>
      <c r="J251">
        <f>IF(ISBLANK(I251), ROUND(I251/ABS(VALUE(_xlfn.TEXTBEFORE(F251&amp;" ", " "))), 2), ABS(VALUE(SUBSTITUTE(I251, "$", ""))))</f>
        <v>348.4</v>
      </c>
      <c r="K251">
        <f>ROUND(Sheet1[[#This Row],[CleanedUnits_sold]]*Sheet1[[#This Row],[Cleaned_Unit_Price]],2)</f>
        <v>2787.2</v>
      </c>
      <c r="L251">
        <v>2787.2</v>
      </c>
      <c r="M251" s="1" t="s">
        <v>503</v>
      </c>
      <c r="N251" s="1" t="s">
        <v>50</v>
      </c>
      <c r="O251" s="1" t="s">
        <v>503</v>
      </c>
    </row>
    <row r="252" spans="1:15" x14ac:dyDescent="0.35">
      <c r="A252" s="1" t="s">
        <v>504</v>
      </c>
      <c r="B252" s="2">
        <v>45244</v>
      </c>
      <c r="C252" s="1" t="s">
        <v>58</v>
      </c>
      <c r="D252" s="1" t="s">
        <v>12</v>
      </c>
      <c r="E252" s="1" t="str">
        <f>TRIM(CLEAN(Sheet1[[#This Row],[Category]]))</f>
        <v>Office Supplies</v>
      </c>
      <c r="F252">
        <v>7</v>
      </c>
      <c r="G252" t="str">
        <f t="shared" si="3"/>
        <v>2. Mid-Market (4-7 Units)</v>
      </c>
      <c r="H252">
        <v>7</v>
      </c>
      <c r="J252">
        <f>IF(ISBLANK(I252), ROUND(I252/ABS(VALUE(_xlfn.TEXTBEFORE(F252&amp;" ", " "))), 2), ABS(VALUE(SUBSTITUTE(I252, "$", ""))))</f>
        <v>0</v>
      </c>
      <c r="K252">
        <f>ROUND(Sheet1[[#This Row],[CleanedUnits_sold]]*Sheet1[[#This Row],[Cleaned_Unit_Price]],2)</f>
        <v>0</v>
      </c>
      <c r="L252">
        <v>2033.36</v>
      </c>
      <c r="M252" s="1"/>
      <c r="N252" s="1" t="s">
        <v>50</v>
      </c>
      <c r="O252" s="1" t="s">
        <v>131</v>
      </c>
    </row>
    <row r="253" spans="1:15" x14ac:dyDescent="0.35">
      <c r="A253" s="1" t="s">
        <v>505</v>
      </c>
      <c r="B253" s="2">
        <v>1</v>
      </c>
      <c r="C253" s="1" t="s">
        <v>58</v>
      </c>
      <c r="D253" s="1" t="s">
        <v>46</v>
      </c>
      <c r="E253" s="1" t="str">
        <f>TRIM(CLEAN(Sheet1[[#This Row],[Category]]))</f>
        <v>Furniture</v>
      </c>
      <c r="F253">
        <v>3</v>
      </c>
      <c r="G253" t="str">
        <f t="shared" si="3"/>
        <v>1. Retail (1-3 Units)</v>
      </c>
      <c r="H253">
        <v>3</v>
      </c>
      <c r="I253">
        <v>208.21</v>
      </c>
      <c r="J253">
        <f>IF(ISBLANK(I253), ROUND(I253/ABS(VALUE(_xlfn.TEXTBEFORE(F253&amp;" ", " "))), 2), ABS(VALUE(SUBSTITUTE(I253, "$", ""))))</f>
        <v>208.21</v>
      </c>
      <c r="K253">
        <f>ROUND(Sheet1[[#This Row],[CleanedUnits_sold]]*Sheet1[[#This Row],[Cleaned_Unit_Price]],2)</f>
        <v>624.63</v>
      </c>
      <c r="L253">
        <v>624.63</v>
      </c>
      <c r="M253" s="1"/>
      <c r="N253" s="1" t="s">
        <v>14</v>
      </c>
      <c r="O253" s="1" t="s">
        <v>131</v>
      </c>
    </row>
    <row r="254" spans="1:15" x14ac:dyDescent="0.35">
      <c r="A254" s="1" t="s">
        <v>506</v>
      </c>
      <c r="B254" s="2">
        <v>45062</v>
      </c>
      <c r="C254" s="1" t="s">
        <v>11</v>
      </c>
      <c r="D254" s="1" t="s">
        <v>12</v>
      </c>
      <c r="E254" s="1" t="str">
        <f>TRIM(CLEAN(Sheet1[[#This Row],[Category]]))</f>
        <v>Office Supplies</v>
      </c>
      <c r="F254">
        <v>1</v>
      </c>
      <c r="G254" t="str">
        <f t="shared" si="3"/>
        <v>1. Retail (1-3 Units)</v>
      </c>
      <c r="H254">
        <v>1</v>
      </c>
      <c r="I254">
        <v>188.17</v>
      </c>
      <c r="J254">
        <f>IF(ISBLANK(I254), ROUND(I254/ABS(VALUE(_xlfn.TEXTBEFORE(F254&amp;" ", " "))), 2), ABS(VALUE(SUBSTITUTE(I254, "$", ""))))</f>
        <v>188.17</v>
      </c>
      <c r="K254">
        <f>ROUND(Sheet1[[#This Row],[CleanedUnits_sold]]*Sheet1[[#This Row],[Cleaned_Unit_Price]],2)</f>
        <v>188.17</v>
      </c>
      <c r="L254">
        <v>188.17</v>
      </c>
      <c r="M254" s="1" t="s">
        <v>507</v>
      </c>
      <c r="N254" s="1" t="s">
        <v>26</v>
      </c>
      <c r="O254" s="1" t="s">
        <v>507</v>
      </c>
    </row>
    <row r="255" spans="1:15" x14ac:dyDescent="0.35">
      <c r="A255" s="1" t="s">
        <v>508</v>
      </c>
      <c r="B255" s="2">
        <v>45015</v>
      </c>
      <c r="C255" s="1" t="s">
        <v>23</v>
      </c>
      <c r="D255" s="1" t="s">
        <v>12</v>
      </c>
      <c r="E255" s="1" t="str">
        <f>TRIM(CLEAN(Sheet1[[#This Row],[Category]]))</f>
        <v>Office Supplies</v>
      </c>
      <c r="F255">
        <v>5</v>
      </c>
      <c r="G255" t="str">
        <f t="shared" si="3"/>
        <v>2. Mid-Market (4-7 Units)</v>
      </c>
      <c r="H255">
        <v>5</v>
      </c>
      <c r="I255">
        <v>116.24</v>
      </c>
      <c r="J255">
        <f>IF(ISBLANK(I255), ROUND(I255/ABS(VALUE(_xlfn.TEXTBEFORE(F255&amp;" ", " "))), 2), ABS(VALUE(SUBSTITUTE(I255, "$", ""))))</f>
        <v>116.24</v>
      </c>
      <c r="K255">
        <f>ROUND(Sheet1[[#This Row],[CleanedUnits_sold]]*Sheet1[[#This Row],[Cleaned_Unit_Price]],2)</f>
        <v>581.20000000000005</v>
      </c>
      <c r="L255">
        <v>581.20000000000005</v>
      </c>
      <c r="M255" s="1" t="s">
        <v>509</v>
      </c>
      <c r="N255" s="1" t="s">
        <v>26</v>
      </c>
      <c r="O255" s="1" t="s">
        <v>509</v>
      </c>
    </row>
    <row r="256" spans="1:15" x14ac:dyDescent="0.35">
      <c r="A256" s="1" t="s">
        <v>510</v>
      </c>
      <c r="B256" s="2">
        <v>45136</v>
      </c>
      <c r="C256" s="1" t="s">
        <v>11</v>
      </c>
      <c r="D256" s="1" t="s">
        <v>32</v>
      </c>
      <c r="E256" s="1" t="str">
        <f>TRIM(CLEAN(Sheet1[[#This Row],[Category]]))</f>
        <v>Furniture</v>
      </c>
      <c r="F256">
        <v>9999</v>
      </c>
      <c r="G256" t="str">
        <f t="shared" si="3"/>
        <v>2. Mid-Market (4-7 Units)</v>
      </c>
      <c r="H256">
        <v>5</v>
      </c>
      <c r="I256">
        <v>338.11</v>
      </c>
      <c r="J256">
        <f>IF(ISBLANK(I256), ROUND(I256/ABS(VALUE(_xlfn.TEXTBEFORE(F256&amp;" ", " "))), 2), ABS(VALUE(SUBSTITUTE(I256, "$", ""))))</f>
        <v>338.11</v>
      </c>
      <c r="K256">
        <f>ROUND(Sheet1[[#This Row],[CleanedUnits_sold]]*Sheet1[[#This Row],[Cleaned_Unit_Price]],2)</f>
        <v>1690.55</v>
      </c>
      <c r="L256">
        <v>1304.9100000000001</v>
      </c>
      <c r="M256" s="1" t="s">
        <v>511</v>
      </c>
      <c r="N256" s="1" t="s">
        <v>50</v>
      </c>
      <c r="O256" s="1" t="s">
        <v>511</v>
      </c>
    </row>
    <row r="257" spans="1:15" x14ac:dyDescent="0.35">
      <c r="A257" s="1" t="s">
        <v>512</v>
      </c>
      <c r="B257" s="2">
        <v>45167</v>
      </c>
      <c r="C257" s="1" t="s">
        <v>19</v>
      </c>
      <c r="D257" s="1" t="s">
        <v>32</v>
      </c>
      <c r="E257" s="1" t="str">
        <f>TRIM(CLEAN(Sheet1[[#This Row],[Category]]))</f>
        <v>Furniture</v>
      </c>
      <c r="G257" t="str">
        <f t="shared" si="3"/>
        <v>2. Mid-Market (4-7 Units)</v>
      </c>
      <c r="H257">
        <v>6</v>
      </c>
      <c r="I257">
        <v>485.63</v>
      </c>
      <c r="J257">
        <f>IF(ISBLANK(I257), ROUND(I257/ABS(VALUE(_xlfn.TEXTBEFORE(F257&amp;" ", " "))), 2), ABS(VALUE(SUBSTITUTE(I257, "$", ""))))</f>
        <v>485.63</v>
      </c>
      <c r="K257">
        <f>ROUND(Sheet1[[#This Row],[CleanedUnits_sold]]*Sheet1[[#This Row],[Cleaned_Unit_Price]],2)</f>
        <v>2913.78</v>
      </c>
      <c r="L257">
        <v>2913.78</v>
      </c>
      <c r="M257" s="1" t="s">
        <v>513</v>
      </c>
      <c r="N257" s="1" t="s">
        <v>21</v>
      </c>
      <c r="O257" s="1" t="s">
        <v>513</v>
      </c>
    </row>
    <row r="258" spans="1:15" x14ac:dyDescent="0.35">
      <c r="A258" s="1" t="s">
        <v>514</v>
      </c>
      <c r="B258" s="2">
        <v>1</v>
      </c>
      <c r="C258" s="1" t="s">
        <v>19</v>
      </c>
      <c r="D258" s="1" t="s">
        <v>12</v>
      </c>
      <c r="E258" s="1" t="str">
        <f>TRIM(CLEAN(Sheet1[[#This Row],[Category]]))</f>
        <v>Office Supplies</v>
      </c>
      <c r="F258">
        <v>3</v>
      </c>
      <c r="G258" t="str">
        <f t="shared" ref="G258:G321" si="4">IF(H258=0, "Non-Billable / Zero", IF(H258&lt;=3, "1. Retail (1-3 Units)", IF(H258&lt;=7, "2. Mid-Market (4-7 Units)", "3. Wholesale / Bulk (8+ Units)")))</f>
        <v>1. Retail (1-3 Units)</v>
      </c>
      <c r="H258">
        <v>3</v>
      </c>
      <c r="I258">
        <v>96.1</v>
      </c>
      <c r="J258">
        <f>IF(ISBLANK(I258), ROUND(I258/ABS(VALUE(_xlfn.TEXTBEFORE(F258&amp;" ", " "))), 2), ABS(VALUE(SUBSTITUTE(I258, "$", ""))))</f>
        <v>96.1</v>
      </c>
      <c r="K258">
        <f>ROUND(Sheet1[[#This Row],[CleanedUnits_sold]]*Sheet1[[#This Row],[Cleaned_Unit_Price]],2)</f>
        <v>288.3</v>
      </c>
      <c r="L258">
        <v>545.14</v>
      </c>
      <c r="M258" s="1" t="s">
        <v>515</v>
      </c>
      <c r="N258" s="1" t="s">
        <v>38</v>
      </c>
      <c r="O258" s="1" t="s">
        <v>515</v>
      </c>
    </row>
    <row r="259" spans="1:15" x14ac:dyDescent="0.35">
      <c r="A259" s="1" t="s">
        <v>516</v>
      </c>
      <c r="B259" s="2">
        <v>45071</v>
      </c>
      <c r="C259" s="1" t="s">
        <v>23</v>
      </c>
      <c r="D259" s="1" t="s">
        <v>32</v>
      </c>
      <c r="E259" s="1" t="str">
        <f>TRIM(CLEAN(Sheet1[[#This Row],[Category]]))</f>
        <v>Furniture</v>
      </c>
      <c r="G259" t="str">
        <f t="shared" si="4"/>
        <v>2. Mid-Market (4-7 Units)</v>
      </c>
      <c r="H259">
        <v>4</v>
      </c>
      <c r="I259">
        <v>302.58999999999997</v>
      </c>
      <c r="J259">
        <f>IF(ISBLANK(I259), ROUND(I259/ABS(VALUE(_xlfn.TEXTBEFORE(F259&amp;" ", " "))), 2), ABS(VALUE(SUBSTITUTE(I259, "$", ""))))</f>
        <v>302.58999999999997</v>
      </c>
      <c r="K259">
        <f>ROUND(Sheet1[[#This Row],[CleanedUnits_sold]]*Sheet1[[#This Row],[Cleaned_Unit_Price]],2)</f>
        <v>1210.3599999999999</v>
      </c>
      <c r="L259">
        <v>1210.3599999999999</v>
      </c>
      <c r="M259" s="1" t="s">
        <v>517</v>
      </c>
      <c r="N259" s="1" t="s">
        <v>26</v>
      </c>
      <c r="O259" s="1" t="s">
        <v>517</v>
      </c>
    </row>
    <row r="260" spans="1:15" x14ac:dyDescent="0.35">
      <c r="A260" s="1" t="s">
        <v>518</v>
      </c>
      <c r="B260" s="2">
        <v>1</v>
      </c>
      <c r="C260" s="1" t="s">
        <v>19</v>
      </c>
      <c r="D260" s="1" t="s">
        <v>12</v>
      </c>
      <c r="E260" s="1" t="str">
        <f>TRIM(CLEAN(Sheet1[[#This Row],[Category]]))</f>
        <v>Office Supplies</v>
      </c>
      <c r="F260">
        <v>5</v>
      </c>
      <c r="G260" t="str">
        <f t="shared" si="4"/>
        <v>2. Mid-Market (4-7 Units)</v>
      </c>
      <c r="H260">
        <v>5</v>
      </c>
      <c r="I260">
        <v>217.85</v>
      </c>
      <c r="J260">
        <f>IF(ISBLANK(I260), ROUND(I260/ABS(VALUE(_xlfn.TEXTBEFORE(F260&amp;" ", " "))), 2), ABS(VALUE(SUBSTITUTE(I260, "$", ""))))</f>
        <v>217.85</v>
      </c>
      <c r="K260">
        <f>ROUND(Sheet1[[#This Row],[CleanedUnits_sold]]*Sheet1[[#This Row],[Cleaned_Unit_Price]],2)</f>
        <v>1089.25</v>
      </c>
      <c r="L260">
        <v>1089.25</v>
      </c>
      <c r="M260" s="1"/>
      <c r="N260" s="1" t="s">
        <v>50</v>
      </c>
      <c r="O260" s="1" t="s">
        <v>131</v>
      </c>
    </row>
    <row r="261" spans="1:15" x14ac:dyDescent="0.35">
      <c r="A261" s="1" t="s">
        <v>519</v>
      </c>
      <c r="B261" s="2">
        <v>1</v>
      </c>
      <c r="C261" s="1" t="s">
        <v>11</v>
      </c>
      <c r="D261" s="1" t="s">
        <v>12</v>
      </c>
      <c r="E261" s="1" t="str">
        <f>TRIM(CLEAN(Sheet1[[#This Row],[Category]]))</f>
        <v>Office Supplies</v>
      </c>
      <c r="F261">
        <v>8</v>
      </c>
      <c r="G261" t="str">
        <f t="shared" si="4"/>
        <v>3. Wholesale / Bulk (8+ Units)</v>
      </c>
      <c r="H261">
        <v>8</v>
      </c>
      <c r="I261">
        <v>228.88</v>
      </c>
      <c r="J261">
        <f>IF(ISBLANK(I261), ROUND(I261/ABS(VALUE(_xlfn.TEXTBEFORE(F261&amp;" ", " "))), 2), ABS(VALUE(SUBSTITUTE(I261, "$", ""))))</f>
        <v>228.88</v>
      </c>
      <c r="K261">
        <f>ROUND(Sheet1[[#This Row],[CleanedUnits_sold]]*Sheet1[[#This Row],[Cleaned_Unit_Price]],2)</f>
        <v>1831.04</v>
      </c>
      <c r="L261">
        <v>1831.04</v>
      </c>
      <c r="M261" s="1" t="s">
        <v>520</v>
      </c>
      <c r="N261" s="1" t="s">
        <v>14</v>
      </c>
      <c r="O261" s="1" t="s">
        <v>520</v>
      </c>
    </row>
    <row r="262" spans="1:15" x14ac:dyDescent="0.35">
      <c r="A262" s="1" t="s">
        <v>521</v>
      </c>
      <c r="B262" s="2">
        <v>45087</v>
      </c>
      <c r="C262" s="1" t="s">
        <v>16</v>
      </c>
      <c r="D262" s="1" t="s">
        <v>12</v>
      </c>
      <c r="E262" s="1" t="str">
        <f>TRIM(CLEAN(Sheet1[[#This Row],[Category]]))</f>
        <v>Office Supplies</v>
      </c>
      <c r="F262">
        <v>7</v>
      </c>
      <c r="G262" t="str">
        <f t="shared" si="4"/>
        <v>2. Mid-Market (4-7 Units)</v>
      </c>
      <c r="H262">
        <v>7</v>
      </c>
      <c r="I262">
        <v>-82.94</v>
      </c>
      <c r="J262">
        <f>IF(ISBLANK(I262), ROUND(I262/ABS(VALUE(_xlfn.TEXTBEFORE(F262&amp;" ", " "))), 2), ABS(VALUE(SUBSTITUTE(I262, "$", ""))))</f>
        <v>82.94</v>
      </c>
      <c r="K262">
        <f>ROUND(Sheet1[[#This Row],[CleanedUnits_sold]]*Sheet1[[#This Row],[Cleaned_Unit_Price]],2)</f>
        <v>580.58000000000004</v>
      </c>
      <c r="L262">
        <v>1164.58</v>
      </c>
      <c r="M262" s="1" t="s">
        <v>522</v>
      </c>
      <c r="N262" s="1" t="s">
        <v>26</v>
      </c>
      <c r="O262" s="1" t="s">
        <v>522</v>
      </c>
    </row>
    <row r="263" spans="1:15" x14ac:dyDescent="0.35">
      <c r="A263" s="1" t="s">
        <v>523</v>
      </c>
      <c r="B263" s="2">
        <v>1</v>
      </c>
      <c r="C263" s="1" t="s">
        <v>19</v>
      </c>
      <c r="D263" s="1" t="s">
        <v>12</v>
      </c>
      <c r="E263" s="1" t="str">
        <f>TRIM(CLEAN(Sheet1[[#This Row],[Category]]))</f>
        <v>Office Supplies</v>
      </c>
      <c r="F263">
        <v>5</v>
      </c>
      <c r="G263" t="str">
        <f t="shared" si="4"/>
        <v>2. Mid-Market (4-7 Units)</v>
      </c>
      <c r="H263">
        <v>5</v>
      </c>
      <c r="I263">
        <v>414.32</v>
      </c>
      <c r="J263">
        <f>IF(ISBLANK(I263), ROUND(I263/ABS(VALUE(_xlfn.TEXTBEFORE(F263&amp;" ", " "))), 2), ABS(VALUE(SUBSTITUTE(I263, "$", ""))))</f>
        <v>414.32</v>
      </c>
      <c r="K263">
        <f>ROUND(Sheet1[[#This Row],[CleanedUnits_sold]]*Sheet1[[#This Row],[Cleaned_Unit_Price]],2)</f>
        <v>2071.6</v>
      </c>
      <c r="L263">
        <v>2071.6</v>
      </c>
      <c r="M263" s="1"/>
      <c r="N263" s="1" t="s">
        <v>14</v>
      </c>
      <c r="O263" s="1" t="s">
        <v>131</v>
      </c>
    </row>
    <row r="264" spans="1:15" x14ac:dyDescent="0.35">
      <c r="A264" s="1" t="s">
        <v>524</v>
      </c>
      <c r="B264" s="2">
        <v>1</v>
      </c>
      <c r="C264" s="1" t="s">
        <v>16</v>
      </c>
      <c r="D264" s="1" t="s">
        <v>24</v>
      </c>
      <c r="E264" s="1" t="str">
        <f>TRIM(CLEAN(Sheet1[[#This Row],[Category]]))</f>
        <v>Electronics</v>
      </c>
      <c r="F264">
        <v>4</v>
      </c>
      <c r="G264" t="str">
        <f t="shared" si="4"/>
        <v>2. Mid-Market (4-7 Units)</v>
      </c>
      <c r="H264">
        <v>4</v>
      </c>
      <c r="I264">
        <v>247.78</v>
      </c>
      <c r="J264">
        <f>IF(ISBLANK(I264), ROUND(I264/ABS(VALUE(_xlfn.TEXTBEFORE(F264&amp;" ", " "))), 2), ABS(VALUE(SUBSTITUTE(I264, "$", ""))))</f>
        <v>247.78</v>
      </c>
      <c r="K264">
        <f>ROUND(Sheet1[[#This Row],[CleanedUnits_sold]]*Sheet1[[#This Row],[Cleaned_Unit_Price]],2)</f>
        <v>991.12</v>
      </c>
      <c r="L264">
        <v>991.12</v>
      </c>
      <c r="M264" s="1" t="s">
        <v>525</v>
      </c>
      <c r="N264" s="1" t="s">
        <v>26</v>
      </c>
      <c r="O264" s="1" t="s">
        <v>525</v>
      </c>
    </row>
    <row r="265" spans="1:15" x14ac:dyDescent="0.35">
      <c r="A265" s="1" t="s">
        <v>526</v>
      </c>
      <c r="B265" s="2">
        <v>45084</v>
      </c>
      <c r="C265" s="1" t="s">
        <v>11</v>
      </c>
      <c r="D265" s="1" t="s">
        <v>24</v>
      </c>
      <c r="E265" s="1" t="str">
        <f>TRIM(CLEAN(Sheet1[[#This Row],[Category]]))</f>
        <v>Electronics</v>
      </c>
      <c r="F265">
        <v>6</v>
      </c>
      <c r="G265" t="str">
        <f t="shared" si="4"/>
        <v>2. Mid-Market (4-7 Units)</v>
      </c>
      <c r="H265">
        <v>6</v>
      </c>
      <c r="I265">
        <v>276.27</v>
      </c>
      <c r="J265">
        <f>IF(ISBLANK(I265), ROUND(I265/ABS(VALUE(_xlfn.TEXTBEFORE(F265&amp;" ", " "))), 2), ABS(VALUE(SUBSTITUTE(I265, "$", ""))))</f>
        <v>276.27</v>
      </c>
      <c r="K265">
        <f>ROUND(Sheet1[[#This Row],[CleanedUnits_sold]]*Sheet1[[#This Row],[Cleaned_Unit_Price]],2)</f>
        <v>1657.62</v>
      </c>
      <c r="L265">
        <v>1657.62</v>
      </c>
      <c r="M265" s="1" t="s">
        <v>527</v>
      </c>
      <c r="N265" s="1" t="s">
        <v>26</v>
      </c>
      <c r="O265" s="1" t="s">
        <v>527</v>
      </c>
    </row>
    <row r="266" spans="1:15" x14ac:dyDescent="0.35">
      <c r="A266" s="1" t="s">
        <v>528</v>
      </c>
      <c r="B266" s="2">
        <v>45166</v>
      </c>
      <c r="C266" s="1" t="s">
        <v>16</v>
      </c>
      <c r="D266" s="1" t="s">
        <v>24</v>
      </c>
      <c r="E266" s="1" t="str">
        <f>TRIM(CLEAN(Sheet1[[#This Row],[Category]]))</f>
        <v>Electronics</v>
      </c>
      <c r="F266">
        <v>8</v>
      </c>
      <c r="G266" t="str">
        <f t="shared" si="4"/>
        <v>3. Wholesale / Bulk (8+ Units)</v>
      </c>
      <c r="H266">
        <v>8</v>
      </c>
      <c r="J266">
        <f>IF(ISBLANK(I266), ROUND(I266/ABS(VALUE(_xlfn.TEXTBEFORE(F266&amp;" ", " "))), 2), ABS(VALUE(SUBSTITUTE(I266, "$", ""))))</f>
        <v>0</v>
      </c>
      <c r="K266">
        <f>ROUND(Sheet1[[#This Row],[CleanedUnits_sold]]*Sheet1[[#This Row],[Cleaned_Unit_Price]],2)</f>
        <v>0</v>
      </c>
      <c r="L266">
        <v>1274.6400000000001</v>
      </c>
      <c r="M266" s="1" t="s">
        <v>529</v>
      </c>
      <c r="N266" s="1" t="s">
        <v>14</v>
      </c>
      <c r="O266" s="1" t="s">
        <v>529</v>
      </c>
    </row>
    <row r="267" spans="1:15" x14ac:dyDescent="0.35">
      <c r="A267" s="1" t="s">
        <v>530</v>
      </c>
      <c r="B267" s="2">
        <v>45066</v>
      </c>
      <c r="C267" s="1" t="s">
        <v>19</v>
      </c>
      <c r="D267" s="1" t="s">
        <v>24</v>
      </c>
      <c r="E267" s="1" t="str">
        <f>TRIM(CLEAN(Sheet1[[#This Row],[Category]]))</f>
        <v>Electronics</v>
      </c>
      <c r="F267">
        <v>4</v>
      </c>
      <c r="G267" t="str">
        <f t="shared" si="4"/>
        <v>2. Mid-Market (4-7 Units)</v>
      </c>
      <c r="H267">
        <v>4</v>
      </c>
      <c r="I267">
        <v>99.09</v>
      </c>
      <c r="J267">
        <f>IF(ISBLANK(I267), ROUND(I267/ABS(VALUE(_xlfn.TEXTBEFORE(F267&amp;" ", " "))), 2), ABS(VALUE(SUBSTITUTE(I267, "$", ""))))</f>
        <v>99.09</v>
      </c>
      <c r="K267">
        <f>ROUND(Sheet1[[#This Row],[CleanedUnits_sold]]*Sheet1[[#This Row],[Cleaned_Unit_Price]],2)</f>
        <v>396.36</v>
      </c>
      <c r="L267">
        <v>396.36</v>
      </c>
      <c r="M267" s="1" t="s">
        <v>531</v>
      </c>
      <c r="N267" s="1" t="s">
        <v>14</v>
      </c>
      <c r="O267" s="1" t="s">
        <v>531</v>
      </c>
    </row>
    <row r="268" spans="1:15" x14ac:dyDescent="0.35">
      <c r="A268" s="1" t="s">
        <v>532</v>
      </c>
      <c r="B268" s="2">
        <v>45233</v>
      </c>
      <c r="C268" s="1" t="s">
        <v>16</v>
      </c>
      <c r="D268" s="1" t="s">
        <v>46</v>
      </c>
      <c r="E268" s="1" t="str">
        <f>TRIM(CLEAN(Sheet1[[#This Row],[Category]]))</f>
        <v>Furniture</v>
      </c>
      <c r="F268">
        <v>3</v>
      </c>
      <c r="G268" t="str">
        <f t="shared" si="4"/>
        <v>1. Retail (1-3 Units)</v>
      </c>
      <c r="H268">
        <v>3</v>
      </c>
      <c r="I268">
        <v>52.1</v>
      </c>
      <c r="J268">
        <f>IF(ISBLANK(I268), ROUND(I268/ABS(VALUE(_xlfn.TEXTBEFORE(F268&amp;" ", " "))), 2), ABS(VALUE(SUBSTITUTE(I268, "$", ""))))</f>
        <v>52.1</v>
      </c>
      <c r="K268">
        <f>ROUND(Sheet1[[#This Row],[CleanedUnits_sold]]*Sheet1[[#This Row],[Cleaned_Unit_Price]],2)</f>
        <v>156.30000000000001</v>
      </c>
      <c r="L268">
        <v>491.06</v>
      </c>
      <c r="M268" s="1" t="s">
        <v>533</v>
      </c>
      <c r="N268" s="1" t="s">
        <v>14</v>
      </c>
      <c r="O268" s="1" t="s">
        <v>533</v>
      </c>
    </row>
    <row r="269" spans="1:15" x14ac:dyDescent="0.35">
      <c r="A269" s="1" t="s">
        <v>534</v>
      </c>
      <c r="B269" s="2">
        <v>45092</v>
      </c>
      <c r="C269" s="1" t="s">
        <v>11</v>
      </c>
      <c r="D269" s="1" t="s">
        <v>32</v>
      </c>
      <c r="E269" s="1" t="str">
        <f>TRIM(CLEAN(Sheet1[[#This Row],[Category]]))</f>
        <v>Furniture</v>
      </c>
      <c r="F269">
        <v>2</v>
      </c>
      <c r="G269" t="str">
        <f t="shared" si="4"/>
        <v>1. Retail (1-3 Units)</v>
      </c>
      <c r="H269">
        <v>2</v>
      </c>
      <c r="I269">
        <v>359.92</v>
      </c>
      <c r="J269">
        <f>IF(ISBLANK(I269), ROUND(I269/ABS(VALUE(_xlfn.TEXTBEFORE(F269&amp;" ", " "))), 2), ABS(VALUE(SUBSTITUTE(I269, "$", ""))))</f>
        <v>359.92</v>
      </c>
      <c r="K269">
        <f>ROUND(Sheet1[[#This Row],[CleanedUnits_sold]]*Sheet1[[#This Row],[Cleaned_Unit_Price]],2)</f>
        <v>719.84</v>
      </c>
      <c r="L269">
        <v>719.84</v>
      </c>
      <c r="M269" s="1" t="s">
        <v>535</v>
      </c>
      <c r="N269" s="1" t="s">
        <v>21</v>
      </c>
      <c r="O269" s="1" t="s">
        <v>535</v>
      </c>
    </row>
    <row r="270" spans="1:15" x14ac:dyDescent="0.35">
      <c r="A270" s="1" t="s">
        <v>536</v>
      </c>
      <c r="B270" s="2">
        <v>1</v>
      </c>
      <c r="C270" s="1" t="s">
        <v>19</v>
      </c>
      <c r="D270" s="1" t="s">
        <v>24</v>
      </c>
      <c r="E270" s="1" t="str">
        <f>TRIM(CLEAN(Sheet1[[#This Row],[Category]]))</f>
        <v>Electronics</v>
      </c>
      <c r="G270" t="str">
        <f t="shared" si="4"/>
        <v>1. Retail (1-3 Units)</v>
      </c>
      <c r="H270">
        <v>3</v>
      </c>
      <c r="I270">
        <v>106.15</v>
      </c>
      <c r="J270">
        <f>IF(ISBLANK(I270), ROUND(I270/ABS(VALUE(_xlfn.TEXTBEFORE(F270&amp;" ", " "))), 2), ABS(VALUE(SUBSTITUTE(I270, "$", ""))))</f>
        <v>106.15</v>
      </c>
      <c r="K270">
        <f>ROUND(Sheet1[[#This Row],[CleanedUnits_sold]]*Sheet1[[#This Row],[Cleaned_Unit_Price]],2)</f>
        <v>318.45</v>
      </c>
      <c r="L270">
        <v>318.45</v>
      </c>
      <c r="M270" s="1" t="s">
        <v>537</v>
      </c>
      <c r="N270" s="1" t="s">
        <v>14</v>
      </c>
      <c r="O270" s="1" t="s">
        <v>537</v>
      </c>
    </row>
    <row r="271" spans="1:15" x14ac:dyDescent="0.35">
      <c r="A271" s="1" t="s">
        <v>538</v>
      </c>
      <c r="B271" s="2">
        <v>45272</v>
      </c>
      <c r="C271" s="1" t="s">
        <v>16</v>
      </c>
      <c r="D271" s="1" t="s">
        <v>46</v>
      </c>
      <c r="E271" s="1" t="str">
        <f>TRIM(CLEAN(Sheet1[[#This Row],[Category]]))</f>
        <v>Furniture</v>
      </c>
      <c r="F271">
        <v>9</v>
      </c>
      <c r="G271" t="str">
        <f t="shared" si="4"/>
        <v>3. Wholesale / Bulk (8+ Units)</v>
      </c>
      <c r="H271">
        <v>9</v>
      </c>
      <c r="I271">
        <v>348.14</v>
      </c>
      <c r="J271">
        <f>IF(ISBLANK(I271), ROUND(I271/ABS(VALUE(_xlfn.TEXTBEFORE(F271&amp;" ", " "))), 2), ABS(VALUE(SUBSTITUTE(I271, "$", ""))))</f>
        <v>348.14</v>
      </c>
      <c r="K271">
        <f>ROUND(Sheet1[[#This Row],[CleanedUnits_sold]]*Sheet1[[#This Row],[Cleaned_Unit_Price]],2)</f>
        <v>3133.26</v>
      </c>
      <c r="L271">
        <v>3133.26</v>
      </c>
      <c r="M271" s="1" t="s">
        <v>539</v>
      </c>
      <c r="N271" s="1" t="s">
        <v>14</v>
      </c>
      <c r="O271" s="1" t="s">
        <v>539</v>
      </c>
    </row>
    <row r="272" spans="1:15" x14ac:dyDescent="0.35">
      <c r="A272" s="1" t="s">
        <v>540</v>
      </c>
      <c r="B272" s="2">
        <v>45271</v>
      </c>
      <c r="C272" s="1" t="s">
        <v>23</v>
      </c>
      <c r="D272" s="1" t="s">
        <v>24</v>
      </c>
      <c r="E272" s="1" t="str">
        <f>TRIM(CLEAN(Sheet1[[#This Row],[Category]]))</f>
        <v>Electronics</v>
      </c>
      <c r="F272">
        <v>5</v>
      </c>
      <c r="G272" t="str">
        <f t="shared" si="4"/>
        <v>2. Mid-Market (4-7 Units)</v>
      </c>
      <c r="H272">
        <v>5</v>
      </c>
      <c r="I272">
        <v>201.28</v>
      </c>
      <c r="J272">
        <f>IF(ISBLANK(I272), ROUND(I272/ABS(VALUE(_xlfn.TEXTBEFORE(F272&amp;" ", " "))), 2), ABS(VALUE(SUBSTITUTE(I272, "$", ""))))</f>
        <v>201.28</v>
      </c>
      <c r="K272">
        <f>ROUND(Sheet1[[#This Row],[CleanedUnits_sold]]*Sheet1[[#This Row],[Cleaned_Unit_Price]],2)</f>
        <v>1006.4</v>
      </c>
      <c r="L272">
        <v>1006.4</v>
      </c>
      <c r="M272" s="1" t="s">
        <v>541</v>
      </c>
      <c r="N272" s="1" t="s">
        <v>21</v>
      </c>
      <c r="O272" s="1" t="s">
        <v>541</v>
      </c>
    </row>
    <row r="273" spans="1:15" x14ac:dyDescent="0.35">
      <c r="A273" s="1" t="s">
        <v>542</v>
      </c>
      <c r="B273" s="2">
        <v>45016</v>
      </c>
      <c r="C273" s="1" t="s">
        <v>16</v>
      </c>
      <c r="D273" s="1" t="s">
        <v>12</v>
      </c>
      <c r="E273" s="1" t="str">
        <f>TRIM(CLEAN(Sheet1[[#This Row],[Category]]))</f>
        <v>Office Supplies</v>
      </c>
      <c r="F273">
        <v>4</v>
      </c>
      <c r="G273" t="str">
        <f t="shared" si="4"/>
        <v>2. Mid-Market (4-7 Units)</v>
      </c>
      <c r="H273">
        <v>4</v>
      </c>
      <c r="I273">
        <v>213.73</v>
      </c>
      <c r="J273">
        <f>IF(ISBLANK(I273), ROUND(I273/ABS(VALUE(_xlfn.TEXTBEFORE(F273&amp;" ", " "))), 2), ABS(VALUE(SUBSTITUTE(I273, "$", ""))))</f>
        <v>213.73</v>
      </c>
      <c r="K273">
        <f>ROUND(Sheet1[[#This Row],[CleanedUnits_sold]]*Sheet1[[#This Row],[Cleaned_Unit_Price]],2)</f>
        <v>854.92</v>
      </c>
      <c r="L273">
        <v>854.92</v>
      </c>
      <c r="M273" s="1" t="s">
        <v>543</v>
      </c>
      <c r="N273" s="1" t="s">
        <v>50</v>
      </c>
      <c r="O273" s="1" t="s">
        <v>543</v>
      </c>
    </row>
    <row r="274" spans="1:15" x14ac:dyDescent="0.35">
      <c r="A274" s="1" t="s">
        <v>544</v>
      </c>
      <c r="B274" s="2">
        <v>45153</v>
      </c>
      <c r="C274" s="1" t="s">
        <v>11</v>
      </c>
      <c r="D274" s="1" t="s">
        <v>24</v>
      </c>
      <c r="E274" s="1" t="str">
        <f>TRIM(CLEAN(Sheet1[[#This Row],[Category]]))</f>
        <v>Electronics</v>
      </c>
      <c r="F274">
        <v>-10</v>
      </c>
      <c r="G274" t="str">
        <f t="shared" si="4"/>
        <v>3. Wholesale / Bulk (8+ Units)</v>
      </c>
      <c r="H274">
        <v>10</v>
      </c>
      <c r="I274">
        <v>239.9</v>
      </c>
      <c r="J274">
        <f>IF(ISBLANK(I274), ROUND(I274/ABS(VALUE(_xlfn.TEXTBEFORE(F274&amp;" ", " "))), 2), ABS(VALUE(SUBSTITUTE(I274, "$", ""))))</f>
        <v>239.9</v>
      </c>
      <c r="K274">
        <f>ROUND(Sheet1[[#This Row],[CleanedUnits_sold]]*Sheet1[[#This Row],[Cleaned_Unit_Price]],2)</f>
        <v>2399</v>
      </c>
      <c r="L274">
        <v>1679.3</v>
      </c>
      <c r="M274" s="1" t="s">
        <v>545</v>
      </c>
      <c r="N274" s="1" t="s">
        <v>14</v>
      </c>
      <c r="O274" s="1" t="s">
        <v>545</v>
      </c>
    </row>
    <row r="275" spans="1:15" x14ac:dyDescent="0.35">
      <c r="A275" s="1" t="s">
        <v>546</v>
      </c>
      <c r="B275" s="2">
        <v>45226</v>
      </c>
      <c r="C275" s="1" t="s">
        <v>23</v>
      </c>
      <c r="D275" s="1" t="s">
        <v>24</v>
      </c>
      <c r="E275" s="1" t="str">
        <f>TRIM(CLEAN(Sheet1[[#This Row],[Category]]))</f>
        <v>Electronics</v>
      </c>
      <c r="F275">
        <v>8</v>
      </c>
      <c r="G275" t="str">
        <f t="shared" si="4"/>
        <v>3. Wholesale / Bulk (8+ Units)</v>
      </c>
      <c r="H275">
        <v>8</v>
      </c>
      <c r="I275">
        <v>190.18</v>
      </c>
      <c r="J275">
        <f>IF(ISBLANK(I275), ROUND(I275/ABS(VALUE(_xlfn.TEXTBEFORE(F275&amp;" ", " "))), 2), ABS(VALUE(SUBSTITUTE(I275, "$", ""))))</f>
        <v>190.18</v>
      </c>
      <c r="K275">
        <f>ROUND(Sheet1[[#This Row],[CleanedUnits_sold]]*Sheet1[[#This Row],[Cleaned_Unit_Price]],2)</f>
        <v>1521.44</v>
      </c>
      <c r="L275">
        <v>1814.69</v>
      </c>
      <c r="M275" s="1" t="s">
        <v>547</v>
      </c>
      <c r="N275" s="1" t="s">
        <v>50</v>
      </c>
      <c r="O275" s="1" t="s">
        <v>547</v>
      </c>
    </row>
    <row r="276" spans="1:15" x14ac:dyDescent="0.35">
      <c r="A276" s="1" t="s">
        <v>548</v>
      </c>
      <c r="B276" s="2">
        <v>45178</v>
      </c>
      <c r="C276" s="1" t="s">
        <v>11</v>
      </c>
      <c r="D276" s="1" t="s">
        <v>24</v>
      </c>
      <c r="E276" s="1" t="str">
        <f>TRIM(CLEAN(Sheet1[[#This Row],[Category]]))</f>
        <v>Electronics</v>
      </c>
      <c r="F276">
        <v>5</v>
      </c>
      <c r="G276" t="str">
        <f t="shared" si="4"/>
        <v>2. Mid-Market (4-7 Units)</v>
      </c>
      <c r="H276">
        <v>5</v>
      </c>
      <c r="I276">
        <v>59.3</v>
      </c>
      <c r="J276">
        <f>IF(ISBLANK(I276), ROUND(I276/ABS(VALUE(_xlfn.TEXTBEFORE(F276&amp;" ", " "))), 2), ABS(VALUE(SUBSTITUTE(I276, "$", ""))))</f>
        <v>59.3</v>
      </c>
      <c r="K276">
        <f>ROUND(Sheet1[[#This Row],[CleanedUnits_sold]]*Sheet1[[#This Row],[Cleaned_Unit_Price]],2)</f>
        <v>296.5</v>
      </c>
      <c r="L276">
        <v>237.2</v>
      </c>
      <c r="M276" s="1" t="s">
        <v>84</v>
      </c>
      <c r="N276" s="1" t="s">
        <v>50</v>
      </c>
      <c r="O276" s="1" t="s">
        <v>85</v>
      </c>
    </row>
    <row r="277" spans="1:15" x14ac:dyDescent="0.35">
      <c r="A277" s="1" t="s">
        <v>549</v>
      </c>
      <c r="B277" s="2">
        <v>45136</v>
      </c>
      <c r="C277" s="1" t="s">
        <v>11</v>
      </c>
      <c r="D277" s="1" t="s">
        <v>12</v>
      </c>
      <c r="E277" s="1" t="str">
        <f>TRIM(CLEAN(Sheet1[[#This Row],[Category]]))</f>
        <v>Office Supplies</v>
      </c>
      <c r="F277">
        <v>4</v>
      </c>
      <c r="G277" t="str">
        <f t="shared" si="4"/>
        <v>2. Mid-Market (4-7 Units)</v>
      </c>
      <c r="H277">
        <v>4</v>
      </c>
      <c r="I277">
        <v>161.72</v>
      </c>
      <c r="J277">
        <f>IF(ISBLANK(I277), ROUND(I277/ABS(VALUE(_xlfn.TEXTBEFORE(F277&amp;" ", " "))), 2), ABS(VALUE(SUBSTITUTE(I277, "$", ""))))</f>
        <v>161.72</v>
      </c>
      <c r="K277">
        <f>ROUND(Sheet1[[#This Row],[CleanedUnits_sold]]*Sheet1[[#This Row],[Cleaned_Unit_Price]],2)</f>
        <v>646.88</v>
      </c>
      <c r="L277">
        <v>646.88</v>
      </c>
      <c r="M277" s="1" t="s">
        <v>550</v>
      </c>
      <c r="N277" s="1" t="s">
        <v>26</v>
      </c>
      <c r="O277" s="1" t="s">
        <v>550</v>
      </c>
    </row>
    <row r="278" spans="1:15" x14ac:dyDescent="0.35">
      <c r="A278" s="1" t="s">
        <v>551</v>
      </c>
      <c r="B278" s="2">
        <v>45282</v>
      </c>
      <c r="C278" s="1" t="s">
        <v>23</v>
      </c>
      <c r="D278" s="1" t="s">
        <v>24</v>
      </c>
      <c r="E278" s="1" t="str">
        <f>TRIM(CLEAN(Sheet1[[#This Row],[Category]]))</f>
        <v>Electronics</v>
      </c>
      <c r="F278">
        <v>5</v>
      </c>
      <c r="G278" t="str">
        <f t="shared" si="4"/>
        <v>2. Mid-Market (4-7 Units)</v>
      </c>
      <c r="H278">
        <v>5</v>
      </c>
      <c r="I278">
        <v>336.23</v>
      </c>
      <c r="J278">
        <f>IF(ISBLANK(I278), ROUND(I278/ABS(VALUE(_xlfn.TEXTBEFORE(F278&amp;" ", " "))), 2), ABS(VALUE(SUBSTITUTE(I278, "$", ""))))</f>
        <v>336.23</v>
      </c>
      <c r="K278">
        <f>ROUND(Sheet1[[#This Row],[CleanedUnits_sold]]*Sheet1[[#This Row],[Cleaned_Unit_Price]],2)</f>
        <v>1681.15</v>
      </c>
      <c r="L278">
        <v>1681.15</v>
      </c>
      <c r="M278" s="1" t="s">
        <v>552</v>
      </c>
      <c r="N278" s="1" t="s">
        <v>26</v>
      </c>
      <c r="O278" s="1" t="s">
        <v>552</v>
      </c>
    </row>
    <row r="279" spans="1:15" x14ac:dyDescent="0.35">
      <c r="A279" s="1" t="s">
        <v>553</v>
      </c>
      <c r="B279" s="2">
        <v>45132</v>
      </c>
      <c r="C279" s="1" t="s">
        <v>23</v>
      </c>
      <c r="D279" s="1" t="s">
        <v>12</v>
      </c>
      <c r="E279" s="1" t="str">
        <f>TRIM(CLEAN(Sheet1[[#This Row],[Category]]))</f>
        <v>Office Supplies</v>
      </c>
      <c r="F279">
        <v>5</v>
      </c>
      <c r="G279" t="str">
        <f t="shared" si="4"/>
        <v>2. Mid-Market (4-7 Units)</v>
      </c>
      <c r="H279">
        <v>5</v>
      </c>
      <c r="I279">
        <v>150.25</v>
      </c>
      <c r="J279">
        <f>IF(ISBLANK(I279), ROUND(I279/ABS(VALUE(_xlfn.TEXTBEFORE(F279&amp;" ", " "))), 2), ABS(VALUE(SUBSTITUTE(I279, "$", ""))))</f>
        <v>150.25</v>
      </c>
      <c r="K279">
        <f>ROUND(Sheet1[[#This Row],[CleanedUnits_sold]]*Sheet1[[#This Row],[Cleaned_Unit_Price]],2)</f>
        <v>751.25</v>
      </c>
      <c r="L279">
        <v>751.25</v>
      </c>
      <c r="M279" s="1" t="s">
        <v>554</v>
      </c>
      <c r="N279" s="1" t="s">
        <v>26</v>
      </c>
      <c r="O279" s="1" t="s">
        <v>554</v>
      </c>
    </row>
    <row r="280" spans="1:15" x14ac:dyDescent="0.35">
      <c r="A280" s="1" t="s">
        <v>555</v>
      </c>
      <c r="B280" s="2">
        <v>45088</v>
      </c>
      <c r="C280" s="1" t="s">
        <v>11</v>
      </c>
      <c r="D280" s="1" t="s">
        <v>24</v>
      </c>
      <c r="E280" s="1" t="str">
        <f>TRIM(CLEAN(Sheet1[[#This Row],[Category]]))</f>
        <v>Electronics</v>
      </c>
      <c r="F280">
        <v>6</v>
      </c>
      <c r="G280" t="str">
        <f t="shared" si="4"/>
        <v>2. Mid-Market (4-7 Units)</v>
      </c>
      <c r="H280">
        <v>6</v>
      </c>
      <c r="I280">
        <v>235.45</v>
      </c>
      <c r="J280">
        <f>IF(ISBLANK(I280), ROUND(I280/ABS(VALUE(_xlfn.TEXTBEFORE(F280&amp;" ", " "))), 2), ABS(VALUE(SUBSTITUTE(I280, "$", ""))))</f>
        <v>235.45</v>
      </c>
      <c r="K280">
        <f>ROUND(Sheet1[[#This Row],[CleanedUnits_sold]]*Sheet1[[#This Row],[Cleaned_Unit_Price]],2)</f>
        <v>1412.7</v>
      </c>
      <c r="L280">
        <v>1487.92</v>
      </c>
      <c r="M280" s="1" t="s">
        <v>556</v>
      </c>
      <c r="N280" s="1" t="s">
        <v>14</v>
      </c>
      <c r="O280" s="1" t="s">
        <v>556</v>
      </c>
    </row>
    <row r="281" spans="1:15" x14ac:dyDescent="0.35">
      <c r="A281" s="1" t="s">
        <v>557</v>
      </c>
      <c r="B281" s="2">
        <v>45133</v>
      </c>
      <c r="C281" s="1" t="s">
        <v>58</v>
      </c>
      <c r="D281" s="1" t="s">
        <v>24</v>
      </c>
      <c r="E281" s="1" t="str">
        <f>TRIM(CLEAN(Sheet1[[#This Row],[Category]]))</f>
        <v>Electronics</v>
      </c>
      <c r="F281">
        <v>7</v>
      </c>
      <c r="G281" t="str">
        <f t="shared" si="4"/>
        <v>2. Mid-Market (4-7 Units)</v>
      </c>
      <c r="H281">
        <v>7</v>
      </c>
      <c r="I281">
        <v>104.79</v>
      </c>
      <c r="J281">
        <f>IF(ISBLANK(I281), ROUND(I281/ABS(VALUE(_xlfn.TEXTBEFORE(F281&amp;" ", " "))), 2), ABS(VALUE(SUBSTITUTE(I281, "$", ""))))</f>
        <v>104.79</v>
      </c>
      <c r="K281">
        <f>ROUND(Sheet1[[#This Row],[CleanedUnits_sold]]*Sheet1[[#This Row],[Cleaned_Unit_Price]],2)</f>
        <v>733.53</v>
      </c>
      <c r="L281">
        <v>733.53</v>
      </c>
      <c r="M281" s="1" t="s">
        <v>558</v>
      </c>
      <c r="N281" s="1" t="s">
        <v>50</v>
      </c>
      <c r="O281" s="1" t="s">
        <v>558</v>
      </c>
    </row>
    <row r="282" spans="1:15" x14ac:dyDescent="0.35">
      <c r="A282" s="1" t="s">
        <v>559</v>
      </c>
      <c r="B282" s="2">
        <v>45204</v>
      </c>
      <c r="C282" s="1" t="s">
        <v>11</v>
      </c>
      <c r="D282" s="1" t="s">
        <v>32</v>
      </c>
      <c r="E282" s="1" t="str">
        <f>TRIM(CLEAN(Sheet1[[#This Row],[Category]]))</f>
        <v>Furniture</v>
      </c>
      <c r="F282">
        <v>2</v>
      </c>
      <c r="G282" t="str">
        <f t="shared" si="4"/>
        <v>1. Retail (1-3 Units)</v>
      </c>
      <c r="H282">
        <v>2</v>
      </c>
      <c r="I282">
        <v>113.08</v>
      </c>
      <c r="J282">
        <f>IF(ISBLANK(I282), ROUND(I282/ABS(VALUE(_xlfn.TEXTBEFORE(F282&amp;" ", " "))), 2), ABS(VALUE(SUBSTITUTE(I282, "$", ""))))</f>
        <v>113.08</v>
      </c>
      <c r="K282">
        <f>ROUND(Sheet1[[#This Row],[CleanedUnits_sold]]*Sheet1[[#This Row],[Cleaned_Unit_Price]],2)</f>
        <v>226.16</v>
      </c>
      <c r="L282">
        <v>329.34</v>
      </c>
      <c r="M282" s="1" t="s">
        <v>560</v>
      </c>
      <c r="N282" s="1" t="s">
        <v>26</v>
      </c>
      <c r="O282" s="1" t="s">
        <v>560</v>
      </c>
    </row>
    <row r="283" spans="1:15" x14ac:dyDescent="0.35">
      <c r="A283" s="1" t="s">
        <v>561</v>
      </c>
      <c r="B283" s="2">
        <v>45023</v>
      </c>
      <c r="C283" s="1" t="s">
        <v>19</v>
      </c>
      <c r="D283" s="1" t="s">
        <v>24</v>
      </c>
      <c r="E283" s="1" t="str">
        <f>TRIM(CLEAN(Sheet1[[#This Row],[Category]]))</f>
        <v>Electronics</v>
      </c>
      <c r="F283">
        <v>1</v>
      </c>
      <c r="G283" t="str">
        <f t="shared" si="4"/>
        <v>1. Retail (1-3 Units)</v>
      </c>
      <c r="H283">
        <v>1</v>
      </c>
      <c r="I283">
        <v>21.29</v>
      </c>
      <c r="J283">
        <f>IF(ISBLANK(I283), ROUND(I283/ABS(VALUE(_xlfn.TEXTBEFORE(F283&amp;" ", " "))), 2), ABS(VALUE(SUBSTITUTE(I283, "$", ""))))</f>
        <v>21.29</v>
      </c>
      <c r="K283">
        <f>ROUND(Sheet1[[#This Row],[CleanedUnits_sold]]*Sheet1[[#This Row],[Cleaned_Unit_Price]],2)</f>
        <v>21.29</v>
      </c>
      <c r="L283">
        <v>21.29</v>
      </c>
      <c r="M283" s="1" t="s">
        <v>562</v>
      </c>
      <c r="N283" s="1" t="s">
        <v>26</v>
      </c>
      <c r="O283" s="1" t="s">
        <v>562</v>
      </c>
    </row>
    <row r="284" spans="1:15" x14ac:dyDescent="0.35">
      <c r="A284" s="1" t="s">
        <v>563</v>
      </c>
      <c r="B284" s="2">
        <v>45182</v>
      </c>
      <c r="C284" s="1" t="s">
        <v>16</v>
      </c>
      <c r="D284" s="1" t="s">
        <v>24</v>
      </c>
      <c r="E284" s="1" t="str">
        <f>TRIM(CLEAN(Sheet1[[#This Row],[Category]]))</f>
        <v>Electronics</v>
      </c>
      <c r="F284">
        <v>7</v>
      </c>
      <c r="G284" t="str">
        <f t="shared" si="4"/>
        <v>2. Mid-Market (4-7 Units)</v>
      </c>
      <c r="H284">
        <v>7</v>
      </c>
      <c r="I284">
        <v>449.41</v>
      </c>
      <c r="J284">
        <f>IF(ISBLANK(I284), ROUND(I284/ABS(VALUE(_xlfn.TEXTBEFORE(F284&amp;" ", " "))), 2), ABS(VALUE(SUBSTITUTE(I284, "$", ""))))</f>
        <v>449.41</v>
      </c>
      <c r="K284">
        <f>ROUND(Sheet1[[#This Row],[CleanedUnits_sold]]*Sheet1[[#This Row],[Cleaned_Unit_Price]],2)</f>
        <v>3145.87</v>
      </c>
      <c r="L284">
        <v>3145.87</v>
      </c>
      <c r="M284" s="1" t="s">
        <v>564</v>
      </c>
      <c r="N284" s="1" t="s">
        <v>26</v>
      </c>
      <c r="O284" s="1" t="s">
        <v>564</v>
      </c>
    </row>
    <row r="285" spans="1:15" x14ac:dyDescent="0.35">
      <c r="A285" s="1" t="s">
        <v>565</v>
      </c>
      <c r="B285" s="2">
        <v>45031</v>
      </c>
      <c r="C285" s="1" t="s">
        <v>19</v>
      </c>
      <c r="D285" s="1" t="s">
        <v>12</v>
      </c>
      <c r="E285" s="1" t="str">
        <f>TRIM(CLEAN(Sheet1[[#This Row],[Category]]))</f>
        <v>Office Supplies</v>
      </c>
      <c r="F285">
        <v>5</v>
      </c>
      <c r="G285" t="str">
        <f t="shared" si="4"/>
        <v>2. Mid-Market (4-7 Units)</v>
      </c>
      <c r="H285">
        <v>5</v>
      </c>
      <c r="I285">
        <v>113.25</v>
      </c>
      <c r="J285">
        <f>IF(ISBLANK(I285), ROUND(I285/ABS(VALUE(_xlfn.TEXTBEFORE(F285&amp;" ", " "))), 2), ABS(VALUE(SUBSTITUTE(I285, "$", ""))))</f>
        <v>113.25</v>
      </c>
      <c r="K285">
        <f>ROUND(Sheet1[[#This Row],[CleanedUnits_sold]]*Sheet1[[#This Row],[Cleaned_Unit_Price]],2)</f>
        <v>566.25</v>
      </c>
      <c r="M285" s="1" t="s">
        <v>566</v>
      </c>
      <c r="N285" s="1" t="s">
        <v>50</v>
      </c>
      <c r="O285" s="1" t="s">
        <v>566</v>
      </c>
    </row>
    <row r="286" spans="1:15" x14ac:dyDescent="0.35">
      <c r="A286" s="1" t="s">
        <v>567</v>
      </c>
      <c r="B286" s="2">
        <v>45074</v>
      </c>
      <c r="C286" s="1" t="s">
        <v>16</v>
      </c>
      <c r="D286" s="1" t="s">
        <v>32</v>
      </c>
      <c r="E286" s="1" t="str">
        <f>TRIM(CLEAN(Sheet1[[#This Row],[Category]]))</f>
        <v>Furniture</v>
      </c>
      <c r="F286">
        <v>-6</v>
      </c>
      <c r="G286" t="str">
        <f t="shared" si="4"/>
        <v>2. Mid-Market (4-7 Units)</v>
      </c>
      <c r="H286">
        <v>6</v>
      </c>
      <c r="I286" t="s">
        <v>332</v>
      </c>
      <c r="J286">
        <f>IF(ISBLANK(I286), ROUND(I286/ABS(VALUE(_xlfn.TEXTBEFORE(F286&amp;" ", " "))), 2), ABS(VALUE(SUBSTITUTE(I286, "$", ""))))</f>
        <v>250</v>
      </c>
      <c r="K286">
        <f>ROUND(Sheet1[[#This Row],[CleanedUnits_sold]]*Sheet1[[#This Row],[Cleaned_Unit_Price]],2)</f>
        <v>1500</v>
      </c>
      <c r="L286">
        <v>485.96</v>
      </c>
      <c r="M286" s="1" t="s">
        <v>568</v>
      </c>
      <c r="N286" s="1" t="s">
        <v>14</v>
      </c>
      <c r="O286" s="1" t="s">
        <v>568</v>
      </c>
    </row>
    <row r="287" spans="1:15" x14ac:dyDescent="0.35">
      <c r="A287" s="1" t="s">
        <v>569</v>
      </c>
      <c r="B287" s="2">
        <v>45175</v>
      </c>
      <c r="C287" s="1" t="s">
        <v>58</v>
      </c>
      <c r="D287" s="1" t="s">
        <v>46</v>
      </c>
      <c r="E287" s="1" t="str">
        <f>TRIM(CLEAN(Sheet1[[#This Row],[Category]]))</f>
        <v>Furniture</v>
      </c>
      <c r="F287">
        <v>4</v>
      </c>
      <c r="G287" t="str">
        <f t="shared" si="4"/>
        <v>2. Mid-Market (4-7 Units)</v>
      </c>
      <c r="H287">
        <v>4</v>
      </c>
      <c r="I287">
        <v>147</v>
      </c>
      <c r="J287">
        <f>IF(ISBLANK(I287), ROUND(I287/ABS(VALUE(_xlfn.TEXTBEFORE(F287&amp;" ", " "))), 2), ABS(VALUE(SUBSTITUTE(I287, "$", ""))))</f>
        <v>147</v>
      </c>
      <c r="K287">
        <f>ROUND(Sheet1[[#This Row],[CleanedUnits_sold]]*Sheet1[[#This Row],[Cleaned_Unit_Price]],2)</f>
        <v>588</v>
      </c>
      <c r="L287">
        <v>588</v>
      </c>
      <c r="M287" s="1" t="s">
        <v>570</v>
      </c>
      <c r="N287" s="1" t="s">
        <v>14</v>
      </c>
      <c r="O287" s="1" t="s">
        <v>570</v>
      </c>
    </row>
    <row r="288" spans="1:15" x14ac:dyDescent="0.35">
      <c r="A288" s="1" t="s">
        <v>571</v>
      </c>
      <c r="B288" s="2">
        <v>44990</v>
      </c>
      <c r="C288" s="1" t="s">
        <v>58</v>
      </c>
      <c r="D288" s="1" t="s">
        <v>32</v>
      </c>
      <c r="E288" s="1" t="str">
        <f>TRIM(CLEAN(Sheet1[[#This Row],[Category]]))</f>
        <v>Furniture</v>
      </c>
      <c r="F288">
        <v>8</v>
      </c>
      <c r="G288" t="str">
        <f t="shared" si="4"/>
        <v>3. Wholesale / Bulk (8+ Units)</v>
      </c>
      <c r="H288">
        <v>8</v>
      </c>
      <c r="I288">
        <v>323.24</v>
      </c>
      <c r="J288">
        <f>IF(ISBLANK(I288), ROUND(I288/ABS(VALUE(_xlfn.TEXTBEFORE(F288&amp;" ", " "))), 2), ABS(VALUE(SUBSTITUTE(I288, "$", ""))))</f>
        <v>323.24</v>
      </c>
      <c r="K288">
        <f>ROUND(Sheet1[[#This Row],[CleanedUnits_sold]]*Sheet1[[#This Row],[Cleaned_Unit_Price]],2)</f>
        <v>2585.92</v>
      </c>
      <c r="L288">
        <v>2585.92</v>
      </c>
      <c r="M288" s="1" t="s">
        <v>572</v>
      </c>
      <c r="N288" s="1" t="s">
        <v>14</v>
      </c>
      <c r="O288" s="1" t="s">
        <v>572</v>
      </c>
    </row>
    <row r="289" spans="1:15" x14ac:dyDescent="0.35">
      <c r="A289" s="1" t="s">
        <v>573</v>
      </c>
      <c r="B289" s="2">
        <v>44934</v>
      </c>
      <c r="C289" s="1" t="s">
        <v>16</v>
      </c>
      <c r="D289" s="1" t="s">
        <v>12</v>
      </c>
      <c r="E289" s="1" t="str">
        <f>TRIM(CLEAN(Sheet1[[#This Row],[Category]]))</f>
        <v>Office Supplies</v>
      </c>
      <c r="F289">
        <v>7</v>
      </c>
      <c r="G289" t="str">
        <f t="shared" si="4"/>
        <v>2. Mid-Market (4-7 Units)</v>
      </c>
      <c r="H289">
        <v>7</v>
      </c>
      <c r="I289">
        <v>46.82</v>
      </c>
      <c r="J289">
        <f>IF(ISBLANK(I289), ROUND(I289/ABS(VALUE(_xlfn.TEXTBEFORE(F289&amp;" ", " "))), 2), ABS(VALUE(SUBSTITUTE(I289, "$", ""))))</f>
        <v>46.82</v>
      </c>
      <c r="K289">
        <f>ROUND(Sheet1[[#This Row],[CleanedUnits_sold]]*Sheet1[[#This Row],[Cleaned_Unit_Price]],2)</f>
        <v>327.74</v>
      </c>
      <c r="L289">
        <v>327.74</v>
      </c>
      <c r="M289" s="1" t="s">
        <v>574</v>
      </c>
      <c r="N289" s="1" t="s">
        <v>50</v>
      </c>
      <c r="O289" s="1" t="s">
        <v>574</v>
      </c>
    </row>
    <row r="290" spans="1:15" x14ac:dyDescent="0.35">
      <c r="A290" s="1" t="s">
        <v>575</v>
      </c>
      <c r="B290" s="2">
        <v>1</v>
      </c>
      <c r="C290" s="1" t="s">
        <v>19</v>
      </c>
      <c r="D290" s="1" t="s">
        <v>24</v>
      </c>
      <c r="E290" s="1" t="str">
        <f>TRIM(CLEAN(Sheet1[[#This Row],[Category]]))</f>
        <v>Electronics</v>
      </c>
      <c r="F290">
        <v>1</v>
      </c>
      <c r="G290" t="str">
        <f t="shared" si="4"/>
        <v>1. Retail (1-3 Units)</v>
      </c>
      <c r="H290">
        <v>1</v>
      </c>
      <c r="I290">
        <v>-170.15</v>
      </c>
      <c r="J290">
        <f>IF(ISBLANK(I290), ROUND(I290/ABS(VALUE(_xlfn.TEXTBEFORE(F290&amp;" ", " "))), 2), ABS(VALUE(SUBSTITUTE(I290, "$", ""))))</f>
        <v>170.15</v>
      </c>
      <c r="K290">
        <f>ROUND(Sheet1[[#This Row],[CleanedUnits_sold]]*Sheet1[[#This Row],[Cleaned_Unit_Price]],2)</f>
        <v>170.15</v>
      </c>
      <c r="L290">
        <v>189.48</v>
      </c>
      <c r="M290" s="1" t="s">
        <v>576</v>
      </c>
      <c r="N290" s="1" t="s">
        <v>14</v>
      </c>
      <c r="O290" s="1" t="s">
        <v>576</v>
      </c>
    </row>
    <row r="291" spans="1:15" x14ac:dyDescent="0.35">
      <c r="A291" s="1" t="s">
        <v>577</v>
      </c>
      <c r="B291" s="2">
        <v>44985</v>
      </c>
      <c r="C291" s="1" t="s">
        <v>11</v>
      </c>
      <c r="D291" s="1" t="s">
        <v>24</v>
      </c>
      <c r="E291" s="1" t="str">
        <f>TRIM(CLEAN(Sheet1[[#This Row],[Category]]))</f>
        <v>Electronics</v>
      </c>
      <c r="F291">
        <v>9999</v>
      </c>
      <c r="G291" t="str">
        <f t="shared" si="4"/>
        <v>2. Mid-Market (4-7 Units)</v>
      </c>
      <c r="H291">
        <v>5</v>
      </c>
      <c r="I291">
        <v>325.93</v>
      </c>
      <c r="J291">
        <f>IF(ISBLANK(I291), ROUND(I291/ABS(VALUE(_xlfn.TEXTBEFORE(F291&amp;" ", " "))), 2), ABS(VALUE(SUBSTITUTE(I291, "$", ""))))</f>
        <v>325.93</v>
      </c>
      <c r="K291">
        <f>ROUND(Sheet1[[#This Row],[CleanedUnits_sold]]*Sheet1[[#This Row],[Cleaned_Unit_Price]],2)</f>
        <v>1629.65</v>
      </c>
      <c r="L291">
        <v>651.86</v>
      </c>
      <c r="M291" s="1" t="s">
        <v>578</v>
      </c>
      <c r="N291" s="1" t="s">
        <v>38</v>
      </c>
      <c r="O291" s="1" t="s">
        <v>578</v>
      </c>
    </row>
    <row r="292" spans="1:15" x14ac:dyDescent="0.35">
      <c r="A292" s="1" t="s">
        <v>579</v>
      </c>
      <c r="B292" s="2">
        <v>1</v>
      </c>
      <c r="C292" s="1" t="s">
        <v>19</v>
      </c>
      <c r="D292" s="1" t="s">
        <v>24</v>
      </c>
      <c r="E292" s="1" t="str">
        <f>TRIM(CLEAN(Sheet1[[#This Row],[Category]]))</f>
        <v>Electronics</v>
      </c>
      <c r="F292">
        <v>4</v>
      </c>
      <c r="G292" t="str">
        <f t="shared" si="4"/>
        <v>2. Mid-Market (4-7 Units)</v>
      </c>
      <c r="H292">
        <v>4</v>
      </c>
      <c r="I292">
        <v>176.43</v>
      </c>
      <c r="J292">
        <f>IF(ISBLANK(I292), ROUND(I292/ABS(VALUE(_xlfn.TEXTBEFORE(F292&amp;" ", " "))), 2), ABS(VALUE(SUBSTITUTE(I292, "$", ""))))</f>
        <v>176.43</v>
      </c>
      <c r="K292">
        <f>ROUND(Sheet1[[#This Row],[CleanedUnits_sold]]*Sheet1[[#This Row],[Cleaned_Unit_Price]],2)</f>
        <v>705.72</v>
      </c>
      <c r="L292">
        <v>705.72</v>
      </c>
      <c r="M292" s="1" t="s">
        <v>580</v>
      </c>
      <c r="N292" s="1" t="s">
        <v>26</v>
      </c>
      <c r="O292" s="1" t="s">
        <v>580</v>
      </c>
    </row>
    <row r="293" spans="1:15" x14ac:dyDescent="0.35">
      <c r="A293" s="1" t="s">
        <v>581</v>
      </c>
      <c r="B293" s="2">
        <v>45076</v>
      </c>
      <c r="C293" s="1" t="s">
        <v>16</v>
      </c>
      <c r="D293" s="1" t="s">
        <v>24</v>
      </c>
      <c r="E293" s="1" t="str">
        <f>TRIM(CLEAN(Sheet1[[#This Row],[Category]]))</f>
        <v>Electronics</v>
      </c>
      <c r="F293">
        <v>6</v>
      </c>
      <c r="G293" t="str">
        <f t="shared" si="4"/>
        <v>2. Mid-Market (4-7 Units)</v>
      </c>
      <c r="H293">
        <v>6</v>
      </c>
      <c r="I293">
        <v>356.89</v>
      </c>
      <c r="J293">
        <f>IF(ISBLANK(I293), ROUND(I293/ABS(VALUE(_xlfn.TEXTBEFORE(F293&amp;" ", " "))), 2), ABS(VALUE(SUBSTITUTE(I293, "$", ""))))</f>
        <v>356.89</v>
      </c>
      <c r="K293">
        <f>ROUND(Sheet1[[#This Row],[CleanedUnits_sold]]*Sheet1[[#This Row],[Cleaned_Unit_Price]],2)</f>
        <v>2141.34</v>
      </c>
      <c r="L293">
        <v>2141.34</v>
      </c>
      <c r="M293" s="1" t="s">
        <v>582</v>
      </c>
      <c r="N293" s="1" t="s">
        <v>50</v>
      </c>
      <c r="O293" s="1" t="s">
        <v>582</v>
      </c>
    </row>
    <row r="294" spans="1:15" x14ac:dyDescent="0.35">
      <c r="A294" s="1" t="s">
        <v>583</v>
      </c>
      <c r="B294" s="2">
        <v>45174</v>
      </c>
      <c r="C294" s="1" t="s">
        <v>23</v>
      </c>
      <c r="D294" s="1" t="s">
        <v>24</v>
      </c>
      <c r="E294" s="1" t="str">
        <f>TRIM(CLEAN(Sheet1[[#This Row],[Category]]))</f>
        <v>Electronics</v>
      </c>
      <c r="F294">
        <v>4</v>
      </c>
      <c r="G294" t="str">
        <f t="shared" si="4"/>
        <v>2. Mid-Market (4-7 Units)</v>
      </c>
      <c r="H294">
        <v>4</v>
      </c>
      <c r="I294">
        <v>283.14</v>
      </c>
      <c r="J294">
        <f>IF(ISBLANK(I294), ROUND(I294/ABS(VALUE(_xlfn.TEXTBEFORE(F294&amp;" ", " "))), 2), ABS(VALUE(SUBSTITUTE(I294, "$", ""))))</f>
        <v>283.14</v>
      </c>
      <c r="K294">
        <f>ROUND(Sheet1[[#This Row],[CleanedUnits_sold]]*Sheet1[[#This Row],[Cleaned_Unit_Price]],2)</f>
        <v>1132.56</v>
      </c>
      <c r="L294">
        <v>1498.14</v>
      </c>
      <c r="M294" s="1" t="s">
        <v>584</v>
      </c>
      <c r="N294" s="1" t="s">
        <v>14</v>
      </c>
      <c r="O294" s="1" t="s">
        <v>584</v>
      </c>
    </row>
    <row r="295" spans="1:15" x14ac:dyDescent="0.35">
      <c r="A295" s="1" t="s">
        <v>585</v>
      </c>
      <c r="B295" s="2">
        <v>45209</v>
      </c>
      <c r="C295" s="1" t="s">
        <v>19</v>
      </c>
      <c r="D295" s="1" t="s">
        <v>12</v>
      </c>
      <c r="E295" s="1" t="str">
        <f>TRIM(CLEAN(Sheet1[[#This Row],[Category]]))</f>
        <v>Office Supplies</v>
      </c>
      <c r="F295">
        <v>6</v>
      </c>
      <c r="G295" t="str">
        <f t="shared" si="4"/>
        <v>2. Mid-Market (4-7 Units)</v>
      </c>
      <c r="H295">
        <v>6</v>
      </c>
      <c r="I295">
        <v>135.44999999999999</v>
      </c>
      <c r="J295">
        <f>IF(ISBLANK(I295), ROUND(I295/ABS(VALUE(_xlfn.TEXTBEFORE(F295&amp;" ", " "))), 2), ABS(VALUE(SUBSTITUTE(I295, "$", ""))))</f>
        <v>135.44999999999999</v>
      </c>
      <c r="K295">
        <f>ROUND(Sheet1[[#This Row],[CleanedUnits_sold]]*Sheet1[[#This Row],[Cleaned_Unit_Price]],2)</f>
        <v>812.7</v>
      </c>
      <c r="L295">
        <v>812.7</v>
      </c>
      <c r="M295" s="1" t="s">
        <v>586</v>
      </c>
      <c r="N295" s="1" t="s">
        <v>38</v>
      </c>
      <c r="O295" s="1" t="s">
        <v>586</v>
      </c>
    </row>
    <row r="296" spans="1:15" x14ac:dyDescent="0.35">
      <c r="A296" s="1" t="s">
        <v>587</v>
      </c>
      <c r="B296" s="2">
        <v>45068</v>
      </c>
      <c r="C296" s="1" t="s">
        <v>23</v>
      </c>
      <c r="D296" s="1" t="s">
        <v>12</v>
      </c>
      <c r="E296" s="1" t="str">
        <f>TRIM(CLEAN(Sheet1[[#This Row],[Category]]))</f>
        <v>Office Supplies</v>
      </c>
      <c r="F296">
        <v>7</v>
      </c>
      <c r="G296" t="str">
        <f t="shared" si="4"/>
        <v>2. Mid-Market (4-7 Units)</v>
      </c>
      <c r="H296">
        <v>7</v>
      </c>
      <c r="I296">
        <v>66.97</v>
      </c>
      <c r="J296">
        <f>IF(ISBLANK(I296), ROUND(I296/ABS(VALUE(_xlfn.TEXTBEFORE(F296&amp;" ", " "))), 2), ABS(VALUE(SUBSTITUTE(I296, "$", ""))))</f>
        <v>66.97</v>
      </c>
      <c r="K296">
        <f>ROUND(Sheet1[[#This Row],[CleanedUnits_sold]]*Sheet1[[#This Row],[Cleaned_Unit_Price]],2)</f>
        <v>468.79</v>
      </c>
      <c r="L296">
        <v>657.09</v>
      </c>
      <c r="M296" s="1" t="s">
        <v>588</v>
      </c>
      <c r="N296" s="1" t="s">
        <v>50</v>
      </c>
      <c r="O296" s="1" t="s">
        <v>588</v>
      </c>
    </row>
    <row r="297" spans="1:15" x14ac:dyDescent="0.35">
      <c r="A297" s="1" t="s">
        <v>589</v>
      </c>
      <c r="B297" s="2">
        <v>45186</v>
      </c>
      <c r="C297" s="1" t="s">
        <v>16</v>
      </c>
      <c r="D297" s="1" t="s">
        <v>12</v>
      </c>
      <c r="E297" s="1" t="str">
        <f>TRIM(CLEAN(Sheet1[[#This Row],[Category]]))</f>
        <v>Office Supplies</v>
      </c>
      <c r="F297">
        <v>5</v>
      </c>
      <c r="G297" t="str">
        <f t="shared" si="4"/>
        <v>2. Mid-Market (4-7 Units)</v>
      </c>
      <c r="H297">
        <v>5</v>
      </c>
      <c r="I297">
        <v>272.83999999999997</v>
      </c>
      <c r="J297">
        <f>IF(ISBLANK(I297), ROUND(I297/ABS(VALUE(_xlfn.TEXTBEFORE(F297&amp;" ", " "))), 2), ABS(VALUE(SUBSTITUTE(I297, "$", ""))))</f>
        <v>272.83999999999997</v>
      </c>
      <c r="K297">
        <f>ROUND(Sheet1[[#This Row],[CleanedUnits_sold]]*Sheet1[[#This Row],[Cleaned_Unit_Price]],2)</f>
        <v>1364.2</v>
      </c>
      <c r="L297">
        <v>1364.2</v>
      </c>
      <c r="M297" s="1" t="s">
        <v>590</v>
      </c>
      <c r="N297" s="1" t="s">
        <v>26</v>
      </c>
      <c r="O297" s="1" t="s">
        <v>590</v>
      </c>
    </row>
    <row r="298" spans="1:15" x14ac:dyDescent="0.35">
      <c r="A298" s="1" t="s">
        <v>591</v>
      </c>
      <c r="B298" s="2">
        <v>45071</v>
      </c>
      <c r="C298" s="1" t="s">
        <v>16</v>
      </c>
      <c r="D298" s="1" t="s">
        <v>32</v>
      </c>
      <c r="E298" s="1" t="str">
        <f>TRIM(CLEAN(Sheet1[[#This Row],[Category]]))</f>
        <v>Furniture</v>
      </c>
      <c r="F298">
        <v>2</v>
      </c>
      <c r="G298" t="str">
        <f t="shared" si="4"/>
        <v>1. Retail (1-3 Units)</v>
      </c>
      <c r="H298">
        <v>2</v>
      </c>
      <c r="I298" t="s">
        <v>332</v>
      </c>
      <c r="J298">
        <f>IF(ISBLANK(I298), ROUND(I298/ABS(VALUE(_xlfn.TEXTBEFORE(F298&amp;" ", " "))), 2), ABS(VALUE(SUBSTITUTE(I298, "$", ""))))</f>
        <v>250</v>
      </c>
      <c r="K298">
        <f>ROUND(Sheet1[[#This Row],[CleanedUnits_sold]]*Sheet1[[#This Row],[Cleaned_Unit_Price]],2)</f>
        <v>500</v>
      </c>
      <c r="L298">
        <v>448.4</v>
      </c>
      <c r="M298" s="1"/>
      <c r="N298" s="1" t="s">
        <v>26</v>
      </c>
      <c r="O298" s="1" t="s">
        <v>131</v>
      </c>
    </row>
    <row r="299" spans="1:15" x14ac:dyDescent="0.35">
      <c r="A299" s="1" t="s">
        <v>592</v>
      </c>
      <c r="B299" s="2">
        <v>45223</v>
      </c>
      <c r="C299" s="1" t="s">
        <v>16</v>
      </c>
      <c r="D299" s="1" t="s">
        <v>12</v>
      </c>
      <c r="E299" s="1" t="str">
        <f>TRIM(CLEAN(Sheet1[[#This Row],[Category]]))</f>
        <v>Office Supplies</v>
      </c>
      <c r="F299">
        <v>1</v>
      </c>
      <c r="G299" t="str">
        <f t="shared" si="4"/>
        <v>1. Retail (1-3 Units)</v>
      </c>
      <c r="H299">
        <v>1</v>
      </c>
      <c r="I299">
        <v>141.26</v>
      </c>
      <c r="J299">
        <f>IF(ISBLANK(I299), ROUND(I299/ABS(VALUE(_xlfn.TEXTBEFORE(F299&amp;" ", " "))), 2), ABS(VALUE(SUBSTITUTE(I299, "$", ""))))</f>
        <v>141.26</v>
      </c>
      <c r="K299">
        <f>ROUND(Sheet1[[#This Row],[CleanedUnits_sold]]*Sheet1[[#This Row],[Cleaned_Unit_Price]],2)</f>
        <v>141.26</v>
      </c>
      <c r="L299">
        <v>141.26</v>
      </c>
      <c r="M299" s="1" t="s">
        <v>593</v>
      </c>
      <c r="N299" s="1" t="s">
        <v>50</v>
      </c>
      <c r="O299" s="1" t="s">
        <v>593</v>
      </c>
    </row>
    <row r="300" spans="1:15" x14ac:dyDescent="0.35">
      <c r="A300" s="1" t="s">
        <v>594</v>
      </c>
      <c r="B300" s="2">
        <v>45155</v>
      </c>
      <c r="C300" s="1" t="s">
        <v>11</v>
      </c>
      <c r="D300" s="1" t="s">
        <v>24</v>
      </c>
      <c r="E300" s="1" t="str">
        <f>TRIM(CLEAN(Sheet1[[#This Row],[Category]]))</f>
        <v>Electronics</v>
      </c>
      <c r="F300">
        <v>7</v>
      </c>
      <c r="G300" t="str">
        <f t="shared" si="4"/>
        <v>2. Mid-Market (4-7 Units)</v>
      </c>
      <c r="H300">
        <v>7</v>
      </c>
      <c r="J300">
        <f>IF(ISBLANK(I300), ROUND(I300/ABS(VALUE(_xlfn.TEXTBEFORE(F300&amp;" ", " "))), 2), ABS(VALUE(SUBSTITUTE(I300, "$", ""))))</f>
        <v>0</v>
      </c>
      <c r="K300">
        <f>ROUND(Sheet1[[#This Row],[CleanedUnits_sold]]*Sheet1[[#This Row],[Cleaned_Unit_Price]],2)</f>
        <v>0</v>
      </c>
      <c r="L300">
        <v>2141.7199999999998</v>
      </c>
      <c r="M300" s="1" t="s">
        <v>595</v>
      </c>
      <c r="N300" s="1" t="s">
        <v>14</v>
      </c>
      <c r="O300" s="1" t="s">
        <v>595</v>
      </c>
    </row>
    <row r="301" spans="1:15" x14ac:dyDescent="0.35">
      <c r="A301" s="1" t="s">
        <v>596</v>
      </c>
      <c r="B301" s="2">
        <v>45209</v>
      </c>
      <c r="C301" s="1" t="s">
        <v>23</v>
      </c>
      <c r="D301" s="1" t="s">
        <v>24</v>
      </c>
      <c r="E301" s="1" t="str">
        <f>TRIM(CLEAN(Sheet1[[#This Row],[Category]]))</f>
        <v>Electronics</v>
      </c>
      <c r="F301">
        <v>4</v>
      </c>
      <c r="G301" t="str">
        <f t="shared" si="4"/>
        <v>2. Mid-Market (4-7 Units)</v>
      </c>
      <c r="H301">
        <v>4</v>
      </c>
      <c r="I301">
        <v>436.95</v>
      </c>
      <c r="J301">
        <f>IF(ISBLANK(I301), ROUND(I301/ABS(VALUE(_xlfn.TEXTBEFORE(F301&amp;" ", " "))), 2), ABS(VALUE(SUBSTITUTE(I301, "$", ""))))</f>
        <v>436.95</v>
      </c>
      <c r="K301">
        <f>ROUND(Sheet1[[#This Row],[CleanedUnits_sold]]*Sheet1[[#This Row],[Cleaned_Unit_Price]],2)</f>
        <v>1747.8</v>
      </c>
      <c r="L301">
        <v>1747.8</v>
      </c>
      <c r="M301" s="1" t="s">
        <v>597</v>
      </c>
      <c r="N301" s="1" t="s">
        <v>14</v>
      </c>
      <c r="O301" s="1" t="s">
        <v>597</v>
      </c>
    </row>
    <row r="302" spans="1:15" x14ac:dyDescent="0.35">
      <c r="A302" s="1" t="s">
        <v>598</v>
      </c>
      <c r="B302" s="2">
        <v>1</v>
      </c>
      <c r="C302" s="1" t="s">
        <v>23</v>
      </c>
      <c r="D302" s="1" t="s">
        <v>12</v>
      </c>
      <c r="E302" s="1" t="str">
        <f>TRIM(CLEAN(Sheet1[[#This Row],[Category]]))</f>
        <v>Office Supplies</v>
      </c>
      <c r="F302">
        <v>1</v>
      </c>
      <c r="G302" t="str">
        <f t="shared" si="4"/>
        <v>1. Retail (1-3 Units)</v>
      </c>
      <c r="H302">
        <v>1</v>
      </c>
      <c r="I302">
        <v>499.46</v>
      </c>
      <c r="J302">
        <f>IF(ISBLANK(I302), ROUND(I302/ABS(VALUE(_xlfn.TEXTBEFORE(F302&amp;" ", " "))), 2), ABS(VALUE(SUBSTITUTE(I302, "$", ""))))</f>
        <v>499.46</v>
      </c>
      <c r="K302">
        <f>ROUND(Sheet1[[#This Row],[CleanedUnits_sold]]*Sheet1[[#This Row],[Cleaned_Unit_Price]],2)</f>
        <v>499.46</v>
      </c>
      <c r="L302">
        <v>499.46</v>
      </c>
      <c r="M302" s="1" t="s">
        <v>599</v>
      </c>
      <c r="N302" s="1" t="s">
        <v>14</v>
      </c>
      <c r="O302" s="1" t="s">
        <v>599</v>
      </c>
    </row>
    <row r="303" spans="1:15" x14ac:dyDescent="0.35">
      <c r="A303" s="1" t="s">
        <v>600</v>
      </c>
      <c r="B303" s="2">
        <v>45049</v>
      </c>
      <c r="C303" s="1" t="s">
        <v>58</v>
      </c>
      <c r="D303" s="1" t="s">
        <v>12</v>
      </c>
      <c r="E303" s="1" t="str">
        <f>TRIM(CLEAN(Sheet1[[#This Row],[Category]]))</f>
        <v>Office Supplies</v>
      </c>
      <c r="F303">
        <v>6</v>
      </c>
      <c r="G303" t="str">
        <f t="shared" si="4"/>
        <v>2. Mid-Market (4-7 Units)</v>
      </c>
      <c r="H303">
        <v>6</v>
      </c>
      <c r="I303">
        <v>307.8</v>
      </c>
      <c r="J303">
        <f>IF(ISBLANK(I303), ROUND(I303/ABS(VALUE(_xlfn.TEXTBEFORE(F303&amp;" ", " "))), 2), ABS(VALUE(SUBSTITUTE(I303, "$", ""))))</f>
        <v>307.8</v>
      </c>
      <c r="K303">
        <f>ROUND(Sheet1[[#This Row],[CleanedUnits_sold]]*Sheet1[[#This Row],[Cleaned_Unit_Price]],2)</f>
        <v>1846.8</v>
      </c>
      <c r="L303">
        <v>1846.8</v>
      </c>
      <c r="M303" s="1" t="s">
        <v>601</v>
      </c>
      <c r="N303" s="1" t="s">
        <v>21</v>
      </c>
      <c r="O303" s="1" t="s">
        <v>601</v>
      </c>
    </row>
    <row r="304" spans="1:15" x14ac:dyDescent="0.35">
      <c r="A304" s="1" t="s">
        <v>602</v>
      </c>
      <c r="B304" s="2">
        <v>45137</v>
      </c>
      <c r="C304" s="1" t="s">
        <v>19</v>
      </c>
      <c r="D304" s="1" t="s">
        <v>32</v>
      </c>
      <c r="E304" s="1" t="str">
        <f>TRIM(CLEAN(Sheet1[[#This Row],[Category]]))</f>
        <v>Furniture</v>
      </c>
      <c r="F304">
        <v>5</v>
      </c>
      <c r="G304" t="str">
        <f t="shared" si="4"/>
        <v>2. Mid-Market (4-7 Units)</v>
      </c>
      <c r="H304">
        <v>5</v>
      </c>
      <c r="I304">
        <v>208.31</v>
      </c>
      <c r="J304">
        <f>IF(ISBLANK(I304), ROUND(I304/ABS(VALUE(_xlfn.TEXTBEFORE(F304&amp;" ", " "))), 2), ABS(VALUE(SUBSTITUTE(I304, "$", ""))))</f>
        <v>208.31</v>
      </c>
      <c r="K304">
        <f>ROUND(Sheet1[[#This Row],[CleanedUnits_sold]]*Sheet1[[#This Row],[Cleaned_Unit_Price]],2)</f>
        <v>1041.55</v>
      </c>
      <c r="L304">
        <v>1041.55</v>
      </c>
      <c r="M304" s="1" t="s">
        <v>603</v>
      </c>
      <c r="N304" s="1" t="s">
        <v>21</v>
      </c>
      <c r="O304" s="1" t="s">
        <v>603</v>
      </c>
    </row>
    <row r="305" spans="1:15" x14ac:dyDescent="0.35">
      <c r="A305" s="1" t="s">
        <v>604</v>
      </c>
      <c r="B305" s="2">
        <v>45169</v>
      </c>
      <c r="C305" s="1" t="s">
        <v>16</v>
      </c>
      <c r="D305" s="1" t="s">
        <v>12</v>
      </c>
      <c r="E305" s="1" t="str">
        <f>TRIM(CLEAN(Sheet1[[#This Row],[Category]]))</f>
        <v>Office Supplies</v>
      </c>
      <c r="F305">
        <v>8</v>
      </c>
      <c r="G305" t="str">
        <f t="shared" si="4"/>
        <v>3. Wholesale / Bulk (8+ Units)</v>
      </c>
      <c r="H305">
        <v>8</v>
      </c>
      <c r="I305">
        <v>120.35</v>
      </c>
      <c r="J305">
        <f>IF(ISBLANK(I305), ROUND(I305/ABS(VALUE(_xlfn.TEXTBEFORE(F305&amp;" ", " "))), 2), ABS(VALUE(SUBSTITUTE(I305, "$", ""))))</f>
        <v>120.35</v>
      </c>
      <c r="K305">
        <f>ROUND(Sheet1[[#This Row],[CleanedUnits_sold]]*Sheet1[[#This Row],[Cleaned_Unit_Price]],2)</f>
        <v>962.8</v>
      </c>
      <c r="L305">
        <v>962.8</v>
      </c>
      <c r="M305" s="1" t="s">
        <v>605</v>
      </c>
      <c r="N305" s="1" t="s">
        <v>14</v>
      </c>
      <c r="O305" s="1" t="s">
        <v>605</v>
      </c>
    </row>
    <row r="306" spans="1:15" x14ac:dyDescent="0.35">
      <c r="A306" s="1" t="s">
        <v>606</v>
      </c>
      <c r="B306" s="2">
        <v>1</v>
      </c>
      <c r="C306" s="1" t="s">
        <v>16</v>
      </c>
      <c r="D306" s="1" t="s">
        <v>46</v>
      </c>
      <c r="E306" s="1" t="str">
        <f>TRIM(CLEAN(Sheet1[[#This Row],[Category]]))</f>
        <v>Furniture</v>
      </c>
      <c r="F306">
        <v>4</v>
      </c>
      <c r="G306" t="str">
        <f t="shared" si="4"/>
        <v>2. Mid-Market (4-7 Units)</v>
      </c>
      <c r="H306">
        <v>4</v>
      </c>
      <c r="I306">
        <v>244.93</v>
      </c>
      <c r="J306">
        <f>IF(ISBLANK(I306), ROUND(I306/ABS(VALUE(_xlfn.TEXTBEFORE(F306&amp;" ", " "))), 2), ABS(VALUE(SUBSTITUTE(I306, "$", ""))))</f>
        <v>244.93</v>
      </c>
      <c r="K306">
        <f>ROUND(Sheet1[[#This Row],[CleanedUnits_sold]]*Sheet1[[#This Row],[Cleaned_Unit_Price]],2)</f>
        <v>979.72</v>
      </c>
      <c r="L306">
        <v>979.72</v>
      </c>
      <c r="M306" s="1" t="s">
        <v>607</v>
      </c>
      <c r="N306" s="1" t="s">
        <v>26</v>
      </c>
      <c r="O306" s="1" t="s">
        <v>607</v>
      </c>
    </row>
    <row r="307" spans="1:15" x14ac:dyDescent="0.35">
      <c r="A307" s="1" t="s">
        <v>608</v>
      </c>
      <c r="B307" s="2">
        <v>45229</v>
      </c>
      <c r="C307" s="1" t="s">
        <v>16</v>
      </c>
      <c r="D307" s="1" t="s">
        <v>24</v>
      </c>
      <c r="E307" s="1" t="str">
        <f>TRIM(CLEAN(Sheet1[[#This Row],[Category]]))</f>
        <v>Electronics</v>
      </c>
      <c r="F307">
        <v>10</v>
      </c>
      <c r="G307" t="str">
        <f t="shared" si="4"/>
        <v>3. Wholesale / Bulk (8+ Units)</v>
      </c>
      <c r="H307">
        <v>10</v>
      </c>
      <c r="I307">
        <v>189.97</v>
      </c>
      <c r="J307">
        <f>IF(ISBLANK(I307), ROUND(I307/ABS(VALUE(_xlfn.TEXTBEFORE(F307&amp;" ", " "))), 2), ABS(VALUE(SUBSTITUTE(I307, "$", ""))))</f>
        <v>189.97</v>
      </c>
      <c r="K307">
        <f>ROUND(Sheet1[[#This Row],[CleanedUnits_sold]]*Sheet1[[#This Row],[Cleaned_Unit_Price]],2)</f>
        <v>1899.7</v>
      </c>
      <c r="L307">
        <v>1899.7</v>
      </c>
      <c r="M307" s="1" t="s">
        <v>609</v>
      </c>
      <c r="N307" s="1" t="s">
        <v>14</v>
      </c>
      <c r="O307" s="1" t="s">
        <v>609</v>
      </c>
    </row>
    <row r="308" spans="1:15" x14ac:dyDescent="0.35">
      <c r="A308" s="1" t="s">
        <v>610</v>
      </c>
      <c r="B308" s="2">
        <v>45152</v>
      </c>
      <c r="C308" s="1" t="s">
        <v>19</v>
      </c>
      <c r="D308" s="1" t="s">
        <v>12</v>
      </c>
      <c r="E308" s="1" t="str">
        <f>TRIM(CLEAN(Sheet1[[#This Row],[Category]]))</f>
        <v>Office Supplies</v>
      </c>
      <c r="F308">
        <v>9999</v>
      </c>
      <c r="G308" t="str">
        <f t="shared" si="4"/>
        <v>2. Mid-Market (4-7 Units)</v>
      </c>
      <c r="H308">
        <v>5</v>
      </c>
      <c r="I308">
        <v>457.77</v>
      </c>
      <c r="J308">
        <f>IF(ISBLANK(I308), ROUND(I308/ABS(VALUE(_xlfn.TEXTBEFORE(F308&amp;" ", " "))), 2), ABS(VALUE(SUBSTITUTE(I308, "$", ""))))</f>
        <v>457.77</v>
      </c>
      <c r="K308">
        <f>ROUND(Sheet1[[#This Row],[CleanedUnits_sold]]*Sheet1[[#This Row],[Cleaned_Unit_Price]],2)</f>
        <v>2288.85</v>
      </c>
      <c r="L308">
        <v>3204.39</v>
      </c>
      <c r="M308" s="1" t="s">
        <v>611</v>
      </c>
      <c r="N308" s="1" t="s">
        <v>38</v>
      </c>
      <c r="O308" s="1" t="s">
        <v>611</v>
      </c>
    </row>
    <row r="309" spans="1:15" x14ac:dyDescent="0.35">
      <c r="A309" s="1" t="s">
        <v>612</v>
      </c>
      <c r="B309" s="2">
        <v>45160</v>
      </c>
      <c r="C309" s="1" t="s">
        <v>23</v>
      </c>
      <c r="D309" s="1" t="s">
        <v>32</v>
      </c>
      <c r="E309" s="1" t="str">
        <f>TRIM(CLEAN(Sheet1[[#This Row],[Category]]))</f>
        <v>Furniture</v>
      </c>
      <c r="F309">
        <v>4</v>
      </c>
      <c r="G309" t="str">
        <f t="shared" si="4"/>
        <v>2. Mid-Market (4-7 Units)</v>
      </c>
      <c r="H309">
        <v>4</v>
      </c>
      <c r="I309">
        <v>190.46</v>
      </c>
      <c r="J309">
        <f>IF(ISBLANK(I309), ROUND(I309/ABS(VALUE(_xlfn.TEXTBEFORE(F309&amp;" ", " "))), 2), ABS(VALUE(SUBSTITUTE(I309, "$", ""))))</f>
        <v>190.46</v>
      </c>
      <c r="K309">
        <f>ROUND(Sheet1[[#This Row],[CleanedUnits_sold]]*Sheet1[[#This Row],[Cleaned_Unit_Price]],2)</f>
        <v>761.84</v>
      </c>
      <c r="L309">
        <v>761.84</v>
      </c>
      <c r="M309" s="1" t="s">
        <v>613</v>
      </c>
      <c r="N309" s="1" t="s">
        <v>50</v>
      </c>
      <c r="O309" s="1" t="s">
        <v>613</v>
      </c>
    </row>
    <row r="310" spans="1:15" x14ac:dyDescent="0.35">
      <c r="A310" s="1" t="s">
        <v>614</v>
      </c>
      <c r="B310" s="2">
        <v>1</v>
      </c>
      <c r="C310" s="1" t="s">
        <v>16</v>
      </c>
      <c r="D310" s="1" t="s">
        <v>12</v>
      </c>
      <c r="E310" s="1" t="str">
        <f>TRIM(CLEAN(Sheet1[[#This Row],[Category]]))</f>
        <v>Office Supplies</v>
      </c>
      <c r="F310">
        <v>8</v>
      </c>
      <c r="G310" t="str">
        <f t="shared" si="4"/>
        <v>3. Wholesale / Bulk (8+ Units)</v>
      </c>
      <c r="H310">
        <v>8</v>
      </c>
      <c r="I310">
        <v>192.99</v>
      </c>
      <c r="J310">
        <f>IF(ISBLANK(I310), ROUND(I310/ABS(VALUE(_xlfn.TEXTBEFORE(F310&amp;" ", " "))), 2), ABS(VALUE(SUBSTITUTE(I310, "$", ""))))</f>
        <v>192.99</v>
      </c>
      <c r="K310">
        <f>ROUND(Sheet1[[#This Row],[CleanedUnits_sold]]*Sheet1[[#This Row],[Cleaned_Unit_Price]],2)</f>
        <v>1543.92</v>
      </c>
      <c r="L310">
        <v>1543.92</v>
      </c>
      <c r="M310" s="1" t="s">
        <v>615</v>
      </c>
      <c r="N310" s="1" t="s">
        <v>50</v>
      </c>
      <c r="O310" s="1" t="s">
        <v>615</v>
      </c>
    </row>
    <row r="311" spans="1:15" x14ac:dyDescent="0.35">
      <c r="A311" s="1" t="s">
        <v>616</v>
      </c>
      <c r="B311" s="2">
        <v>1</v>
      </c>
      <c r="C311" s="1" t="s">
        <v>23</v>
      </c>
      <c r="D311" s="1" t="s">
        <v>12</v>
      </c>
      <c r="E311" s="1" t="str">
        <f>TRIM(CLEAN(Sheet1[[#This Row],[Category]]))</f>
        <v>Office Supplies</v>
      </c>
      <c r="F311">
        <v>5</v>
      </c>
      <c r="G311" t="str">
        <f t="shared" si="4"/>
        <v>2. Mid-Market (4-7 Units)</v>
      </c>
      <c r="H311">
        <v>5</v>
      </c>
      <c r="I311">
        <v>197.93</v>
      </c>
      <c r="J311">
        <f>IF(ISBLANK(I311), ROUND(I311/ABS(VALUE(_xlfn.TEXTBEFORE(F311&amp;" ", " "))), 2), ABS(VALUE(SUBSTITUTE(I311, "$", ""))))</f>
        <v>197.93</v>
      </c>
      <c r="K311">
        <f>ROUND(Sheet1[[#This Row],[CleanedUnits_sold]]*Sheet1[[#This Row],[Cleaned_Unit_Price]],2)</f>
        <v>989.65</v>
      </c>
      <c r="L311">
        <v>989.65</v>
      </c>
      <c r="M311" s="1" t="s">
        <v>617</v>
      </c>
      <c r="N311" s="1" t="s">
        <v>50</v>
      </c>
      <c r="O311" s="1" t="s">
        <v>617</v>
      </c>
    </row>
    <row r="312" spans="1:15" x14ac:dyDescent="0.35">
      <c r="A312" s="1" t="s">
        <v>618</v>
      </c>
      <c r="B312" s="2">
        <v>45062</v>
      </c>
      <c r="C312" s="1" t="s">
        <v>16</v>
      </c>
      <c r="D312" s="1" t="s">
        <v>32</v>
      </c>
      <c r="E312" s="1" t="str">
        <f>TRIM(CLEAN(Sheet1[[#This Row],[Category]]))</f>
        <v>Furniture</v>
      </c>
      <c r="F312">
        <v>5</v>
      </c>
      <c r="G312" t="str">
        <f t="shared" si="4"/>
        <v>2. Mid-Market (4-7 Units)</v>
      </c>
      <c r="H312">
        <v>5</v>
      </c>
      <c r="I312">
        <v>419.94</v>
      </c>
      <c r="J312">
        <f>IF(ISBLANK(I312), ROUND(I312/ABS(VALUE(_xlfn.TEXTBEFORE(F312&amp;" ", " "))), 2), ABS(VALUE(SUBSTITUTE(I312, "$", ""))))</f>
        <v>419.94</v>
      </c>
      <c r="K312">
        <f>ROUND(Sheet1[[#This Row],[CleanedUnits_sold]]*Sheet1[[#This Row],[Cleaned_Unit_Price]],2)</f>
        <v>2099.6999999999998</v>
      </c>
      <c r="L312">
        <v>2099.6999999999998</v>
      </c>
      <c r="M312" s="1" t="s">
        <v>619</v>
      </c>
      <c r="N312" s="1" t="s">
        <v>26</v>
      </c>
      <c r="O312" s="1" t="s">
        <v>619</v>
      </c>
    </row>
    <row r="313" spans="1:15" x14ac:dyDescent="0.35">
      <c r="A313" s="1" t="s">
        <v>620</v>
      </c>
      <c r="B313" s="2">
        <v>45130</v>
      </c>
      <c r="C313" s="1" t="s">
        <v>16</v>
      </c>
      <c r="D313" s="1" t="s">
        <v>24</v>
      </c>
      <c r="E313" s="1" t="str">
        <f>TRIM(CLEAN(Sheet1[[#This Row],[Category]]))</f>
        <v>Electronics</v>
      </c>
      <c r="F313">
        <v>5</v>
      </c>
      <c r="G313" t="str">
        <f t="shared" si="4"/>
        <v>2. Mid-Market (4-7 Units)</v>
      </c>
      <c r="H313">
        <v>5</v>
      </c>
      <c r="I313">
        <v>328.89</v>
      </c>
      <c r="J313">
        <f>IF(ISBLANK(I313), ROUND(I313/ABS(VALUE(_xlfn.TEXTBEFORE(F313&amp;" ", " "))), 2), ABS(VALUE(SUBSTITUTE(I313, "$", ""))))</f>
        <v>328.89</v>
      </c>
      <c r="K313">
        <f>ROUND(Sheet1[[#This Row],[CleanedUnits_sold]]*Sheet1[[#This Row],[Cleaned_Unit_Price]],2)</f>
        <v>1644.45</v>
      </c>
      <c r="L313">
        <v>1644.45</v>
      </c>
      <c r="M313" s="1" t="s">
        <v>621</v>
      </c>
      <c r="N313" s="1" t="s">
        <v>26</v>
      </c>
      <c r="O313" s="1" t="s">
        <v>621</v>
      </c>
    </row>
    <row r="314" spans="1:15" x14ac:dyDescent="0.35">
      <c r="A314" s="1" t="s">
        <v>622</v>
      </c>
      <c r="B314" s="2">
        <v>45272</v>
      </c>
      <c r="C314" s="1" t="s">
        <v>19</v>
      </c>
      <c r="D314" s="1" t="s">
        <v>32</v>
      </c>
      <c r="E314" s="1" t="str">
        <f>TRIM(CLEAN(Sheet1[[#This Row],[Category]]))</f>
        <v>Furniture</v>
      </c>
      <c r="F314">
        <v>2</v>
      </c>
      <c r="G314" t="str">
        <f t="shared" si="4"/>
        <v>1. Retail (1-3 Units)</v>
      </c>
      <c r="H314">
        <v>2</v>
      </c>
      <c r="I314">
        <v>310.94</v>
      </c>
      <c r="J314">
        <f>IF(ISBLANK(I314), ROUND(I314/ABS(VALUE(_xlfn.TEXTBEFORE(F314&amp;" ", " "))), 2), ABS(VALUE(SUBSTITUTE(I314, "$", ""))))</f>
        <v>310.94</v>
      </c>
      <c r="K314">
        <f>ROUND(Sheet1[[#This Row],[CleanedUnits_sold]]*Sheet1[[#This Row],[Cleaned_Unit_Price]],2)</f>
        <v>621.88</v>
      </c>
      <c r="L314">
        <v>621.88</v>
      </c>
      <c r="M314" s="1" t="s">
        <v>623</v>
      </c>
      <c r="N314" s="1" t="s">
        <v>14</v>
      </c>
      <c r="O314" s="1" t="s">
        <v>623</v>
      </c>
    </row>
    <row r="315" spans="1:15" x14ac:dyDescent="0.35">
      <c r="A315" s="1" t="s">
        <v>624</v>
      </c>
      <c r="B315" s="2">
        <v>45247</v>
      </c>
      <c r="C315" s="1" t="s">
        <v>11</v>
      </c>
      <c r="D315" s="1" t="s">
        <v>24</v>
      </c>
      <c r="E315" s="1" t="str">
        <f>TRIM(CLEAN(Sheet1[[#This Row],[Category]]))</f>
        <v>Electronics</v>
      </c>
      <c r="F315">
        <v>3</v>
      </c>
      <c r="G315" t="str">
        <f t="shared" si="4"/>
        <v>1. Retail (1-3 Units)</v>
      </c>
      <c r="H315">
        <v>3</v>
      </c>
      <c r="I315">
        <v>173.73</v>
      </c>
      <c r="J315">
        <f>IF(ISBLANK(I315), ROUND(I315/ABS(VALUE(_xlfn.TEXTBEFORE(F315&amp;" ", " "))), 2), ABS(VALUE(SUBSTITUTE(I315, "$", ""))))</f>
        <v>173.73</v>
      </c>
      <c r="K315">
        <f>ROUND(Sheet1[[#This Row],[CleanedUnits_sold]]*Sheet1[[#This Row],[Cleaned_Unit_Price]],2)</f>
        <v>521.19000000000005</v>
      </c>
      <c r="L315">
        <v>521.19000000000005</v>
      </c>
      <c r="M315" s="1" t="s">
        <v>625</v>
      </c>
      <c r="N315" s="1" t="s">
        <v>21</v>
      </c>
      <c r="O315" s="1" t="s">
        <v>625</v>
      </c>
    </row>
    <row r="316" spans="1:15" x14ac:dyDescent="0.35">
      <c r="A316" s="1" t="s">
        <v>626</v>
      </c>
      <c r="B316" s="2">
        <v>44945</v>
      </c>
      <c r="C316" s="1" t="s">
        <v>11</v>
      </c>
      <c r="D316" s="1" t="s">
        <v>24</v>
      </c>
      <c r="E316" s="1" t="str">
        <f>TRIM(CLEAN(Sheet1[[#This Row],[Category]]))</f>
        <v>Electronics</v>
      </c>
      <c r="F316">
        <v>4</v>
      </c>
      <c r="G316" t="str">
        <f t="shared" si="4"/>
        <v>2. Mid-Market (4-7 Units)</v>
      </c>
      <c r="H316">
        <v>4</v>
      </c>
      <c r="I316">
        <v>410.77</v>
      </c>
      <c r="J316">
        <f>IF(ISBLANK(I316), ROUND(I316/ABS(VALUE(_xlfn.TEXTBEFORE(F316&amp;" ", " "))), 2), ABS(VALUE(SUBSTITUTE(I316, "$", ""))))</f>
        <v>410.77</v>
      </c>
      <c r="K316">
        <f>ROUND(Sheet1[[#This Row],[CleanedUnits_sold]]*Sheet1[[#This Row],[Cleaned_Unit_Price]],2)</f>
        <v>1643.08</v>
      </c>
      <c r="L316">
        <v>1643.08</v>
      </c>
      <c r="M316" s="1" t="s">
        <v>49</v>
      </c>
      <c r="N316" s="1" t="s">
        <v>50</v>
      </c>
      <c r="O316" s="1" t="s">
        <v>51</v>
      </c>
    </row>
    <row r="317" spans="1:15" x14ac:dyDescent="0.35">
      <c r="A317" s="1" t="s">
        <v>627</v>
      </c>
      <c r="B317" s="2">
        <v>45277</v>
      </c>
      <c r="C317" s="1" t="s">
        <v>16</v>
      </c>
      <c r="D317" s="1" t="s">
        <v>24</v>
      </c>
      <c r="E317" s="1" t="str">
        <f>TRIM(CLEAN(Sheet1[[#This Row],[Category]]))</f>
        <v>Electronics</v>
      </c>
      <c r="F317">
        <v>9</v>
      </c>
      <c r="G317" t="str">
        <f t="shared" si="4"/>
        <v>3. Wholesale / Bulk (8+ Units)</v>
      </c>
      <c r="H317">
        <v>9</v>
      </c>
      <c r="I317">
        <v>28.8</v>
      </c>
      <c r="J317">
        <f>IF(ISBLANK(I317), ROUND(I317/ABS(VALUE(_xlfn.TEXTBEFORE(F317&amp;" ", " "))), 2), ABS(VALUE(SUBSTITUTE(I317, "$", ""))))</f>
        <v>28.8</v>
      </c>
      <c r="K317">
        <f>ROUND(Sheet1[[#This Row],[CleanedUnits_sold]]*Sheet1[[#This Row],[Cleaned_Unit_Price]],2)</f>
        <v>259.2</v>
      </c>
      <c r="L317">
        <v>259.2</v>
      </c>
      <c r="M317" s="1" t="s">
        <v>49</v>
      </c>
      <c r="N317" s="1" t="s">
        <v>38</v>
      </c>
      <c r="O317" s="1" t="s">
        <v>51</v>
      </c>
    </row>
    <row r="318" spans="1:15" x14ac:dyDescent="0.35">
      <c r="A318" s="1" t="s">
        <v>628</v>
      </c>
      <c r="B318" s="2">
        <v>44973</v>
      </c>
      <c r="C318" s="1" t="s">
        <v>58</v>
      </c>
      <c r="D318" s="1" t="s">
        <v>12</v>
      </c>
      <c r="E318" s="1" t="str">
        <f>TRIM(CLEAN(Sheet1[[#This Row],[Category]]))</f>
        <v>Office Supplies</v>
      </c>
      <c r="F318">
        <v>0</v>
      </c>
      <c r="G318" t="str">
        <f t="shared" si="4"/>
        <v>Non-Billable / Zero</v>
      </c>
      <c r="H318">
        <v>0</v>
      </c>
      <c r="I318">
        <v>436.69</v>
      </c>
      <c r="J318">
        <f>IF(ISBLANK(I318), ROUND(I318/ABS(VALUE(_xlfn.TEXTBEFORE(F318&amp;" ", " "))), 2), ABS(VALUE(SUBSTITUTE(I318, "$", ""))))</f>
        <v>436.69</v>
      </c>
      <c r="K318">
        <f>ROUND(Sheet1[[#This Row],[CleanedUnits_sold]]*Sheet1[[#This Row],[Cleaned_Unit_Price]],2)</f>
        <v>0</v>
      </c>
      <c r="L318">
        <v>0</v>
      </c>
      <c r="M318" s="1" t="s">
        <v>629</v>
      </c>
      <c r="N318" s="1" t="s">
        <v>26</v>
      </c>
      <c r="O318" s="1" t="s">
        <v>629</v>
      </c>
    </row>
    <row r="319" spans="1:15" x14ac:dyDescent="0.35">
      <c r="A319" s="1" t="s">
        <v>630</v>
      </c>
      <c r="B319" s="2">
        <v>45251</v>
      </c>
      <c r="C319" s="1" t="s">
        <v>16</v>
      </c>
      <c r="D319" s="1" t="s">
        <v>32</v>
      </c>
      <c r="E319" s="1" t="str">
        <f>TRIM(CLEAN(Sheet1[[#This Row],[Category]]))</f>
        <v>Furniture</v>
      </c>
      <c r="F319">
        <v>5</v>
      </c>
      <c r="G319" t="str">
        <f t="shared" si="4"/>
        <v>2. Mid-Market (4-7 Units)</v>
      </c>
      <c r="H319">
        <v>5</v>
      </c>
      <c r="I319">
        <v>261.25</v>
      </c>
      <c r="J319">
        <f>IF(ISBLANK(I319), ROUND(I319/ABS(VALUE(_xlfn.TEXTBEFORE(F319&amp;" ", " "))), 2), ABS(VALUE(SUBSTITUTE(I319, "$", ""))))</f>
        <v>261.25</v>
      </c>
      <c r="K319">
        <f>ROUND(Sheet1[[#This Row],[CleanedUnits_sold]]*Sheet1[[#This Row],[Cleaned_Unit_Price]],2)</f>
        <v>1306.25</v>
      </c>
      <c r="L319">
        <v>1306.25</v>
      </c>
      <c r="M319" s="1"/>
      <c r="N319" s="1" t="s">
        <v>21</v>
      </c>
      <c r="O319" s="1" t="s">
        <v>131</v>
      </c>
    </row>
    <row r="320" spans="1:15" x14ac:dyDescent="0.35">
      <c r="A320" s="1" t="s">
        <v>631</v>
      </c>
      <c r="B320" s="2">
        <v>45282</v>
      </c>
      <c r="C320" s="1" t="s">
        <v>19</v>
      </c>
      <c r="D320" s="1" t="s">
        <v>12</v>
      </c>
      <c r="E320" s="1" t="str">
        <f>TRIM(CLEAN(Sheet1[[#This Row],[Category]]))</f>
        <v>Office Supplies</v>
      </c>
      <c r="F320">
        <v>9999</v>
      </c>
      <c r="G320" t="str">
        <f t="shared" si="4"/>
        <v>2. Mid-Market (4-7 Units)</v>
      </c>
      <c r="H320">
        <v>5</v>
      </c>
      <c r="I320">
        <v>205.14</v>
      </c>
      <c r="J320">
        <f>IF(ISBLANK(I320), ROUND(I320/ABS(VALUE(_xlfn.TEXTBEFORE(F320&amp;" ", " "))), 2), ABS(VALUE(SUBSTITUTE(I320, "$", ""))))</f>
        <v>205.14</v>
      </c>
      <c r="K320">
        <f>ROUND(Sheet1[[#This Row],[CleanedUnits_sold]]*Sheet1[[#This Row],[Cleaned_Unit_Price]],2)</f>
        <v>1025.7</v>
      </c>
      <c r="L320">
        <v>1025.7</v>
      </c>
      <c r="M320" s="1" t="s">
        <v>632</v>
      </c>
      <c r="N320" s="1" t="s">
        <v>14</v>
      </c>
      <c r="O320" s="1" t="s">
        <v>632</v>
      </c>
    </row>
    <row r="321" spans="1:15" x14ac:dyDescent="0.35">
      <c r="A321" s="1" t="s">
        <v>633</v>
      </c>
      <c r="B321" s="2">
        <v>44950</v>
      </c>
      <c r="C321" s="1" t="s">
        <v>16</v>
      </c>
      <c r="D321" s="1" t="s">
        <v>24</v>
      </c>
      <c r="E321" s="1" t="str">
        <f>TRIM(CLEAN(Sheet1[[#This Row],[Category]]))</f>
        <v>Electronics</v>
      </c>
      <c r="F321">
        <v>5</v>
      </c>
      <c r="G321" t="str">
        <f t="shared" si="4"/>
        <v>2. Mid-Market (4-7 Units)</v>
      </c>
      <c r="H321">
        <v>5</v>
      </c>
      <c r="I321">
        <v>253.61</v>
      </c>
      <c r="J321">
        <f>IF(ISBLANK(I321), ROUND(I321/ABS(VALUE(_xlfn.TEXTBEFORE(F321&amp;" ", " "))), 2), ABS(VALUE(SUBSTITUTE(I321, "$", ""))))</f>
        <v>253.61</v>
      </c>
      <c r="K321">
        <f>ROUND(Sheet1[[#This Row],[CleanedUnits_sold]]*Sheet1[[#This Row],[Cleaned_Unit_Price]],2)</f>
        <v>1268.05</v>
      </c>
      <c r="L321">
        <v>1268.05</v>
      </c>
      <c r="M321" s="1" t="s">
        <v>634</v>
      </c>
      <c r="N321" s="1" t="s">
        <v>38</v>
      </c>
      <c r="O321" s="1" t="s">
        <v>634</v>
      </c>
    </row>
    <row r="322" spans="1:15" x14ac:dyDescent="0.35">
      <c r="A322" s="1" t="s">
        <v>635</v>
      </c>
      <c r="B322" s="2">
        <v>45077</v>
      </c>
      <c r="C322" s="1" t="s">
        <v>16</v>
      </c>
      <c r="D322" s="1" t="s">
        <v>12</v>
      </c>
      <c r="E322" s="1" t="str">
        <f>TRIM(CLEAN(Sheet1[[#This Row],[Category]]))</f>
        <v>Office Supplies</v>
      </c>
      <c r="F322">
        <v>5</v>
      </c>
      <c r="G322" t="str">
        <f t="shared" ref="G322:G385" si="5">IF(H322=0, "Non-Billable / Zero", IF(H322&lt;=3, "1. Retail (1-3 Units)", IF(H322&lt;=7, "2. Mid-Market (4-7 Units)", "3. Wholesale / Bulk (8+ Units)")))</f>
        <v>2. Mid-Market (4-7 Units)</v>
      </c>
      <c r="H322">
        <v>5</v>
      </c>
      <c r="I322">
        <v>337.03</v>
      </c>
      <c r="J322">
        <f>IF(ISBLANK(I322), ROUND(I322/ABS(VALUE(_xlfn.TEXTBEFORE(F322&amp;" ", " "))), 2), ABS(VALUE(SUBSTITUTE(I322, "$", ""))))</f>
        <v>337.03</v>
      </c>
      <c r="K322">
        <f>ROUND(Sheet1[[#This Row],[CleanedUnits_sold]]*Sheet1[[#This Row],[Cleaned_Unit_Price]],2)</f>
        <v>1685.15</v>
      </c>
      <c r="L322">
        <v>1685.15</v>
      </c>
      <c r="M322" s="1" t="s">
        <v>636</v>
      </c>
      <c r="N322" s="1" t="s">
        <v>14</v>
      </c>
      <c r="O322" s="1" t="s">
        <v>636</v>
      </c>
    </row>
    <row r="323" spans="1:15" x14ac:dyDescent="0.35">
      <c r="A323" s="1" t="s">
        <v>637</v>
      </c>
      <c r="B323" s="2">
        <v>1</v>
      </c>
      <c r="C323" s="1" t="s">
        <v>58</v>
      </c>
      <c r="D323" s="1" t="s">
        <v>12</v>
      </c>
      <c r="E323" s="1" t="str">
        <f>TRIM(CLEAN(Sheet1[[#This Row],[Category]]))</f>
        <v>Office Supplies</v>
      </c>
      <c r="F323">
        <v>4</v>
      </c>
      <c r="G323" t="str">
        <f t="shared" si="5"/>
        <v>2. Mid-Market (4-7 Units)</v>
      </c>
      <c r="H323">
        <v>4</v>
      </c>
      <c r="I323">
        <v>16.260000000000002</v>
      </c>
      <c r="J323">
        <f>IF(ISBLANK(I323), ROUND(I323/ABS(VALUE(_xlfn.TEXTBEFORE(F323&amp;" ", " "))), 2), ABS(VALUE(SUBSTITUTE(I323, "$", ""))))</f>
        <v>16.260000000000002</v>
      </c>
      <c r="K323">
        <f>ROUND(Sheet1[[#This Row],[CleanedUnits_sold]]*Sheet1[[#This Row],[Cleaned_Unit_Price]],2)</f>
        <v>65.040000000000006</v>
      </c>
      <c r="L323">
        <v>65.040000000000006</v>
      </c>
      <c r="M323" s="1" t="s">
        <v>638</v>
      </c>
      <c r="N323" s="1" t="s">
        <v>14</v>
      </c>
      <c r="O323" s="1" t="s">
        <v>638</v>
      </c>
    </row>
    <row r="324" spans="1:15" x14ac:dyDescent="0.35">
      <c r="A324" s="1" t="s">
        <v>639</v>
      </c>
      <c r="B324" s="2">
        <v>44967</v>
      </c>
      <c r="C324" s="1" t="s">
        <v>23</v>
      </c>
      <c r="D324" s="1" t="s">
        <v>24</v>
      </c>
      <c r="E324" s="1" t="str">
        <f>TRIM(CLEAN(Sheet1[[#This Row],[Category]]))</f>
        <v>Electronics</v>
      </c>
      <c r="F324">
        <v>6</v>
      </c>
      <c r="G324" t="str">
        <f t="shared" si="5"/>
        <v>2. Mid-Market (4-7 Units)</v>
      </c>
      <c r="H324">
        <v>6</v>
      </c>
      <c r="I324">
        <v>228.9</v>
      </c>
      <c r="J324">
        <f>IF(ISBLANK(I324), ROUND(I324/ABS(VALUE(_xlfn.TEXTBEFORE(F324&amp;" ", " "))), 2), ABS(VALUE(SUBSTITUTE(I324, "$", ""))))</f>
        <v>228.9</v>
      </c>
      <c r="K324">
        <f>ROUND(Sheet1[[#This Row],[CleanedUnits_sold]]*Sheet1[[#This Row],[Cleaned_Unit_Price]],2)</f>
        <v>1373.4</v>
      </c>
      <c r="L324">
        <v>1373.4</v>
      </c>
      <c r="M324" s="1" t="s">
        <v>640</v>
      </c>
      <c r="N324" s="1" t="s">
        <v>50</v>
      </c>
      <c r="O324" s="1" t="s">
        <v>640</v>
      </c>
    </row>
    <row r="325" spans="1:15" x14ac:dyDescent="0.35">
      <c r="A325" s="1" t="s">
        <v>641</v>
      </c>
      <c r="B325" s="2">
        <v>45050</v>
      </c>
      <c r="C325" s="1" t="s">
        <v>23</v>
      </c>
      <c r="D325" s="1" t="s">
        <v>12</v>
      </c>
      <c r="E325" s="1" t="str">
        <f>TRIM(CLEAN(Sheet1[[#This Row],[Category]]))</f>
        <v>Office Supplies</v>
      </c>
      <c r="F325">
        <v>2</v>
      </c>
      <c r="G325" t="str">
        <f t="shared" si="5"/>
        <v>1. Retail (1-3 Units)</v>
      </c>
      <c r="H325">
        <v>2</v>
      </c>
      <c r="I325">
        <v>178.05</v>
      </c>
      <c r="J325">
        <f>IF(ISBLANK(I325), ROUND(I325/ABS(VALUE(_xlfn.TEXTBEFORE(F325&amp;" ", " "))), 2), ABS(VALUE(SUBSTITUTE(I325, "$", ""))))</f>
        <v>178.05</v>
      </c>
      <c r="K325">
        <f>ROUND(Sheet1[[#This Row],[CleanedUnits_sold]]*Sheet1[[#This Row],[Cleaned_Unit_Price]],2)</f>
        <v>356.1</v>
      </c>
      <c r="L325">
        <v>451.09</v>
      </c>
      <c r="M325" s="1" t="s">
        <v>642</v>
      </c>
      <c r="N325" s="1" t="s">
        <v>50</v>
      </c>
      <c r="O325" s="1" t="s">
        <v>642</v>
      </c>
    </row>
    <row r="326" spans="1:15" x14ac:dyDescent="0.35">
      <c r="A326" s="1" t="s">
        <v>643</v>
      </c>
      <c r="B326" s="2">
        <v>1</v>
      </c>
      <c r="C326" s="1" t="s">
        <v>23</v>
      </c>
      <c r="D326" s="1" t="s">
        <v>32</v>
      </c>
      <c r="E326" s="1" t="str">
        <f>TRIM(CLEAN(Sheet1[[#This Row],[Category]]))</f>
        <v>Furniture</v>
      </c>
      <c r="F326">
        <v>6</v>
      </c>
      <c r="G326" t="str">
        <f t="shared" si="5"/>
        <v>2. Mid-Market (4-7 Units)</v>
      </c>
      <c r="H326">
        <v>6</v>
      </c>
      <c r="I326">
        <v>77.739999999999995</v>
      </c>
      <c r="J326">
        <f>IF(ISBLANK(I326), ROUND(I326/ABS(VALUE(_xlfn.TEXTBEFORE(F326&amp;" ", " "))), 2), ABS(VALUE(SUBSTITUTE(I326, "$", ""))))</f>
        <v>77.739999999999995</v>
      </c>
      <c r="K326">
        <f>ROUND(Sheet1[[#This Row],[CleanedUnits_sold]]*Sheet1[[#This Row],[Cleaned_Unit_Price]],2)</f>
        <v>466.44</v>
      </c>
      <c r="L326">
        <v>466.44</v>
      </c>
      <c r="M326" s="1" t="s">
        <v>644</v>
      </c>
      <c r="N326" s="1" t="s">
        <v>14</v>
      </c>
      <c r="O326" s="1" t="s">
        <v>644</v>
      </c>
    </row>
    <row r="327" spans="1:15" x14ac:dyDescent="0.35">
      <c r="A327" s="1" t="s">
        <v>645</v>
      </c>
      <c r="B327" s="2">
        <v>45057</v>
      </c>
      <c r="C327" s="1" t="s">
        <v>19</v>
      </c>
      <c r="D327" s="1" t="s">
        <v>46</v>
      </c>
      <c r="E327" s="1" t="str">
        <f>TRIM(CLEAN(Sheet1[[#This Row],[Category]]))</f>
        <v>Furniture</v>
      </c>
      <c r="F327">
        <v>6</v>
      </c>
      <c r="G327" t="str">
        <f t="shared" si="5"/>
        <v>2. Mid-Market (4-7 Units)</v>
      </c>
      <c r="H327">
        <v>6</v>
      </c>
      <c r="I327">
        <v>225.34</v>
      </c>
      <c r="J327">
        <f>IF(ISBLANK(I327), ROUND(I327/ABS(VALUE(_xlfn.TEXTBEFORE(F327&amp;" ", " "))), 2), ABS(VALUE(SUBSTITUTE(I327, "$", ""))))</f>
        <v>225.34</v>
      </c>
      <c r="K327">
        <f>ROUND(Sheet1[[#This Row],[CleanedUnits_sold]]*Sheet1[[#This Row],[Cleaned_Unit_Price]],2)</f>
        <v>1352.04</v>
      </c>
      <c r="L327">
        <v>1352.04</v>
      </c>
      <c r="M327" s="1" t="s">
        <v>646</v>
      </c>
      <c r="N327" s="1" t="s">
        <v>50</v>
      </c>
      <c r="O327" s="1" t="s">
        <v>646</v>
      </c>
    </row>
    <row r="328" spans="1:15" x14ac:dyDescent="0.35">
      <c r="A328" s="1" t="s">
        <v>647</v>
      </c>
      <c r="B328" s="2">
        <v>44931</v>
      </c>
      <c r="C328" s="1" t="s">
        <v>23</v>
      </c>
      <c r="D328" s="1" t="s">
        <v>24</v>
      </c>
      <c r="E328" s="1" t="str">
        <f>TRIM(CLEAN(Sheet1[[#This Row],[Category]]))</f>
        <v>Electronics</v>
      </c>
      <c r="F328">
        <v>6</v>
      </c>
      <c r="G328" t="str">
        <f t="shared" si="5"/>
        <v>2. Mid-Market (4-7 Units)</v>
      </c>
      <c r="H328">
        <v>6</v>
      </c>
      <c r="I328">
        <v>253.2</v>
      </c>
      <c r="J328">
        <f>IF(ISBLANK(I328), ROUND(I328/ABS(VALUE(_xlfn.TEXTBEFORE(F328&amp;" ", " "))), 2), ABS(VALUE(SUBSTITUTE(I328, "$", ""))))</f>
        <v>253.2</v>
      </c>
      <c r="K328">
        <f>ROUND(Sheet1[[#This Row],[CleanedUnits_sold]]*Sheet1[[#This Row],[Cleaned_Unit_Price]],2)</f>
        <v>1519.2</v>
      </c>
      <c r="L328">
        <v>1519.2</v>
      </c>
      <c r="M328" s="1" t="s">
        <v>648</v>
      </c>
      <c r="N328" s="1" t="s">
        <v>50</v>
      </c>
      <c r="O328" s="1" t="s">
        <v>648</v>
      </c>
    </row>
    <row r="329" spans="1:15" x14ac:dyDescent="0.35">
      <c r="A329" s="1" t="s">
        <v>649</v>
      </c>
      <c r="B329" s="2">
        <v>1</v>
      </c>
      <c r="C329" s="1" t="s">
        <v>16</v>
      </c>
      <c r="D329" s="1" t="s">
        <v>12</v>
      </c>
      <c r="E329" s="1" t="str">
        <f>TRIM(CLEAN(Sheet1[[#This Row],[Category]]))</f>
        <v>Office Supplies</v>
      </c>
      <c r="F329">
        <v>5</v>
      </c>
      <c r="G329" t="str">
        <f t="shared" si="5"/>
        <v>2. Mid-Market (4-7 Units)</v>
      </c>
      <c r="H329">
        <v>5</v>
      </c>
      <c r="I329">
        <v>207.79</v>
      </c>
      <c r="J329">
        <f>IF(ISBLANK(I329), ROUND(I329/ABS(VALUE(_xlfn.TEXTBEFORE(F329&amp;" ", " "))), 2), ABS(VALUE(SUBSTITUTE(I329, "$", ""))))</f>
        <v>207.79</v>
      </c>
      <c r="K329">
        <f>ROUND(Sheet1[[#This Row],[CleanedUnits_sold]]*Sheet1[[#This Row],[Cleaned_Unit_Price]],2)</f>
        <v>1038.95</v>
      </c>
      <c r="L329">
        <v>1308.0899999999999</v>
      </c>
      <c r="M329" s="1" t="s">
        <v>650</v>
      </c>
      <c r="N329" s="1" t="s">
        <v>26</v>
      </c>
      <c r="O329" s="1" t="s">
        <v>650</v>
      </c>
    </row>
    <row r="330" spans="1:15" x14ac:dyDescent="0.35">
      <c r="A330" s="1" t="s">
        <v>651</v>
      </c>
      <c r="B330" s="2">
        <v>1</v>
      </c>
      <c r="C330" s="1" t="s">
        <v>16</v>
      </c>
      <c r="D330" s="1" t="s">
        <v>46</v>
      </c>
      <c r="E330" s="1" t="str">
        <f>TRIM(CLEAN(Sheet1[[#This Row],[Category]]))</f>
        <v>Furniture</v>
      </c>
      <c r="F330">
        <v>2</v>
      </c>
      <c r="G330" t="str">
        <f t="shared" si="5"/>
        <v>1. Retail (1-3 Units)</v>
      </c>
      <c r="H330">
        <v>2</v>
      </c>
      <c r="I330">
        <v>342.54</v>
      </c>
      <c r="J330">
        <f>IF(ISBLANK(I330), ROUND(I330/ABS(VALUE(_xlfn.TEXTBEFORE(F330&amp;" ", " "))), 2), ABS(VALUE(SUBSTITUTE(I330, "$", ""))))</f>
        <v>342.54</v>
      </c>
      <c r="K330">
        <f>ROUND(Sheet1[[#This Row],[CleanedUnits_sold]]*Sheet1[[#This Row],[Cleaned_Unit_Price]],2)</f>
        <v>685.08</v>
      </c>
      <c r="L330">
        <v>815.82</v>
      </c>
      <c r="M330" s="1" t="s">
        <v>652</v>
      </c>
      <c r="N330" s="1" t="s">
        <v>14</v>
      </c>
      <c r="O330" s="1" t="s">
        <v>652</v>
      </c>
    </row>
    <row r="331" spans="1:15" x14ac:dyDescent="0.35">
      <c r="A331" s="1" t="s">
        <v>653</v>
      </c>
      <c r="B331" s="2">
        <v>45227</v>
      </c>
      <c r="C331" s="1" t="s">
        <v>19</v>
      </c>
      <c r="D331" s="1" t="s">
        <v>12</v>
      </c>
      <c r="E331" s="1" t="str">
        <f>TRIM(CLEAN(Sheet1[[#This Row],[Category]]))</f>
        <v>Office Supplies</v>
      </c>
      <c r="F331">
        <v>5</v>
      </c>
      <c r="G331" t="str">
        <f t="shared" si="5"/>
        <v>2. Mid-Market (4-7 Units)</v>
      </c>
      <c r="H331">
        <v>5</v>
      </c>
      <c r="I331">
        <v>216.24</v>
      </c>
      <c r="J331">
        <f>IF(ISBLANK(I331), ROUND(I331/ABS(VALUE(_xlfn.TEXTBEFORE(F331&amp;" ", " "))), 2), ABS(VALUE(SUBSTITUTE(I331, "$", ""))))</f>
        <v>216.24</v>
      </c>
      <c r="K331">
        <f>ROUND(Sheet1[[#This Row],[CleanedUnits_sold]]*Sheet1[[#This Row],[Cleaned_Unit_Price]],2)</f>
        <v>1081.2</v>
      </c>
      <c r="L331">
        <v>1424.49</v>
      </c>
      <c r="M331" s="1" t="s">
        <v>654</v>
      </c>
      <c r="N331" s="1" t="s">
        <v>50</v>
      </c>
      <c r="O331" s="1" t="s">
        <v>654</v>
      </c>
    </row>
    <row r="332" spans="1:15" x14ac:dyDescent="0.35">
      <c r="A332" s="1" t="s">
        <v>655</v>
      </c>
      <c r="B332" s="2">
        <v>45144</v>
      </c>
      <c r="C332" s="1" t="s">
        <v>11</v>
      </c>
      <c r="D332" s="1" t="s">
        <v>12</v>
      </c>
      <c r="E332" s="1" t="str">
        <f>TRIM(CLEAN(Sheet1[[#This Row],[Category]]))</f>
        <v>Office Supplies</v>
      </c>
      <c r="F332">
        <v>3</v>
      </c>
      <c r="G332" t="str">
        <f t="shared" si="5"/>
        <v>1. Retail (1-3 Units)</v>
      </c>
      <c r="H332">
        <v>3</v>
      </c>
      <c r="I332">
        <v>481.09</v>
      </c>
      <c r="J332">
        <f>IF(ISBLANK(I332), ROUND(I332/ABS(VALUE(_xlfn.TEXTBEFORE(F332&amp;" ", " "))), 2), ABS(VALUE(SUBSTITUTE(I332, "$", ""))))</f>
        <v>481.09</v>
      </c>
      <c r="K332">
        <f>ROUND(Sheet1[[#This Row],[CleanedUnits_sold]]*Sheet1[[#This Row],[Cleaned_Unit_Price]],2)</f>
        <v>1443.27</v>
      </c>
      <c r="L332">
        <v>1443.27</v>
      </c>
      <c r="M332" s="1" t="s">
        <v>656</v>
      </c>
      <c r="N332" s="1" t="s">
        <v>26</v>
      </c>
      <c r="O332" s="1" t="s">
        <v>656</v>
      </c>
    </row>
    <row r="333" spans="1:15" x14ac:dyDescent="0.35">
      <c r="A333" s="1" t="s">
        <v>657</v>
      </c>
      <c r="B333" s="2">
        <v>45022</v>
      </c>
      <c r="C333" s="1" t="s">
        <v>23</v>
      </c>
      <c r="D333" s="1" t="s">
        <v>12</v>
      </c>
      <c r="E333" s="1" t="str">
        <f>TRIM(CLEAN(Sheet1[[#This Row],[Category]]))</f>
        <v>Office Supplies</v>
      </c>
      <c r="F333">
        <v>3</v>
      </c>
      <c r="G333" t="str">
        <f t="shared" si="5"/>
        <v>1. Retail (1-3 Units)</v>
      </c>
      <c r="H333">
        <v>3</v>
      </c>
      <c r="I333">
        <v>303.64999999999998</v>
      </c>
      <c r="J333">
        <f>IF(ISBLANK(I333), ROUND(I333/ABS(VALUE(_xlfn.TEXTBEFORE(F333&amp;" ", " "))), 2), ABS(VALUE(SUBSTITUTE(I333, "$", ""))))</f>
        <v>303.64999999999998</v>
      </c>
      <c r="K333">
        <f>ROUND(Sheet1[[#This Row],[CleanedUnits_sold]]*Sheet1[[#This Row],[Cleaned_Unit_Price]],2)</f>
        <v>910.95</v>
      </c>
      <c r="L333">
        <v>910.95</v>
      </c>
      <c r="M333" s="1"/>
      <c r="N333" s="1" t="s">
        <v>26</v>
      </c>
      <c r="O333" s="1" t="s">
        <v>131</v>
      </c>
    </row>
    <row r="334" spans="1:15" x14ac:dyDescent="0.35">
      <c r="A334" s="1" t="s">
        <v>658</v>
      </c>
      <c r="B334" s="2">
        <v>45174</v>
      </c>
      <c r="C334" s="1" t="s">
        <v>16</v>
      </c>
      <c r="D334" s="1" t="s">
        <v>46</v>
      </c>
      <c r="E334" s="1" t="str">
        <f>TRIM(CLEAN(Sheet1[[#This Row],[Category]]))</f>
        <v>Furniture</v>
      </c>
      <c r="F334">
        <v>3</v>
      </c>
      <c r="G334" t="str">
        <f t="shared" si="5"/>
        <v>1. Retail (1-3 Units)</v>
      </c>
      <c r="H334">
        <v>3</v>
      </c>
      <c r="I334">
        <v>405.66</v>
      </c>
      <c r="J334">
        <f>IF(ISBLANK(I334), ROUND(I334/ABS(VALUE(_xlfn.TEXTBEFORE(F334&amp;" ", " "))), 2), ABS(VALUE(SUBSTITUTE(I334, "$", ""))))</f>
        <v>405.66</v>
      </c>
      <c r="K334">
        <f>ROUND(Sheet1[[#This Row],[CleanedUnits_sold]]*Sheet1[[#This Row],[Cleaned_Unit_Price]],2)</f>
        <v>1216.98</v>
      </c>
      <c r="M334" s="1" t="s">
        <v>84</v>
      </c>
      <c r="N334" s="1" t="s">
        <v>14</v>
      </c>
      <c r="O334" s="1" t="s">
        <v>85</v>
      </c>
    </row>
    <row r="335" spans="1:15" x14ac:dyDescent="0.35">
      <c r="A335" s="1" t="s">
        <v>659</v>
      </c>
      <c r="B335" s="2">
        <v>45219</v>
      </c>
      <c r="C335" s="1" t="s">
        <v>23</v>
      </c>
      <c r="D335" s="1" t="s">
        <v>24</v>
      </c>
      <c r="E335" s="1" t="str">
        <f>TRIM(CLEAN(Sheet1[[#This Row],[Category]]))</f>
        <v>Electronics</v>
      </c>
      <c r="F335">
        <v>6</v>
      </c>
      <c r="G335" t="str">
        <f t="shared" si="5"/>
        <v>2. Mid-Market (4-7 Units)</v>
      </c>
      <c r="H335">
        <v>6</v>
      </c>
      <c r="I335">
        <v>63.58</v>
      </c>
      <c r="J335">
        <f>IF(ISBLANK(I335), ROUND(I335/ABS(VALUE(_xlfn.TEXTBEFORE(F335&amp;" ", " "))), 2), ABS(VALUE(SUBSTITUTE(I335, "$", ""))))</f>
        <v>63.58</v>
      </c>
      <c r="K335">
        <f>ROUND(Sheet1[[#This Row],[CleanedUnits_sold]]*Sheet1[[#This Row],[Cleaned_Unit_Price]],2)</f>
        <v>381.48</v>
      </c>
      <c r="L335">
        <v>381.48</v>
      </c>
      <c r="M335" s="1" t="s">
        <v>660</v>
      </c>
      <c r="N335" s="1" t="s">
        <v>50</v>
      </c>
      <c r="O335" s="1" t="s">
        <v>660</v>
      </c>
    </row>
    <row r="336" spans="1:15" x14ac:dyDescent="0.35">
      <c r="A336" s="1" t="s">
        <v>661</v>
      </c>
      <c r="B336" s="2">
        <v>45285</v>
      </c>
      <c r="C336" s="1" t="s">
        <v>19</v>
      </c>
      <c r="D336" s="1" t="s">
        <v>12</v>
      </c>
      <c r="E336" s="1" t="str">
        <f>TRIM(CLEAN(Sheet1[[#This Row],[Category]]))</f>
        <v>Office Supplies</v>
      </c>
      <c r="F336">
        <v>6</v>
      </c>
      <c r="G336" t="str">
        <f t="shared" si="5"/>
        <v>2. Mid-Market (4-7 Units)</v>
      </c>
      <c r="H336">
        <v>6</v>
      </c>
      <c r="I336">
        <v>204.67</v>
      </c>
      <c r="J336">
        <f>IF(ISBLANK(I336), ROUND(I336/ABS(VALUE(_xlfn.TEXTBEFORE(F336&amp;" ", " "))), 2), ABS(VALUE(SUBSTITUTE(I336, "$", ""))))</f>
        <v>204.67</v>
      </c>
      <c r="K336">
        <f>ROUND(Sheet1[[#This Row],[CleanedUnits_sold]]*Sheet1[[#This Row],[Cleaned_Unit_Price]],2)</f>
        <v>1228.02</v>
      </c>
      <c r="L336">
        <v>1228.02</v>
      </c>
      <c r="M336" s="1" t="s">
        <v>662</v>
      </c>
      <c r="N336" s="1" t="s">
        <v>38</v>
      </c>
      <c r="O336" s="1" t="s">
        <v>662</v>
      </c>
    </row>
    <row r="337" spans="1:15" x14ac:dyDescent="0.35">
      <c r="A337" s="1" t="s">
        <v>663</v>
      </c>
      <c r="B337" s="2">
        <v>1</v>
      </c>
      <c r="C337" s="1" t="s">
        <v>11</v>
      </c>
      <c r="D337" s="1" t="s">
        <v>12</v>
      </c>
      <c r="E337" s="1" t="str">
        <f>TRIM(CLEAN(Sheet1[[#This Row],[Category]]))</f>
        <v>Office Supplies</v>
      </c>
      <c r="F337">
        <v>4</v>
      </c>
      <c r="G337" t="str">
        <f t="shared" si="5"/>
        <v>2. Mid-Market (4-7 Units)</v>
      </c>
      <c r="H337">
        <v>4</v>
      </c>
      <c r="I337">
        <v>175.06</v>
      </c>
      <c r="J337">
        <f>IF(ISBLANK(I337), ROUND(I337/ABS(VALUE(_xlfn.TEXTBEFORE(F337&amp;" ", " "))), 2), ABS(VALUE(SUBSTITUTE(I337, "$", ""))))</f>
        <v>175.06</v>
      </c>
      <c r="K337">
        <f>ROUND(Sheet1[[#This Row],[CleanedUnits_sold]]*Sheet1[[#This Row],[Cleaned_Unit_Price]],2)</f>
        <v>700.24</v>
      </c>
      <c r="L337">
        <v>700.24</v>
      </c>
      <c r="M337" s="1" t="s">
        <v>664</v>
      </c>
      <c r="N337" s="1" t="s">
        <v>14</v>
      </c>
      <c r="O337" s="1" t="s">
        <v>664</v>
      </c>
    </row>
    <row r="338" spans="1:15" x14ac:dyDescent="0.35">
      <c r="A338" s="1" t="s">
        <v>665</v>
      </c>
      <c r="B338" s="2">
        <v>45129</v>
      </c>
      <c r="C338" s="1" t="s">
        <v>16</v>
      </c>
      <c r="D338" s="1" t="s">
        <v>46</v>
      </c>
      <c r="E338" s="1" t="str">
        <f>TRIM(CLEAN(Sheet1[[#This Row],[Category]]))</f>
        <v>Furniture</v>
      </c>
      <c r="F338">
        <v>9999</v>
      </c>
      <c r="G338" t="str">
        <f t="shared" si="5"/>
        <v>2. Mid-Market (4-7 Units)</v>
      </c>
      <c r="H338">
        <v>5</v>
      </c>
      <c r="I338">
        <v>289.05</v>
      </c>
      <c r="J338">
        <f>IF(ISBLANK(I338), ROUND(I338/ABS(VALUE(_xlfn.TEXTBEFORE(F338&amp;" ", " "))), 2), ABS(VALUE(SUBSTITUTE(I338, "$", ""))))</f>
        <v>289.05</v>
      </c>
      <c r="K338">
        <f>ROUND(Sheet1[[#This Row],[CleanedUnits_sold]]*Sheet1[[#This Row],[Cleaned_Unit_Price]],2)</f>
        <v>1445.25</v>
      </c>
      <c r="L338">
        <v>1445.25</v>
      </c>
      <c r="M338" s="1" t="s">
        <v>49</v>
      </c>
      <c r="N338" s="1" t="s">
        <v>26</v>
      </c>
      <c r="O338" s="1" t="s">
        <v>51</v>
      </c>
    </row>
    <row r="339" spans="1:15" x14ac:dyDescent="0.35">
      <c r="A339" s="1" t="s">
        <v>666</v>
      </c>
      <c r="B339" s="2">
        <v>1</v>
      </c>
      <c r="C339" s="1" t="s">
        <v>16</v>
      </c>
      <c r="D339" s="1" t="s">
        <v>32</v>
      </c>
      <c r="E339" s="1" t="str">
        <f>TRIM(CLEAN(Sheet1[[#This Row],[Category]]))</f>
        <v>Furniture</v>
      </c>
      <c r="F339">
        <v>5</v>
      </c>
      <c r="G339" t="str">
        <f t="shared" si="5"/>
        <v>2. Mid-Market (4-7 Units)</v>
      </c>
      <c r="H339">
        <v>5</v>
      </c>
      <c r="I339">
        <v>431.95</v>
      </c>
      <c r="J339">
        <f>IF(ISBLANK(I339), ROUND(I339/ABS(VALUE(_xlfn.TEXTBEFORE(F339&amp;" ", " "))), 2), ABS(VALUE(SUBSTITUTE(I339, "$", ""))))</f>
        <v>431.95</v>
      </c>
      <c r="K339">
        <f>ROUND(Sheet1[[#This Row],[CleanedUnits_sold]]*Sheet1[[#This Row],[Cleaned_Unit_Price]],2)</f>
        <v>2159.75</v>
      </c>
      <c r="L339">
        <v>2159.75</v>
      </c>
      <c r="M339" s="1" t="s">
        <v>667</v>
      </c>
      <c r="N339" s="1" t="s">
        <v>50</v>
      </c>
      <c r="O339" s="1" t="s">
        <v>667</v>
      </c>
    </row>
    <row r="340" spans="1:15" x14ac:dyDescent="0.35">
      <c r="A340" s="1" t="s">
        <v>668</v>
      </c>
      <c r="B340" s="2">
        <v>44952</v>
      </c>
      <c r="C340" s="1" t="s">
        <v>11</v>
      </c>
      <c r="D340" s="1" t="s">
        <v>24</v>
      </c>
      <c r="E340" s="1" t="str">
        <f>TRIM(CLEAN(Sheet1[[#This Row],[Category]]))</f>
        <v>Electronics</v>
      </c>
      <c r="F340">
        <v>7</v>
      </c>
      <c r="G340" t="str">
        <f t="shared" si="5"/>
        <v>2. Mid-Market (4-7 Units)</v>
      </c>
      <c r="H340">
        <v>7</v>
      </c>
      <c r="I340">
        <v>48.39</v>
      </c>
      <c r="J340">
        <f>IF(ISBLANK(I340), ROUND(I340/ABS(VALUE(_xlfn.TEXTBEFORE(F340&amp;" ", " "))), 2), ABS(VALUE(SUBSTITUTE(I340, "$", ""))))</f>
        <v>48.39</v>
      </c>
      <c r="K340">
        <f>ROUND(Sheet1[[#This Row],[CleanedUnits_sold]]*Sheet1[[#This Row],[Cleaned_Unit_Price]],2)</f>
        <v>338.73</v>
      </c>
      <c r="L340">
        <v>338.73</v>
      </c>
      <c r="M340" s="1" t="s">
        <v>669</v>
      </c>
      <c r="N340" s="1" t="s">
        <v>14</v>
      </c>
      <c r="O340" s="1" t="s">
        <v>669</v>
      </c>
    </row>
    <row r="341" spans="1:15" x14ac:dyDescent="0.35">
      <c r="A341" s="1" t="s">
        <v>670</v>
      </c>
      <c r="B341" s="2">
        <v>1</v>
      </c>
      <c r="C341" s="1" t="s">
        <v>11</v>
      </c>
      <c r="D341" s="1" t="s">
        <v>12</v>
      </c>
      <c r="E341" s="1" t="str">
        <f>TRIM(CLEAN(Sheet1[[#This Row],[Category]]))</f>
        <v>Office Supplies</v>
      </c>
      <c r="F341">
        <v>5</v>
      </c>
      <c r="G341" t="str">
        <f t="shared" si="5"/>
        <v>2. Mid-Market (4-7 Units)</v>
      </c>
      <c r="H341">
        <v>5</v>
      </c>
      <c r="I341">
        <v>45.56</v>
      </c>
      <c r="J341">
        <f>IF(ISBLANK(I341), ROUND(I341/ABS(VALUE(_xlfn.TEXTBEFORE(F341&amp;" ", " "))), 2), ABS(VALUE(SUBSTITUTE(I341, "$", ""))))</f>
        <v>45.56</v>
      </c>
      <c r="K341">
        <f>ROUND(Sheet1[[#This Row],[CleanedUnits_sold]]*Sheet1[[#This Row],[Cleaned_Unit_Price]],2)</f>
        <v>227.8</v>
      </c>
      <c r="L341">
        <v>227.8</v>
      </c>
      <c r="M341" s="1" t="s">
        <v>671</v>
      </c>
      <c r="N341" s="1" t="s">
        <v>14</v>
      </c>
      <c r="O341" s="1" t="s">
        <v>671</v>
      </c>
    </row>
    <row r="342" spans="1:15" x14ac:dyDescent="0.35">
      <c r="A342" s="1" t="s">
        <v>672</v>
      </c>
      <c r="B342" s="2">
        <v>1</v>
      </c>
      <c r="C342" s="1" t="s">
        <v>23</v>
      </c>
      <c r="D342" s="1" t="s">
        <v>46</v>
      </c>
      <c r="E342" s="1" t="str">
        <f>TRIM(CLEAN(Sheet1[[#This Row],[Category]]))</f>
        <v>Furniture</v>
      </c>
      <c r="F342">
        <v>3</v>
      </c>
      <c r="G342" t="str">
        <f t="shared" si="5"/>
        <v>1. Retail (1-3 Units)</v>
      </c>
      <c r="H342">
        <v>3</v>
      </c>
      <c r="I342">
        <v>426.66</v>
      </c>
      <c r="J342">
        <f>IF(ISBLANK(I342), ROUND(I342/ABS(VALUE(_xlfn.TEXTBEFORE(F342&amp;" ", " "))), 2), ABS(VALUE(SUBSTITUTE(I342, "$", ""))))</f>
        <v>426.66</v>
      </c>
      <c r="K342">
        <f>ROUND(Sheet1[[#This Row],[CleanedUnits_sold]]*Sheet1[[#This Row],[Cleaned_Unit_Price]],2)</f>
        <v>1279.98</v>
      </c>
      <c r="L342">
        <v>1279.98</v>
      </c>
      <c r="M342" s="1" t="s">
        <v>673</v>
      </c>
      <c r="N342" s="1" t="s">
        <v>26</v>
      </c>
      <c r="O342" s="1" t="s">
        <v>673</v>
      </c>
    </row>
    <row r="343" spans="1:15" x14ac:dyDescent="0.35">
      <c r="A343" s="1" t="s">
        <v>674</v>
      </c>
      <c r="B343" s="2">
        <v>45244</v>
      </c>
      <c r="C343" s="1" t="s">
        <v>11</v>
      </c>
      <c r="D343" s="1" t="s">
        <v>32</v>
      </c>
      <c r="E343" s="1" t="str">
        <f>TRIM(CLEAN(Sheet1[[#This Row],[Category]]))</f>
        <v>Furniture</v>
      </c>
      <c r="F343">
        <v>4</v>
      </c>
      <c r="G343" t="str">
        <f t="shared" si="5"/>
        <v>2. Mid-Market (4-7 Units)</v>
      </c>
      <c r="H343">
        <v>4</v>
      </c>
      <c r="I343">
        <v>114.3</v>
      </c>
      <c r="J343">
        <f>IF(ISBLANK(I343), ROUND(I343/ABS(VALUE(_xlfn.TEXTBEFORE(F343&amp;" ", " "))), 2), ABS(VALUE(SUBSTITUTE(I343, "$", ""))))</f>
        <v>114.3</v>
      </c>
      <c r="K343">
        <f>ROUND(Sheet1[[#This Row],[CleanedUnits_sold]]*Sheet1[[#This Row],[Cleaned_Unit_Price]],2)</f>
        <v>457.2</v>
      </c>
      <c r="L343">
        <v>588.20000000000005</v>
      </c>
      <c r="M343" s="1" t="s">
        <v>675</v>
      </c>
      <c r="N343" s="1" t="s">
        <v>14</v>
      </c>
      <c r="O343" s="1" t="s">
        <v>675</v>
      </c>
    </row>
    <row r="344" spans="1:15" x14ac:dyDescent="0.35">
      <c r="A344" s="1" t="s">
        <v>676</v>
      </c>
      <c r="B344" s="2">
        <v>45028</v>
      </c>
      <c r="C344" s="1" t="s">
        <v>16</v>
      </c>
      <c r="D344" s="1" t="s">
        <v>32</v>
      </c>
      <c r="E344" s="1" t="str">
        <f>TRIM(CLEAN(Sheet1[[#This Row],[Category]]))</f>
        <v>Furniture</v>
      </c>
      <c r="F344">
        <v>7</v>
      </c>
      <c r="G344" t="str">
        <f t="shared" si="5"/>
        <v>2. Mid-Market (4-7 Units)</v>
      </c>
      <c r="H344">
        <v>7</v>
      </c>
      <c r="I344">
        <v>337.69</v>
      </c>
      <c r="J344">
        <f>IF(ISBLANK(I344), ROUND(I344/ABS(VALUE(_xlfn.TEXTBEFORE(F344&amp;" ", " "))), 2), ABS(VALUE(SUBSTITUTE(I344, "$", ""))))</f>
        <v>337.69</v>
      </c>
      <c r="K344">
        <f>ROUND(Sheet1[[#This Row],[CleanedUnits_sold]]*Sheet1[[#This Row],[Cleaned_Unit_Price]],2)</f>
        <v>2363.83</v>
      </c>
      <c r="L344">
        <v>2363.83</v>
      </c>
      <c r="M344" s="1" t="s">
        <v>677</v>
      </c>
      <c r="N344" s="1" t="s">
        <v>14</v>
      </c>
      <c r="O344" s="1" t="s">
        <v>677</v>
      </c>
    </row>
    <row r="345" spans="1:15" x14ac:dyDescent="0.35">
      <c r="A345" s="1" t="s">
        <v>678</v>
      </c>
      <c r="B345" s="2">
        <v>45248</v>
      </c>
      <c r="C345" s="1" t="s">
        <v>16</v>
      </c>
      <c r="D345" s="1" t="s">
        <v>32</v>
      </c>
      <c r="E345" s="1" t="str">
        <f>TRIM(CLEAN(Sheet1[[#This Row],[Category]]))</f>
        <v>Furniture</v>
      </c>
      <c r="F345">
        <v>5</v>
      </c>
      <c r="G345" t="str">
        <f t="shared" si="5"/>
        <v>2. Mid-Market (4-7 Units)</v>
      </c>
      <c r="H345">
        <v>5</v>
      </c>
      <c r="I345" t="s">
        <v>332</v>
      </c>
      <c r="J345">
        <f>IF(ISBLANK(I345), ROUND(I345/ABS(VALUE(_xlfn.TEXTBEFORE(F345&amp;" ", " "))), 2), ABS(VALUE(SUBSTITUTE(I345, "$", ""))))</f>
        <v>250</v>
      </c>
      <c r="K345">
        <f>ROUND(Sheet1[[#This Row],[CleanedUnits_sold]]*Sheet1[[#This Row],[Cleaned_Unit_Price]],2)</f>
        <v>1250</v>
      </c>
      <c r="L345">
        <v>1380.05</v>
      </c>
      <c r="M345" s="1" t="s">
        <v>679</v>
      </c>
      <c r="N345" s="1" t="s">
        <v>14</v>
      </c>
      <c r="O345" s="1" t="s">
        <v>679</v>
      </c>
    </row>
    <row r="346" spans="1:15" x14ac:dyDescent="0.35">
      <c r="A346" s="1" t="s">
        <v>680</v>
      </c>
      <c r="B346" s="2">
        <v>45152</v>
      </c>
      <c r="C346" s="1" t="s">
        <v>23</v>
      </c>
      <c r="D346" s="1" t="s">
        <v>12</v>
      </c>
      <c r="E346" s="1" t="str">
        <f>TRIM(CLEAN(Sheet1[[#This Row],[Category]]))</f>
        <v>Office Supplies</v>
      </c>
      <c r="F346">
        <v>7</v>
      </c>
      <c r="G346" t="str">
        <f t="shared" si="5"/>
        <v>2. Mid-Market (4-7 Units)</v>
      </c>
      <c r="H346">
        <v>7</v>
      </c>
      <c r="I346">
        <v>418.12</v>
      </c>
      <c r="J346">
        <f>IF(ISBLANK(I346), ROUND(I346/ABS(VALUE(_xlfn.TEXTBEFORE(F346&amp;" ", " "))), 2), ABS(VALUE(SUBSTITUTE(I346, "$", ""))))</f>
        <v>418.12</v>
      </c>
      <c r="K346">
        <f>ROUND(Sheet1[[#This Row],[CleanedUnits_sold]]*Sheet1[[#This Row],[Cleaned_Unit_Price]],2)</f>
        <v>2926.84</v>
      </c>
      <c r="L346">
        <v>2926.84</v>
      </c>
      <c r="M346" s="1" t="s">
        <v>681</v>
      </c>
      <c r="N346" s="1" t="s">
        <v>21</v>
      </c>
      <c r="O346" s="1" t="s">
        <v>681</v>
      </c>
    </row>
    <row r="347" spans="1:15" x14ac:dyDescent="0.35">
      <c r="A347" s="1" t="s">
        <v>682</v>
      </c>
      <c r="B347" s="2">
        <v>44994</v>
      </c>
      <c r="C347" s="1" t="s">
        <v>19</v>
      </c>
      <c r="D347" s="1" t="s">
        <v>46</v>
      </c>
      <c r="E347" s="1" t="str">
        <f>TRIM(CLEAN(Sheet1[[#This Row],[Category]]))</f>
        <v>Furniture</v>
      </c>
      <c r="F347">
        <v>8</v>
      </c>
      <c r="G347" t="str">
        <f t="shared" si="5"/>
        <v>3. Wholesale / Bulk (8+ Units)</v>
      </c>
      <c r="H347">
        <v>8</v>
      </c>
      <c r="I347">
        <v>71.290000000000006</v>
      </c>
      <c r="J347">
        <f>IF(ISBLANK(I347), ROUND(I347/ABS(VALUE(_xlfn.TEXTBEFORE(F347&amp;" ", " "))), 2), ABS(VALUE(SUBSTITUTE(I347, "$", ""))))</f>
        <v>71.290000000000006</v>
      </c>
      <c r="K347">
        <f>ROUND(Sheet1[[#This Row],[CleanedUnits_sold]]*Sheet1[[#This Row],[Cleaned_Unit_Price]],2)</f>
        <v>570.32000000000005</v>
      </c>
      <c r="L347">
        <v>570.32000000000005</v>
      </c>
      <c r="M347" s="1" t="s">
        <v>683</v>
      </c>
      <c r="N347" s="1" t="s">
        <v>14</v>
      </c>
      <c r="O347" s="1" t="s">
        <v>683</v>
      </c>
    </row>
    <row r="348" spans="1:15" x14ac:dyDescent="0.35">
      <c r="A348" s="1" t="s">
        <v>684</v>
      </c>
      <c r="B348" s="2">
        <v>45094</v>
      </c>
      <c r="C348" s="1" t="s">
        <v>58</v>
      </c>
      <c r="D348" s="1" t="s">
        <v>24</v>
      </c>
      <c r="E348" s="1" t="str">
        <f>TRIM(CLEAN(Sheet1[[#This Row],[Category]]))</f>
        <v>Electronics</v>
      </c>
      <c r="F348">
        <v>7</v>
      </c>
      <c r="G348" t="str">
        <f t="shared" si="5"/>
        <v>2. Mid-Market (4-7 Units)</v>
      </c>
      <c r="H348">
        <v>7</v>
      </c>
      <c r="J348">
        <f>IF(ISBLANK(I348), ROUND(I348/ABS(VALUE(_xlfn.TEXTBEFORE(F348&amp;" ", " "))), 2), ABS(VALUE(SUBSTITUTE(I348, "$", ""))))</f>
        <v>0</v>
      </c>
      <c r="K348">
        <f>ROUND(Sheet1[[#This Row],[CleanedUnits_sold]]*Sheet1[[#This Row],[Cleaned_Unit_Price]],2)</f>
        <v>0</v>
      </c>
      <c r="M348" s="1" t="s">
        <v>685</v>
      </c>
      <c r="N348" s="1" t="s">
        <v>14</v>
      </c>
      <c r="O348" s="1" t="s">
        <v>685</v>
      </c>
    </row>
    <row r="349" spans="1:15" x14ac:dyDescent="0.35">
      <c r="A349" s="1" t="s">
        <v>686</v>
      </c>
      <c r="B349" s="2">
        <v>44994</v>
      </c>
      <c r="C349" s="1" t="s">
        <v>11</v>
      </c>
      <c r="D349" s="1" t="s">
        <v>24</v>
      </c>
      <c r="E349" s="1" t="str">
        <f>TRIM(CLEAN(Sheet1[[#This Row],[Category]]))</f>
        <v>Electronics</v>
      </c>
      <c r="F349">
        <v>5</v>
      </c>
      <c r="G349" t="str">
        <f t="shared" si="5"/>
        <v>2. Mid-Market (4-7 Units)</v>
      </c>
      <c r="H349">
        <v>5</v>
      </c>
      <c r="I349">
        <v>282.83999999999997</v>
      </c>
      <c r="J349">
        <f>IF(ISBLANK(I349), ROUND(I349/ABS(VALUE(_xlfn.TEXTBEFORE(F349&amp;" ", " "))), 2), ABS(VALUE(SUBSTITUTE(I349, "$", ""))))</f>
        <v>282.83999999999997</v>
      </c>
      <c r="K349">
        <f>ROUND(Sheet1[[#This Row],[CleanedUnits_sold]]*Sheet1[[#This Row],[Cleaned_Unit_Price]],2)</f>
        <v>1414.2</v>
      </c>
      <c r="L349">
        <v>1570.24</v>
      </c>
      <c r="M349" s="1" t="s">
        <v>49</v>
      </c>
      <c r="N349" s="1" t="s">
        <v>38</v>
      </c>
      <c r="O349" s="1" t="s">
        <v>51</v>
      </c>
    </row>
    <row r="350" spans="1:15" x14ac:dyDescent="0.35">
      <c r="A350" s="1" t="s">
        <v>687</v>
      </c>
      <c r="B350" s="2">
        <v>45173</v>
      </c>
      <c r="C350" s="1" t="s">
        <v>16</v>
      </c>
      <c r="D350" s="1" t="s">
        <v>32</v>
      </c>
      <c r="E350" s="1" t="str">
        <f>TRIM(CLEAN(Sheet1[[#This Row],[Category]]))</f>
        <v>Furniture</v>
      </c>
      <c r="F350">
        <v>4</v>
      </c>
      <c r="G350" t="str">
        <f t="shared" si="5"/>
        <v>2. Mid-Market (4-7 Units)</v>
      </c>
      <c r="H350">
        <v>4</v>
      </c>
      <c r="I350">
        <v>213.35</v>
      </c>
      <c r="J350">
        <f>IF(ISBLANK(I350), ROUND(I350/ABS(VALUE(_xlfn.TEXTBEFORE(F350&amp;" ", " "))), 2), ABS(VALUE(SUBSTITUTE(I350, "$", ""))))</f>
        <v>213.35</v>
      </c>
      <c r="K350">
        <f>ROUND(Sheet1[[#This Row],[CleanedUnits_sold]]*Sheet1[[#This Row],[Cleaned_Unit_Price]],2)</f>
        <v>853.4</v>
      </c>
      <c r="L350">
        <v>853.4</v>
      </c>
      <c r="M350" s="1" t="s">
        <v>688</v>
      </c>
      <c r="N350" s="1" t="s">
        <v>14</v>
      </c>
      <c r="O350" s="1" t="s">
        <v>688</v>
      </c>
    </row>
    <row r="351" spans="1:15" x14ac:dyDescent="0.35">
      <c r="A351" s="1" t="s">
        <v>689</v>
      </c>
      <c r="B351" s="2">
        <v>45100</v>
      </c>
      <c r="C351" s="1" t="s">
        <v>16</v>
      </c>
      <c r="D351" s="1" t="s">
        <v>24</v>
      </c>
      <c r="E351" s="1" t="str">
        <f>TRIM(CLEAN(Sheet1[[#This Row],[Category]]))</f>
        <v>Electronics</v>
      </c>
      <c r="F351">
        <v>6</v>
      </c>
      <c r="G351" t="str">
        <f t="shared" si="5"/>
        <v>2. Mid-Market (4-7 Units)</v>
      </c>
      <c r="H351">
        <v>6</v>
      </c>
      <c r="I351">
        <v>170.2</v>
      </c>
      <c r="J351">
        <f>IF(ISBLANK(I351), ROUND(I351/ABS(VALUE(_xlfn.TEXTBEFORE(F351&amp;" ", " "))), 2), ABS(VALUE(SUBSTITUTE(I351, "$", ""))))</f>
        <v>170.2</v>
      </c>
      <c r="K351">
        <f>ROUND(Sheet1[[#This Row],[CleanedUnits_sold]]*Sheet1[[#This Row],[Cleaned_Unit_Price]],2)</f>
        <v>1021.2</v>
      </c>
      <c r="L351">
        <v>1234.06</v>
      </c>
      <c r="M351" s="1" t="s">
        <v>690</v>
      </c>
      <c r="N351" s="1" t="s">
        <v>26</v>
      </c>
      <c r="O351" s="1" t="s">
        <v>690</v>
      </c>
    </row>
    <row r="352" spans="1:15" x14ac:dyDescent="0.35">
      <c r="A352" s="1" t="s">
        <v>691</v>
      </c>
      <c r="B352" s="2">
        <v>45140</v>
      </c>
      <c r="C352" s="1" t="s">
        <v>11</v>
      </c>
      <c r="D352" s="1" t="s">
        <v>12</v>
      </c>
      <c r="E352" s="1" t="str">
        <f>TRIM(CLEAN(Sheet1[[#This Row],[Category]]))</f>
        <v>Office Supplies</v>
      </c>
      <c r="F352">
        <v>8</v>
      </c>
      <c r="G352" t="str">
        <f t="shared" si="5"/>
        <v>3. Wholesale / Bulk (8+ Units)</v>
      </c>
      <c r="H352">
        <v>8</v>
      </c>
      <c r="I352">
        <v>307.27999999999997</v>
      </c>
      <c r="J352">
        <f>IF(ISBLANK(I352), ROUND(I352/ABS(VALUE(_xlfn.TEXTBEFORE(F352&amp;" ", " "))), 2), ABS(VALUE(SUBSTITUTE(I352, "$", ""))))</f>
        <v>307.27999999999997</v>
      </c>
      <c r="K352">
        <f>ROUND(Sheet1[[#This Row],[CleanedUnits_sold]]*Sheet1[[#This Row],[Cleaned_Unit_Price]],2)</f>
        <v>2458.2399999999998</v>
      </c>
      <c r="L352">
        <v>2458.2399999999998</v>
      </c>
      <c r="M352" s="1" t="s">
        <v>692</v>
      </c>
      <c r="N352" s="1" t="s">
        <v>26</v>
      </c>
      <c r="O352" s="1" t="s">
        <v>692</v>
      </c>
    </row>
    <row r="353" spans="1:15" x14ac:dyDescent="0.35">
      <c r="A353" s="1" t="s">
        <v>693</v>
      </c>
      <c r="B353" s="2">
        <v>45042</v>
      </c>
      <c r="C353" s="1" t="s">
        <v>11</v>
      </c>
      <c r="D353" s="1" t="s">
        <v>12</v>
      </c>
      <c r="E353" s="1" t="str">
        <f>TRIM(CLEAN(Sheet1[[#This Row],[Category]]))</f>
        <v>Office Supplies</v>
      </c>
      <c r="F353">
        <v>6</v>
      </c>
      <c r="G353" t="str">
        <f t="shared" si="5"/>
        <v>2. Mid-Market (4-7 Units)</v>
      </c>
      <c r="H353">
        <v>6</v>
      </c>
      <c r="I353">
        <v>465.92</v>
      </c>
      <c r="J353">
        <f>IF(ISBLANK(I353), ROUND(I353/ABS(VALUE(_xlfn.TEXTBEFORE(F353&amp;" ", " "))), 2), ABS(VALUE(SUBSTITUTE(I353, "$", ""))))</f>
        <v>465.92</v>
      </c>
      <c r="K353">
        <f>ROUND(Sheet1[[#This Row],[CleanedUnits_sold]]*Sheet1[[#This Row],[Cleaned_Unit_Price]],2)</f>
        <v>2795.52</v>
      </c>
      <c r="L353">
        <v>2795.52</v>
      </c>
      <c r="M353" s="1" t="s">
        <v>694</v>
      </c>
      <c r="N353" s="1" t="s">
        <v>50</v>
      </c>
      <c r="O353" s="1" t="s">
        <v>694</v>
      </c>
    </row>
    <row r="354" spans="1:15" x14ac:dyDescent="0.35">
      <c r="A354" s="1" t="s">
        <v>695</v>
      </c>
      <c r="B354" s="2">
        <v>45212</v>
      </c>
      <c r="C354" s="1" t="s">
        <v>19</v>
      </c>
      <c r="D354" s="1" t="s">
        <v>32</v>
      </c>
      <c r="E354" s="1" t="str">
        <f>TRIM(CLEAN(Sheet1[[#This Row],[Category]]))</f>
        <v>Furniture</v>
      </c>
      <c r="F354">
        <v>3</v>
      </c>
      <c r="G354" t="str">
        <f t="shared" si="5"/>
        <v>1. Retail (1-3 Units)</v>
      </c>
      <c r="H354">
        <v>3</v>
      </c>
      <c r="I354">
        <v>420.09</v>
      </c>
      <c r="J354">
        <f>IF(ISBLANK(I354), ROUND(I354/ABS(VALUE(_xlfn.TEXTBEFORE(F354&amp;" ", " "))), 2), ABS(VALUE(SUBSTITUTE(I354, "$", ""))))</f>
        <v>420.09</v>
      </c>
      <c r="K354">
        <f>ROUND(Sheet1[[#This Row],[CleanedUnits_sold]]*Sheet1[[#This Row],[Cleaned_Unit_Price]],2)</f>
        <v>1260.27</v>
      </c>
      <c r="L354">
        <v>1260.27</v>
      </c>
      <c r="M354" s="1" t="s">
        <v>696</v>
      </c>
      <c r="N354" s="1" t="s">
        <v>50</v>
      </c>
      <c r="O354" s="1" t="s">
        <v>696</v>
      </c>
    </row>
    <row r="355" spans="1:15" x14ac:dyDescent="0.35">
      <c r="A355" s="1" t="s">
        <v>697</v>
      </c>
      <c r="B355" s="2">
        <v>1</v>
      </c>
      <c r="C355" s="1" t="s">
        <v>19</v>
      </c>
      <c r="D355" s="1" t="s">
        <v>12</v>
      </c>
      <c r="E355" s="1" t="str">
        <f>TRIM(CLEAN(Sheet1[[#This Row],[Category]]))</f>
        <v>Office Supplies</v>
      </c>
      <c r="F355">
        <v>8</v>
      </c>
      <c r="G355" t="str">
        <f t="shared" si="5"/>
        <v>3. Wholesale / Bulk (8+ Units)</v>
      </c>
      <c r="H355">
        <v>8</v>
      </c>
      <c r="I355">
        <v>-37.11</v>
      </c>
      <c r="J355">
        <f>IF(ISBLANK(I355), ROUND(I355/ABS(VALUE(_xlfn.TEXTBEFORE(F355&amp;" ", " "))), 2), ABS(VALUE(SUBSTITUTE(I355, "$", ""))))</f>
        <v>37.11</v>
      </c>
      <c r="K355">
        <f>ROUND(Sheet1[[#This Row],[CleanedUnits_sold]]*Sheet1[[#This Row],[Cleaned_Unit_Price]],2)</f>
        <v>296.88</v>
      </c>
      <c r="L355">
        <v>3982.32</v>
      </c>
      <c r="M355" s="1"/>
      <c r="N355" s="1" t="s">
        <v>14</v>
      </c>
      <c r="O355" s="1" t="s">
        <v>131</v>
      </c>
    </row>
    <row r="356" spans="1:15" x14ac:dyDescent="0.35">
      <c r="A356" s="1" t="s">
        <v>698</v>
      </c>
      <c r="B356" s="2">
        <v>45062</v>
      </c>
      <c r="C356" s="1" t="s">
        <v>58</v>
      </c>
      <c r="D356" s="1" t="s">
        <v>46</v>
      </c>
      <c r="E356" s="1" t="str">
        <f>TRIM(CLEAN(Sheet1[[#This Row],[Category]]))</f>
        <v>Furniture</v>
      </c>
      <c r="F356">
        <v>4</v>
      </c>
      <c r="G356" t="str">
        <f t="shared" si="5"/>
        <v>2. Mid-Market (4-7 Units)</v>
      </c>
      <c r="H356">
        <v>4</v>
      </c>
      <c r="I356">
        <v>21.06</v>
      </c>
      <c r="J356">
        <f>IF(ISBLANK(I356), ROUND(I356/ABS(VALUE(_xlfn.TEXTBEFORE(F356&amp;" ", " "))), 2), ABS(VALUE(SUBSTITUTE(I356, "$", ""))))</f>
        <v>21.06</v>
      </c>
      <c r="K356">
        <f>ROUND(Sheet1[[#This Row],[CleanedUnits_sold]]*Sheet1[[#This Row],[Cleaned_Unit_Price]],2)</f>
        <v>84.24</v>
      </c>
      <c r="L356">
        <v>84.24</v>
      </c>
      <c r="M356" s="1" t="s">
        <v>699</v>
      </c>
      <c r="N356" s="1" t="s">
        <v>50</v>
      </c>
      <c r="O356" s="1" t="s">
        <v>699</v>
      </c>
    </row>
    <row r="357" spans="1:15" x14ac:dyDescent="0.35">
      <c r="A357" s="1" t="s">
        <v>700</v>
      </c>
      <c r="B357" s="2">
        <v>45271</v>
      </c>
      <c r="C357" s="1" t="s">
        <v>19</v>
      </c>
      <c r="D357" s="1" t="s">
        <v>12</v>
      </c>
      <c r="E357" s="1" t="str">
        <f>TRIM(CLEAN(Sheet1[[#This Row],[Category]]))</f>
        <v>Office Supplies</v>
      </c>
      <c r="F357">
        <v>7</v>
      </c>
      <c r="G357" t="str">
        <f t="shared" si="5"/>
        <v>2. Mid-Market (4-7 Units)</v>
      </c>
      <c r="H357">
        <v>7</v>
      </c>
      <c r="I357">
        <v>65.3</v>
      </c>
      <c r="J357">
        <f>IF(ISBLANK(I357), ROUND(I357/ABS(VALUE(_xlfn.TEXTBEFORE(F357&amp;" ", " "))), 2), ABS(VALUE(SUBSTITUTE(I357, "$", ""))))</f>
        <v>65.3</v>
      </c>
      <c r="K357">
        <f>ROUND(Sheet1[[#This Row],[CleanedUnits_sold]]*Sheet1[[#This Row],[Cleaned_Unit_Price]],2)</f>
        <v>457.1</v>
      </c>
      <c r="L357">
        <v>457.1</v>
      </c>
      <c r="M357" s="1" t="s">
        <v>701</v>
      </c>
      <c r="N357" s="1" t="s">
        <v>14</v>
      </c>
      <c r="O357" s="1" t="s">
        <v>701</v>
      </c>
    </row>
    <row r="358" spans="1:15" x14ac:dyDescent="0.35">
      <c r="A358" s="1" t="s">
        <v>702</v>
      </c>
      <c r="B358" s="2">
        <v>45253</v>
      </c>
      <c r="C358" s="1" t="s">
        <v>23</v>
      </c>
      <c r="D358" s="1" t="s">
        <v>24</v>
      </c>
      <c r="E358" s="1" t="str">
        <f>TRIM(CLEAN(Sheet1[[#This Row],[Category]]))</f>
        <v>Electronics</v>
      </c>
      <c r="F358">
        <v>2</v>
      </c>
      <c r="G358" t="str">
        <f t="shared" si="5"/>
        <v>1. Retail (1-3 Units)</v>
      </c>
      <c r="H358">
        <v>2</v>
      </c>
      <c r="I358">
        <v>308.64</v>
      </c>
      <c r="J358">
        <f>IF(ISBLANK(I358), ROUND(I358/ABS(VALUE(_xlfn.TEXTBEFORE(F358&amp;" ", " "))), 2), ABS(VALUE(SUBSTITUTE(I358, "$", ""))))</f>
        <v>308.64</v>
      </c>
      <c r="K358">
        <f>ROUND(Sheet1[[#This Row],[CleanedUnits_sold]]*Sheet1[[#This Row],[Cleaned_Unit_Price]],2)</f>
        <v>617.28</v>
      </c>
      <c r="L358">
        <v>617.28</v>
      </c>
      <c r="M358" s="1" t="s">
        <v>703</v>
      </c>
      <c r="N358" s="1" t="s">
        <v>14</v>
      </c>
      <c r="O358" s="1" t="s">
        <v>703</v>
      </c>
    </row>
    <row r="359" spans="1:15" x14ac:dyDescent="0.35">
      <c r="A359" s="1" t="s">
        <v>704</v>
      </c>
      <c r="B359" s="2">
        <v>45046</v>
      </c>
      <c r="C359" s="1" t="s">
        <v>23</v>
      </c>
      <c r="D359" s="1" t="s">
        <v>24</v>
      </c>
      <c r="E359" s="1" t="str">
        <f>TRIM(CLEAN(Sheet1[[#This Row],[Category]]))</f>
        <v>Electronics</v>
      </c>
      <c r="F359">
        <v>10</v>
      </c>
      <c r="G359" t="str">
        <f t="shared" si="5"/>
        <v>3. Wholesale / Bulk (8+ Units)</v>
      </c>
      <c r="H359">
        <v>10</v>
      </c>
      <c r="I359">
        <v>412.08</v>
      </c>
      <c r="J359">
        <f>IF(ISBLANK(I359), ROUND(I359/ABS(VALUE(_xlfn.TEXTBEFORE(F359&amp;" ", " "))), 2), ABS(VALUE(SUBSTITUTE(I359, "$", ""))))</f>
        <v>412.08</v>
      </c>
      <c r="K359">
        <f>ROUND(Sheet1[[#This Row],[CleanedUnits_sold]]*Sheet1[[#This Row],[Cleaned_Unit_Price]],2)</f>
        <v>4120.8</v>
      </c>
      <c r="L359">
        <v>4120.8</v>
      </c>
      <c r="M359" s="1" t="s">
        <v>705</v>
      </c>
      <c r="N359" s="1" t="s">
        <v>21</v>
      </c>
      <c r="O359" s="1" t="s">
        <v>705</v>
      </c>
    </row>
    <row r="360" spans="1:15" x14ac:dyDescent="0.35">
      <c r="A360" s="1" t="s">
        <v>706</v>
      </c>
      <c r="B360" s="2">
        <v>1</v>
      </c>
      <c r="C360" s="1" t="s">
        <v>16</v>
      </c>
      <c r="D360" s="1" t="s">
        <v>24</v>
      </c>
      <c r="E360" s="1" t="str">
        <f>TRIM(CLEAN(Sheet1[[#This Row],[Category]]))</f>
        <v>Electronics</v>
      </c>
      <c r="F360">
        <v>6</v>
      </c>
      <c r="G360" t="str">
        <f t="shared" si="5"/>
        <v>2. Mid-Market (4-7 Units)</v>
      </c>
      <c r="H360">
        <v>6</v>
      </c>
      <c r="I360">
        <v>149.77000000000001</v>
      </c>
      <c r="J360">
        <f>IF(ISBLANK(I360), ROUND(I360/ABS(VALUE(_xlfn.TEXTBEFORE(F360&amp;" ", " "))), 2), ABS(VALUE(SUBSTITUTE(I360, "$", ""))))</f>
        <v>149.77000000000001</v>
      </c>
      <c r="K360">
        <f>ROUND(Sheet1[[#This Row],[CleanedUnits_sold]]*Sheet1[[#This Row],[Cleaned_Unit_Price]],2)</f>
        <v>898.62</v>
      </c>
      <c r="L360">
        <v>898.62</v>
      </c>
      <c r="M360" s="1" t="s">
        <v>707</v>
      </c>
      <c r="N360" s="1" t="s">
        <v>14</v>
      </c>
      <c r="O360" s="1" t="s">
        <v>707</v>
      </c>
    </row>
    <row r="361" spans="1:15" x14ac:dyDescent="0.35">
      <c r="A361" s="1" t="s">
        <v>708</v>
      </c>
      <c r="B361" s="2">
        <v>45214</v>
      </c>
      <c r="C361" s="1" t="s">
        <v>23</v>
      </c>
      <c r="D361" s="1" t="s">
        <v>24</v>
      </c>
      <c r="E361" s="1" t="str">
        <f>TRIM(CLEAN(Sheet1[[#This Row],[Category]]))</f>
        <v>Electronics</v>
      </c>
      <c r="F361">
        <v>4</v>
      </c>
      <c r="G361" t="str">
        <f t="shared" si="5"/>
        <v>2. Mid-Market (4-7 Units)</v>
      </c>
      <c r="H361">
        <v>4</v>
      </c>
      <c r="I361">
        <v>127.21</v>
      </c>
      <c r="J361">
        <f>IF(ISBLANK(I361), ROUND(I361/ABS(VALUE(_xlfn.TEXTBEFORE(F361&amp;" ", " "))), 2), ABS(VALUE(SUBSTITUTE(I361, "$", ""))))</f>
        <v>127.21</v>
      </c>
      <c r="K361">
        <f>ROUND(Sheet1[[#This Row],[CleanedUnits_sold]]*Sheet1[[#This Row],[Cleaned_Unit_Price]],2)</f>
        <v>508.84</v>
      </c>
      <c r="L361">
        <v>508.84</v>
      </c>
      <c r="M361" s="1" t="s">
        <v>709</v>
      </c>
      <c r="N361" s="1" t="s">
        <v>14</v>
      </c>
      <c r="O361" s="1" t="s">
        <v>709</v>
      </c>
    </row>
    <row r="362" spans="1:15" x14ac:dyDescent="0.35">
      <c r="A362" s="1" t="s">
        <v>710</v>
      </c>
      <c r="B362" s="2">
        <v>45040</v>
      </c>
      <c r="C362" s="1" t="s">
        <v>19</v>
      </c>
      <c r="D362" s="1" t="s">
        <v>24</v>
      </c>
      <c r="E362" s="1" t="str">
        <f>TRIM(CLEAN(Sheet1[[#This Row],[Category]]))</f>
        <v>Electronics</v>
      </c>
      <c r="F362">
        <v>5</v>
      </c>
      <c r="G362" t="str">
        <f t="shared" si="5"/>
        <v>2. Mid-Market (4-7 Units)</v>
      </c>
      <c r="H362">
        <v>5</v>
      </c>
      <c r="I362">
        <v>395.62</v>
      </c>
      <c r="J362">
        <f>IF(ISBLANK(I362), ROUND(I362/ABS(VALUE(_xlfn.TEXTBEFORE(F362&amp;" ", " "))), 2), ABS(VALUE(SUBSTITUTE(I362, "$", ""))))</f>
        <v>395.62</v>
      </c>
      <c r="K362">
        <f>ROUND(Sheet1[[#This Row],[CleanedUnits_sold]]*Sheet1[[#This Row],[Cleaned_Unit_Price]],2)</f>
        <v>1978.1</v>
      </c>
      <c r="L362">
        <v>1978.1</v>
      </c>
      <c r="M362" s="1" t="s">
        <v>49</v>
      </c>
      <c r="N362" s="1" t="s">
        <v>50</v>
      </c>
      <c r="O362" s="1" t="s">
        <v>51</v>
      </c>
    </row>
    <row r="363" spans="1:15" x14ac:dyDescent="0.35">
      <c r="A363" s="1" t="s">
        <v>711</v>
      </c>
      <c r="B363" s="2">
        <v>45164</v>
      </c>
      <c r="C363" s="1" t="s">
        <v>23</v>
      </c>
      <c r="D363" s="1" t="s">
        <v>24</v>
      </c>
      <c r="E363" s="1" t="str">
        <f>TRIM(CLEAN(Sheet1[[#This Row],[Category]]))</f>
        <v>Electronics</v>
      </c>
      <c r="F363">
        <v>6</v>
      </c>
      <c r="G363" t="str">
        <f t="shared" si="5"/>
        <v>2. Mid-Market (4-7 Units)</v>
      </c>
      <c r="H363">
        <v>6</v>
      </c>
      <c r="I363">
        <v>37.630000000000003</v>
      </c>
      <c r="J363">
        <f>IF(ISBLANK(I363), ROUND(I363/ABS(VALUE(_xlfn.TEXTBEFORE(F363&amp;" ", " "))), 2), ABS(VALUE(SUBSTITUTE(I363, "$", ""))))</f>
        <v>37.630000000000003</v>
      </c>
      <c r="K363">
        <f>ROUND(Sheet1[[#This Row],[CleanedUnits_sold]]*Sheet1[[#This Row],[Cleaned_Unit_Price]],2)</f>
        <v>225.78</v>
      </c>
      <c r="L363">
        <v>225.78</v>
      </c>
      <c r="M363" s="1" t="s">
        <v>712</v>
      </c>
      <c r="N363" s="1" t="s">
        <v>14</v>
      </c>
      <c r="O363" s="1" t="s">
        <v>712</v>
      </c>
    </row>
    <row r="364" spans="1:15" x14ac:dyDescent="0.35">
      <c r="A364" s="1" t="s">
        <v>713</v>
      </c>
      <c r="B364" s="2">
        <v>44929</v>
      </c>
      <c r="C364" s="1" t="s">
        <v>11</v>
      </c>
      <c r="D364" s="1" t="s">
        <v>32</v>
      </c>
      <c r="E364" s="1" t="str">
        <f>TRIM(CLEAN(Sheet1[[#This Row],[Category]]))</f>
        <v>Furniture</v>
      </c>
      <c r="F364">
        <v>4</v>
      </c>
      <c r="G364" t="str">
        <f t="shared" si="5"/>
        <v>2. Mid-Market (4-7 Units)</v>
      </c>
      <c r="H364">
        <v>4</v>
      </c>
      <c r="I364">
        <v>191</v>
      </c>
      <c r="J364">
        <f>IF(ISBLANK(I364), ROUND(I364/ABS(VALUE(_xlfn.TEXTBEFORE(F364&amp;" ", " "))), 2), ABS(VALUE(SUBSTITUTE(I364, "$", ""))))</f>
        <v>191</v>
      </c>
      <c r="K364">
        <f>ROUND(Sheet1[[#This Row],[CleanedUnits_sold]]*Sheet1[[#This Row],[Cleaned_Unit_Price]],2)</f>
        <v>764</v>
      </c>
      <c r="L364">
        <v>764</v>
      </c>
      <c r="M364" s="1" t="s">
        <v>714</v>
      </c>
      <c r="N364" s="1" t="s">
        <v>14</v>
      </c>
      <c r="O364" s="1" t="s">
        <v>714</v>
      </c>
    </row>
    <row r="365" spans="1:15" x14ac:dyDescent="0.35">
      <c r="A365" s="1" t="s">
        <v>715</v>
      </c>
      <c r="B365" s="2">
        <v>1</v>
      </c>
      <c r="C365" s="1" t="s">
        <v>16</v>
      </c>
      <c r="D365" s="1" t="s">
        <v>32</v>
      </c>
      <c r="E365" s="1" t="str">
        <f>TRIM(CLEAN(Sheet1[[#This Row],[Category]]))</f>
        <v>Furniture</v>
      </c>
      <c r="F365">
        <v>5</v>
      </c>
      <c r="G365" t="str">
        <f t="shared" si="5"/>
        <v>2. Mid-Market (4-7 Units)</v>
      </c>
      <c r="H365">
        <v>5</v>
      </c>
      <c r="I365">
        <v>257.85000000000002</v>
      </c>
      <c r="J365">
        <f>IF(ISBLANK(I365), ROUND(I365/ABS(VALUE(_xlfn.TEXTBEFORE(F365&amp;" ", " "))), 2), ABS(VALUE(SUBSTITUTE(I365, "$", ""))))</f>
        <v>257.85000000000002</v>
      </c>
      <c r="K365">
        <f>ROUND(Sheet1[[#This Row],[CleanedUnits_sold]]*Sheet1[[#This Row],[Cleaned_Unit_Price]],2)</f>
        <v>1289.25</v>
      </c>
      <c r="L365">
        <v>1629.44</v>
      </c>
      <c r="M365" s="1" t="s">
        <v>716</v>
      </c>
      <c r="N365" s="1" t="s">
        <v>14</v>
      </c>
      <c r="O365" s="1" t="s">
        <v>716</v>
      </c>
    </row>
    <row r="366" spans="1:15" x14ac:dyDescent="0.35">
      <c r="A366" s="1" t="s">
        <v>717</v>
      </c>
      <c r="B366" s="2">
        <v>1</v>
      </c>
      <c r="C366" s="1" t="s">
        <v>23</v>
      </c>
      <c r="D366" s="1" t="s">
        <v>24</v>
      </c>
      <c r="E366" s="1" t="str">
        <f>TRIM(CLEAN(Sheet1[[#This Row],[Category]]))</f>
        <v>Electronics</v>
      </c>
      <c r="F366">
        <v>6</v>
      </c>
      <c r="G366" t="str">
        <f t="shared" si="5"/>
        <v>2. Mid-Market (4-7 Units)</v>
      </c>
      <c r="H366">
        <v>6</v>
      </c>
      <c r="I366">
        <v>284.57</v>
      </c>
      <c r="J366">
        <f>IF(ISBLANK(I366), ROUND(I366/ABS(VALUE(_xlfn.TEXTBEFORE(F366&amp;" ", " "))), 2), ABS(VALUE(SUBSTITUTE(I366, "$", ""))))</f>
        <v>284.57</v>
      </c>
      <c r="K366">
        <f>ROUND(Sheet1[[#This Row],[CleanedUnits_sold]]*Sheet1[[#This Row],[Cleaned_Unit_Price]],2)</f>
        <v>1707.42</v>
      </c>
      <c r="L366">
        <v>1707.42</v>
      </c>
      <c r="M366" s="1" t="s">
        <v>718</v>
      </c>
      <c r="N366" s="1" t="s">
        <v>38</v>
      </c>
      <c r="O366" s="1" t="s">
        <v>718</v>
      </c>
    </row>
    <row r="367" spans="1:15" x14ac:dyDescent="0.35">
      <c r="A367" s="1" t="s">
        <v>719</v>
      </c>
      <c r="B367" s="2">
        <v>44986</v>
      </c>
      <c r="C367" s="1" t="s">
        <v>16</v>
      </c>
      <c r="D367" s="1" t="s">
        <v>12</v>
      </c>
      <c r="E367" s="1" t="str">
        <f>TRIM(CLEAN(Sheet1[[#This Row],[Category]]))</f>
        <v>Office Supplies</v>
      </c>
      <c r="F367">
        <v>3</v>
      </c>
      <c r="G367" t="str">
        <f t="shared" si="5"/>
        <v>1. Retail (1-3 Units)</v>
      </c>
      <c r="H367">
        <v>3</v>
      </c>
      <c r="I367">
        <v>367.02</v>
      </c>
      <c r="J367">
        <f>IF(ISBLANK(I367), ROUND(I367/ABS(VALUE(_xlfn.TEXTBEFORE(F367&amp;" ", " "))), 2), ABS(VALUE(SUBSTITUTE(I367, "$", ""))))</f>
        <v>367.02</v>
      </c>
      <c r="K367">
        <f>ROUND(Sheet1[[#This Row],[CleanedUnits_sold]]*Sheet1[[#This Row],[Cleaned_Unit_Price]],2)</f>
        <v>1101.06</v>
      </c>
      <c r="L367">
        <v>1101.06</v>
      </c>
      <c r="M367" s="1"/>
      <c r="N367" s="1" t="s">
        <v>26</v>
      </c>
      <c r="O367" s="1" t="s">
        <v>131</v>
      </c>
    </row>
    <row r="368" spans="1:15" x14ac:dyDescent="0.35">
      <c r="A368" s="1" t="s">
        <v>720</v>
      </c>
      <c r="B368" s="2">
        <v>44995</v>
      </c>
      <c r="C368" s="1" t="s">
        <v>11</v>
      </c>
      <c r="D368" s="1" t="s">
        <v>24</v>
      </c>
      <c r="E368" s="1" t="str">
        <f>TRIM(CLEAN(Sheet1[[#This Row],[Category]]))</f>
        <v>Electronics</v>
      </c>
      <c r="F368">
        <v>7</v>
      </c>
      <c r="G368" t="str">
        <f t="shared" si="5"/>
        <v>2. Mid-Market (4-7 Units)</v>
      </c>
      <c r="H368">
        <v>7</v>
      </c>
      <c r="I368">
        <v>183.87</v>
      </c>
      <c r="J368">
        <f>IF(ISBLANK(I368), ROUND(I368/ABS(VALUE(_xlfn.TEXTBEFORE(F368&amp;" ", " "))), 2), ABS(VALUE(SUBSTITUTE(I368, "$", ""))))</f>
        <v>183.87</v>
      </c>
      <c r="K368">
        <f>ROUND(Sheet1[[#This Row],[CleanedUnits_sold]]*Sheet1[[#This Row],[Cleaned_Unit_Price]],2)</f>
        <v>1287.0899999999999</v>
      </c>
      <c r="L368">
        <v>1287.0899999999999</v>
      </c>
      <c r="M368" s="1" t="s">
        <v>721</v>
      </c>
      <c r="N368" s="1" t="s">
        <v>26</v>
      </c>
      <c r="O368" s="1" t="s">
        <v>721</v>
      </c>
    </row>
    <row r="369" spans="1:15" x14ac:dyDescent="0.35">
      <c r="A369" s="1" t="s">
        <v>722</v>
      </c>
      <c r="B369" s="2">
        <v>45116</v>
      </c>
      <c r="C369" s="1" t="s">
        <v>11</v>
      </c>
      <c r="D369" s="1" t="s">
        <v>46</v>
      </c>
      <c r="E369" s="1" t="str">
        <f>TRIM(CLEAN(Sheet1[[#This Row],[Category]]))</f>
        <v>Furniture</v>
      </c>
      <c r="G369" t="str">
        <f t="shared" si="5"/>
        <v>2. Mid-Market (4-7 Units)</v>
      </c>
      <c r="H369">
        <v>7</v>
      </c>
      <c r="I369">
        <v>310.22000000000003</v>
      </c>
      <c r="J369">
        <f>IF(ISBLANK(I369), ROUND(I369/ABS(VALUE(_xlfn.TEXTBEFORE(F369&amp;" ", " "))), 2), ABS(VALUE(SUBSTITUTE(I369, "$", ""))))</f>
        <v>310.22000000000003</v>
      </c>
      <c r="K369">
        <f>ROUND(Sheet1[[#This Row],[CleanedUnits_sold]]*Sheet1[[#This Row],[Cleaned_Unit_Price]],2)</f>
        <v>2171.54</v>
      </c>
      <c r="L369">
        <v>2171.54</v>
      </c>
      <c r="M369" s="1" t="s">
        <v>723</v>
      </c>
      <c r="N369" s="1" t="s">
        <v>50</v>
      </c>
      <c r="O369" s="1" t="s">
        <v>723</v>
      </c>
    </row>
    <row r="370" spans="1:15" x14ac:dyDescent="0.35">
      <c r="A370" s="1" t="s">
        <v>724</v>
      </c>
      <c r="B370" s="2">
        <v>45006</v>
      </c>
      <c r="C370" s="1" t="s">
        <v>16</v>
      </c>
      <c r="D370" s="1" t="s">
        <v>24</v>
      </c>
      <c r="E370" s="1" t="str">
        <f>TRIM(CLEAN(Sheet1[[#This Row],[Category]]))</f>
        <v>Electronics</v>
      </c>
      <c r="F370">
        <v>8</v>
      </c>
      <c r="G370" t="str">
        <f t="shared" si="5"/>
        <v>3. Wholesale / Bulk (8+ Units)</v>
      </c>
      <c r="H370">
        <v>8</v>
      </c>
      <c r="I370">
        <v>296.83</v>
      </c>
      <c r="J370">
        <f>IF(ISBLANK(I370), ROUND(I370/ABS(VALUE(_xlfn.TEXTBEFORE(F370&amp;" ", " "))), 2), ABS(VALUE(SUBSTITUTE(I370, "$", ""))))</f>
        <v>296.83</v>
      </c>
      <c r="K370">
        <f>ROUND(Sheet1[[#This Row],[CleanedUnits_sold]]*Sheet1[[#This Row],[Cleaned_Unit_Price]],2)</f>
        <v>2374.64</v>
      </c>
      <c r="L370">
        <v>2374.64</v>
      </c>
      <c r="M370" s="1" t="s">
        <v>725</v>
      </c>
      <c r="N370" s="1" t="s">
        <v>50</v>
      </c>
      <c r="O370" s="1" t="s">
        <v>725</v>
      </c>
    </row>
    <row r="371" spans="1:15" x14ac:dyDescent="0.35">
      <c r="A371" s="1" t="s">
        <v>726</v>
      </c>
      <c r="B371" s="2">
        <v>45177</v>
      </c>
      <c r="C371" s="1" t="s">
        <v>11</v>
      </c>
      <c r="D371" s="1" t="s">
        <v>24</v>
      </c>
      <c r="E371" s="1" t="str">
        <f>TRIM(CLEAN(Sheet1[[#This Row],[Category]]))</f>
        <v>Electronics</v>
      </c>
      <c r="F371">
        <v>4</v>
      </c>
      <c r="G371" t="str">
        <f t="shared" si="5"/>
        <v>2. Mid-Market (4-7 Units)</v>
      </c>
      <c r="H371">
        <v>4</v>
      </c>
      <c r="I371">
        <v>278.33</v>
      </c>
      <c r="J371">
        <f>IF(ISBLANK(I371), ROUND(I371/ABS(VALUE(_xlfn.TEXTBEFORE(F371&amp;" ", " "))), 2), ABS(VALUE(SUBSTITUTE(I371, "$", ""))))</f>
        <v>278.33</v>
      </c>
      <c r="K371">
        <f>ROUND(Sheet1[[#This Row],[CleanedUnits_sold]]*Sheet1[[#This Row],[Cleaned_Unit_Price]],2)</f>
        <v>1113.32</v>
      </c>
      <c r="L371">
        <v>1496.51</v>
      </c>
      <c r="M371" s="1" t="s">
        <v>727</v>
      </c>
      <c r="N371" s="1" t="s">
        <v>26</v>
      </c>
      <c r="O371" s="1" t="s">
        <v>727</v>
      </c>
    </row>
    <row r="372" spans="1:15" x14ac:dyDescent="0.35">
      <c r="A372" s="1" t="s">
        <v>728</v>
      </c>
      <c r="B372" s="2">
        <v>45070</v>
      </c>
      <c r="C372" s="1" t="s">
        <v>16</v>
      </c>
      <c r="D372" s="1" t="s">
        <v>24</v>
      </c>
      <c r="E372" s="1" t="str">
        <f>TRIM(CLEAN(Sheet1[[#This Row],[Category]]))</f>
        <v>Electronics</v>
      </c>
      <c r="F372">
        <v>7</v>
      </c>
      <c r="G372" t="str">
        <f t="shared" si="5"/>
        <v>2. Mid-Market (4-7 Units)</v>
      </c>
      <c r="H372">
        <v>7</v>
      </c>
      <c r="I372">
        <v>323.83999999999997</v>
      </c>
      <c r="J372">
        <f>IF(ISBLANK(I372), ROUND(I372/ABS(VALUE(_xlfn.TEXTBEFORE(F372&amp;" ", " "))), 2), ABS(VALUE(SUBSTITUTE(I372, "$", ""))))</f>
        <v>323.83999999999997</v>
      </c>
      <c r="K372">
        <f>ROUND(Sheet1[[#This Row],[CleanedUnits_sold]]*Sheet1[[#This Row],[Cleaned_Unit_Price]],2)</f>
        <v>2266.88</v>
      </c>
      <c r="L372">
        <v>2266.88</v>
      </c>
      <c r="M372" s="1" t="s">
        <v>729</v>
      </c>
      <c r="N372" s="1" t="s">
        <v>50</v>
      </c>
      <c r="O372" s="1" t="s">
        <v>729</v>
      </c>
    </row>
    <row r="373" spans="1:15" x14ac:dyDescent="0.35">
      <c r="A373" s="1" t="s">
        <v>730</v>
      </c>
      <c r="B373" s="2">
        <v>45038</v>
      </c>
      <c r="C373" s="1" t="s">
        <v>58</v>
      </c>
      <c r="D373" s="1" t="s">
        <v>12</v>
      </c>
      <c r="E373" s="1" t="str">
        <f>TRIM(CLEAN(Sheet1[[#This Row],[Category]]))</f>
        <v>Office Supplies</v>
      </c>
      <c r="F373">
        <v>3</v>
      </c>
      <c r="G373" t="str">
        <f t="shared" si="5"/>
        <v>1. Retail (1-3 Units)</v>
      </c>
      <c r="H373">
        <v>3</v>
      </c>
      <c r="I373">
        <v>137.13</v>
      </c>
      <c r="J373">
        <f>IF(ISBLANK(I373), ROUND(I373/ABS(VALUE(_xlfn.TEXTBEFORE(F373&amp;" ", " "))), 2), ABS(VALUE(SUBSTITUTE(I373, "$", ""))))</f>
        <v>137.13</v>
      </c>
      <c r="K373">
        <f>ROUND(Sheet1[[#This Row],[CleanedUnits_sold]]*Sheet1[[#This Row],[Cleaned_Unit_Price]],2)</f>
        <v>411.39</v>
      </c>
      <c r="L373">
        <v>411.39</v>
      </c>
      <c r="M373" s="1" t="s">
        <v>731</v>
      </c>
      <c r="N373" s="1" t="s">
        <v>14</v>
      </c>
      <c r="O373" s="1" t="s">
        <v>731</v>
      </c>
    </row>
    <row r="374" spans="1:15" x14ac:dyDescent="0.35">
      <c r="A374" s="1" t="s">
        <v>732</v>
      </c>
      <c r="B374" s="2">
        <v>45047</v>
      </c>
      <c r="C374" s="1" t="s">
        <v>19</v>
      </c>
      <c r="D374" s="1" t="s">
        <v>46</v>
      </c>
      <c r="E374" s="1" t="str">
        <f>TRIM(CLEAN(Sheet1[[#This Row],[Category]]))</f>
        <v>Furniture</v>
      </c>
      <c r="F374">
        <v>-2</v>
      </c>
      <c r="G374" t="str">
        <f t="shared" si="5"/>
        <v>1. Retail (1-3 Units)</v>
      </c>
      <c r="H374">
        <v>2</v>
      </c>
      <c r="I374">
        <v>51.48</v>
      </c>
      <c r="J374">
        <f>IF(ISBLANK(I374), ROUND(I374/ABS(VALUE(_xlfn.TEXTBEFORE(F374&amp;" ", " "))), 2), ABS(VALUE(SUBSTITUTE(I374, "$", ""))))</f>
        <v>51.48</v>
      </c>
      <c r="K374">
        <f>ROUND(Sheet1[[#This Row],[CleanedUnits_sold]]*Sheet1[[#This Row],[Cleaned_Unit_Price]],2)</f>
        <v>102.96</v>
      </c>
      <c r="L374">
        <v>205.92</v>
      </c>
      <c r="M374" s="1" t="s">
        <v>733</v>
      </c>
      <c r="N374" s="1" t="s">
        <v>14</v>
      </c>
      <c r="O374" s="1" t="s">
        <v>733</v>
      </c>
    </row>
    <row r="375" spans="1:15" x14ac:dyDescent="0.35">
      <c r="A375" s="1" t="s">
        <v>734</v>
      </c>
      <c r="B375" s="2">
        <v>1</v>
      </c>
      <c r="C375" s="1" t="s">
        <v>16</v>
      </c>
      <c r="D375" s="1" t="s">
        <v>12</v>
      </c>
      <c r="E375" s="1" t="str">
        <f>TRIM(CLEAN(Sheet1[[#This Row],[Category]]))</f>
        <v>Office Supplies</v>
      </c>
      <c r="F375">
        <v>4</v>
      </c>
      <c r="G375" t="str">
        <f t="shared" si="5"/>
        <v>2. Mid-Market (4-7 Units)</v>
      </c>
      <c r="H375">
        <v>4</v>
      </c>
      <c r="I375">
        <v>68.44</v>
      </c>
      <c r="J375">
        <f>IF(ISBLANK(I375), ROUND(I375/ABS(VALUE(_xlfn.TEXTBEFORE(F375&amp;" ", " "))), 2), ABS(VALUE(SUBSTITUTE(I375, "$", ""))))</f>
        <v>68.44</v>
      </c>
      <c r="K375">
        <f>ROUND(Sheet1[[#This Row],[CleanedUnits_sold]]*Sheet1[[#This Row],[Cleaned_Unit_Price]],2)</f>
        <v>273.76</v>
      </c>
      <c r="L375">
        <v>273.76</v>
      </c>
      <c r="M375" s="1" t="s">
        <v>735</v>
      </c>
      <c r="N375" s="1" t="s">
        <v>50</v>
      </c>
      <c r="O375" s="1" t="s">
        <v>735</v>
      </c>
    </row>
    <row r="376" spans="1:15" x14ac:dyDescent="0.35">
      <c r="A376" s="1" t="s">
        <v>736</v>
      </c>
      <c r="B376" s="2">
        <v>45205</v>
      </c>
      <c r="C376" s="1" t="s">
        <v>16</v>
      </c>
      <c r="D376" s="1" t="s">
        <v>12</v>
      </c>
      <c r="E376" s="1" t="str">
        <f>TRIM(CLEAN(Sheet1[[#This Row],[Category]]))</f>
        <v>Office Supplies</v>
      </c>
      <c r="F376">
        <v>0</v>
      </c>
      <c r="G376" t="str">
        <f t="shared" si="5"/>
        <v>Non-Billable / Zero</v>
      </c>
      <c r="H376">
        <v>0</v>
      </c>
      <c r="I376">
        <v>120.05</v>
      </c>
      <c r="J376">
        <f>IF(ISBLANK(I376), ROUND(I376/ABS(VALUE(_xlfn.TEXTBEFORE(F376&amp;" ", " "))), 2), ABS(VALUE(SUBSTITUTE(I376, "$", ""))))</f>
        <v>120.05</v>
      </c>
      <c r="K376">
        <f>ROUND(Sheet1[[#This Row],[CleanedUnits_sold]]*Sheet1[[#This Row],[Cleaned_Unit_Price]],2)</f>
        <v>0</v>
      </c>
      <c r="L376">
        <v>0</v>
      </c>
      <c r="M376" s="1" t="s">
        <v>737</v>
      </c>
      <c r="N376" s="1" t="s">
        <v>14</v>
      </c>
      <c r="O376" s="1" t="s">
        <v>737</v>
      </c>
    </row>
    <row r="377" spans="1:15" x14ac:dyDescent="0.35">
      <c r="A377" s="1" t="s">
        <v>738</v>
      </c>
      <c r="B377" s="2">
        <v>1</v>
      </c>
      <c r="C377" s="1" t="s">
        <v>23</v>
      </c>
      <c r="D377" s="1" t="s">
        <v>32</v>
      </c>
      <c r="E377" s="1" t="str">
        <f>TRIM(CLEAN(Sheet1[[#This Row],[Category]]))</f>
        <v>Furniture</v>
      </c>
      <c r="F377">
        <v>1</v>
      </c>
      <c r="G377" t="str">
        <f t="shared" si="5"/>
        <v>1. Retail (1-3 Units)</v>
      </c>
      <c r="H377">
        <v>1</v>
      </c>
      <c r="I377">
        <v>255.1</v>
      </c>
      <c r="J377">
        <f>IF(ISBLANK(I377), ROUND(I377/ABS(VALUE(_xlfn.TEXTBEFORE(F377&amp;" ", " "))), 2), ABS(VALUE(SUBSTITUTE(I377, "$", ""))))</f>
        <v>255.1</v>
      </c>
      <c r="K377">
        <f>ROUND(Sheet1[[#This Row],[CleanedUnits_sold]]*Sheet1[[#This Row],[Cleaned_Unit_Price]],2)</f>
        <v>255.1</v>
      </c>
      <c r="L377">
        <v>255.1</v>
      </c>
      <c r="M377" s="1" t="s">
        <v>739</v>
      </c>
      <c r="N377" s="1" t="s">
        <v>38</v>
      </c>
      <c r="O377" s="1" t="s">
        <v>739</v>
      </c>
    </row>
    <row r="378" spans="1:15" x14ac:dyDescent="0.35">
      <c r="A378" s="1" t="s">
        <v>740</v>
      </c>
      <c r="B378" s="2">
        <v>44989</v>
      </c>
      <c r="C378" s="1" t="s">
        <v>16</v>
      </c>
      <c r="D378" s="1" t="s">
        <v>12</v>
      </c>
      <c r="E378" s="1" t="str">
        <f>TRIM(CLEAN(Sheet1[[#This Row],[Category]]))</f>
        <v>Office Supplies</v>
      </c>
      <c r="F378">
        <v>1</v>
      </c>
      <c r="G378" t="str">
        <f t="shared" si="5"/>
        <v>1. Retail (1-3 Units)</v>
      </c>
      <c r="H378">
        <v>1</v>
      </c>
      <c r="I378">
        <v>421.82</v>
      </c>
      <c r="J378">
        <f>IF(ISBLANK(I378), ROUND(I378/ABS(VALUE(_xlfn.TEXTBEFORE(F378&amp;" ", " "))), 2), ABS(VALUE(SUBSTITUTE(I378, "$", ""))))</f>
        <v>421.82</v>
      </c>
      <c r="K378">
        <f>ROUND(Sheet1[[#This Row],[CleanedUnits_sold]]*Sheet1[[#This Row],[Cleaned_Unit_Price]],2)</f>
        <v>421.82</v>
      </c>
      <c r="L378">
        <v>421.82</v>
      </c>
      <c r="M378" s="1"/>
      <c r="N378" s="1" t="s">
        <v>14</v>
      </c>
      <c r="O378" s="1" t="s">
        <v>131</v>
      </c>
    </row>
    <row r="379" spans="1:15" x14ac:dyDescent="0.35">
      <c r="A379" s="1" t="s">
        <v>741</v>
      </c>
      <c r="B379" s="2">
        <v>1</v>
      </c>
      <c r="C379" s="1" t="s">
        <v>23</v>
      </c>
      <c r="D379" s="1" t="s">
        <v>12</v>
      </c>
      <c r="E379" s="1" t="str">
        <f>TRIM(CLEAN(Sheet1[[#This Row],[Category]]))</f>
        <v>Office Supplies</v>
      </c>
      <c r="F379">
        <v>7</v>
      </c>
      <c r="G379" t="str">
        <f t="shared" si="5"/>
        <v>2. Mid-Market (4-7 Units)</v>
      </c>
      <c r="H379">
        <v>7</v>
      </c>
      <c r="I379">
        <v>353.63</v>
      </c>
      <c r="J379">
        <f>IF(ISBLANK(I379), ROUND(I379/ABS(VALUE(_xlfn.TEXTBEFORE(F379&amp;" ", " "))), 2), ABS(VALUE(SUBSTITUTE(I379, "$", ""))))</f>
        <v>353.63</v>
      </c>
      <c r="K379">
        <f>ROUND(Sheet1[[#This Row],[CleanedUnits_sold]]*Sheet1[[#This Row],[Cleaned_Unit_Price]],2)</f>
        <v>2475.41</v>
      </c>
      <c r="L379">
        <v>2475.41</v>
      </c>
      <c r="M379" s="1" t="s">
        <v>742</v>
      </c>
      <c r="N379" s="1" t="s">
        <v>14</v>
      </c>
      <c r="O379" s="1" t="s">
        <v>742</v>
      </c>
    </row>
    <row r="380" spans="1:15" x14ac:dyDescent="0.35">
      <c r="A380" s="1" t="s">
        <v>743</v>
      </c>
      <c r="B380" s="2">
        <v>45254</v>
      </c>
      <c r="C380" s="1" t="s">
        <v>11</v>
      </c>
      <c r="D380" s="1" t="s">
        <v>12</v>
      </c>
      <c r="E380" s="1" t="str">
        <f>TRIM(CLEAN(Sheet1[[#This Row],[Category]]))</f>
        <v>Office Supplies</v>
      </c>
      <c r="F380">
        <v>5</v>
      </c>
      <c r="G380" t="str">
        <f t="shared" si="5"/>
        <v>2. Mid-Market (4-7 Units)</v>
      </c>
      <c r="H380">
        <v>5</v>
      </c>
      <c r="I380">
        <v>396.63</v>
      </c>
      <c r="J380">
        <f>IF(ISBLANK(I380), ROUND(I380/ABS(VALUE(_xlfn.TEXTBEFORE(F380&amp;" ", " "))), 2), ABS(VALUE(SUBSTITUTE(I380, "$", ""))))</f>
        <v>396.63</v>
      </c>
      <c r="K380">
        <f>ROUND(Sheet1[[#This Row],[CleanedUnits_sold]]*Sheet1[[#This Row],[Cleaned_Unit_Price]],2)</f>
        <v>1983.15</v>
      </c>
      <c r="M380" s="1" t="s">
        <v>744</v>
      </c>
      <c r="N380" s="1" t="s">
        <v>50</v>
      </c>
      <c r="O380" s="1" t="s">
        <v>744</v>
      </c>
    </row>
    <row r="381" spans="1:15" x14ac:dyDescent="0.35">
      <c r="A381" s="1" t="s">
        <v>745</v>
      </c>
      <c r="B381" s="2">
        <v>1</v>
      </c>
      <c r="C381" s="1" t="s">
        <v>19</v>
      </c>
      <c r="D381" s="1" t="s">
        <v>24</v>
      </c>
      <c r="E381" s="1" t="str">
        <f>TRIM(CLEAN(Sheet1[[#This Row],[Category]]))</f>
        <v>Electronics</v>
      </c>
      <c r="F381">
        <v>5</v>
      </c>
      <c r="G381" t="str">
        <f t="shared" si="5"/>
        <v>2. Mid-Market (4-7 Units)</v>
      </c>
      <c r="H381">
        <v>5</v>
      </c>
      <c r="I381">
        <v>181.98</v>
      </c>
      <c r="J381">
        <f>IF(ISBLANK(I381), ROUND(I381/ABS(VALUE(_xlfn.TEXTBEFORE(F381&amp;" ", " "))), 2), ABS(VALUE(SUBSTITUTE(I381, "$", ""))))</f>
        <v>181.98</v>
      </c>
      <c r="K381">
        <f>ROUND(Sheet1[[#This Row],[CleanedUnits_sold]]*Sheet1[[#This Row],[Cleaned_Unit_Price]],2)</f>
        <v>909.9</v>
      </c>
      <c r="L381">
        <v>909.9</v>
      </c>
      <c r="M381" s="1" t="s">
        <v>746</v>
      </c>
      <c r="N381" s="1" t="s">
        <v>14</v>
      </c>
      <c r="O381" s="1" t="s">
        <v>746</v>
      </c>
    </row>
    <row r="382" spans="1:15" x14ac:dyDescent="0.35">
      <c r="A382" s="1" t="s">
        <v>747</v>
      </c>
      <c r="B382" s="2">
        <v>45080</v>
      </c>
      <c r="C382" s="1" t="s">
        <v>58</v>
      </c>
      <c r="D382" s="1" t="s">
        <v>12</v>
      </c>
      <c r="E382" s="1" t="str">
        <f>TRIM(CLEAN(Sheet1[[#This Row],[Category]]))</f>
        <v>Office Supplies</v>
      </c>
      <c r="F382">
        <v>8</v>
      </c>
      <c r="G382" t="str">
        <f t="shared" si="5"/>
        <v>3. Wholesale / Bulk (8+ Units)</v>
      </c>
      <c r="H382">
        <v>8</v>
      </c>
      <c r="I382">
        <v>208.28</v>
      </c>
      <c r="J382">
        <f>IF(ISBLANK(I382), ROUND(I382/ABS(VALUE(_xlfn.TEXTBEFORE(F382&amp;" ", " "))), 2), ABS(VALUE(SUBSTITUTE(I382, "$", ""))))</f>
        <v>208.28</v>
      </c>
      <c r="K382">
        <f>ROUND(Sheet1[[#This Row],[CleanedUnits_sold]]*Sheet1[[#This Row],[Cleaned_Unit_Price]],2)</f>
        <v>1666.24</v>
      </c>
      <c r="L382">
        <v>1666.24</v>
      </c>
      <c r="M382" s="1" t="s">
        <v>748</v>
      </c>
      <c r="N382" s="1" t="s">
        <v>21</v>
      </c>
      <c r="O382" s="1" t="s">
        <v>748</v>
      </c>
    </row>
    <row r="383" spans="1:15" x14ac:dyDescent="0.35">
      <c r="A383" s="1" t="s">
        <v>749</v>
      </c>
      <c r="B383" s="2">
        <v>1</v>
      </c>
      <c r="C383" s="1" t="s">
        <v>16</v>
      </c>
      <c r="D383" s="1" t="s">
        <v>24</v>
      </c>
      <c r="E383" s="1" t="str">
        <f>TRIM(CLEAN(Sheet1[[#This Row],[Category]]))</f>
        <v>Electronics</v>
      </c>
      <c r="F383">
        <v>3</v>
      </c>
      <c r="G383" t="str">
        <f t="shared" si="5"/>
        <v>1. Retail (1-3 Units)</v>
      </c>
      <c r="H383">
        <v>3</v>
      </c>
      <c r="I383" t="s">
        <v>332</v>
      </c>
      <c r="J383">
        <f>IF(ISBLANK(I383), ROUND(I383/ABS(VALUE(_xlfn.TEXTBEFORE(F383&amp;" ", " "))), 2), ABS(VALUE(SUBSTITUTE(I383, "$", ""))))</f>
        <v>250</v>
      </c>
      <c r="K383">
        <f>ROUND(Sheet1[[#This Row],[CleanedUnits_sold]]*Sheet1[[#This Row],[Cleaned_Unit_Price]],2)</f>
        <v>750</v>
      </c>
      <c r="L383">
        <v>608.70000000000005</v>
      </c>
      <c r="M383" s="1" t="s">
        <v>750</v>
      </c>
      <c r="N383" s="1" t="s">
        <v>50</v>
      </c>
      <c r="O383" s="1" t="s">
        <v>750</v>
      </c>
    </row>
    <row r="384" spans="1:15" x14ac:dyDescent="0.35">
      <c r="A384" s="1" t="s">
        <v>751</v>
      </c>
      <c r="B384" s="2">
        <v>1</v>
      </c>
      <c r="C384" s="1" t="s">
        <v>58</v>
      </c>
      <c r="D384" s="1" t="s">
        <v>24</v>
      </c>
      <c r="E384" s="1" t="str">
        <f>TRIM(CLEAN(Sheet1[[#This Row],[Category]]))</f>
        <v>Electronics</v>
      </c>
      <c r="F384">
        <v>5</v>
      </c>
      <c r="G384" t="str">
        <f t="shared" si="5"/>
        <v>2. Mid-Market (4-7 Units)</v>
      </c>
      <c r="H384">
        <v>5</v>
      </c>
      <c r="I384">
        <v>104.02</v>
      </c>
      <c r="J384">
        <f>IF(ISBLANK(I384), ROUND(I384/ABS(VALUE(_xlfn.TEXTBEFORE(F384&amp;" ", " "))), 2), ABS(VALUE(SUBSTITUTE(I384, "$", ""))))</f>
        <v>104.02</v>
      </c>
      <c r="K384">
        <f>ROUND(Sheet1[[#This Row],[CleanedUnits_sold]]*Sheet1[[#This Row],[Cleaned_Unit_Price]],2)</f>
        <v>520.1</v>
      </c>
      <c r="L384">
        <v>520.1</v>
      </c>
      <c r="M384" s="1" t="s">
        <v>752</v>
      </c>
      <c r="N384" s="1" t="s">
        <v>21</v>
      </c>
      <c r="O384" s="1" t="s">
        <v>752</v>
      </c>
    </row>
    <row r="385" spans="1:15" x14ac:dyDescent="0.35">
      <c r="A385" s="1" t="s">
        <v>753</v>
      </c>
      <c r="B385" s="2">
        <v>45046</v>
      </c>
      <c r="C385" s="1" t="s">
        <v>16</v>
      </c>
      <c r="D385" s="1" t="s">
        <v>24</v>
      </c>
      <c r="E385" s="1" t="str">
        <f>TRIM(CLEAN(Sheet1[[#This Row],[Category]]))</f>
        <v>Electronics</v>
      </c>
      <c r="F385">
        <v>3</v>
      </c>
      <c r="G385" t="str">
        <f t="shared" si="5"/>
        <v>1. Retail (1-3 Units)</v>
      </c>
      <c r="H385">
        <v>3</v>
      </c>
      <c r="I385">
        <v>40</v>
      </c>
      <c r="J385">
        <f>IF(ISBLANK(I385), ROUND(I385/ABS(VALUE(_xlfn.TEXTBEFORE(F385&amp;" ", " "))), 2), ABS(VALUE(SUBSTITUTE(I385, "$", ""))))</f>
        <v>40</v>
      </c>
      <c r="K385">
        <f>ROUND(Sheet1[[#This Row],[CleanedUnits_sold]]*Sheet1[[#This Row],[Cleaned_Unit_Price]],2)</f>
        <v>120</v>
      </c>
      <c r="L385">
        <v>120</v>
      </c>
      <c r="M385" s="1" t="s">
        <v>754</v>
      </c>
      <c r="N385" s="1" t="s">
        <v>14</v>
      </c>
      <c r="O385" s="1" t="s">
        <v>754</v>
      </c>
    </row>
    <row r="386" spans="1:15" x14ac:dyDescent="0.35">
      <c r="A386" s="1" t="s">
        <v>755</v>
      </c>
      <c r="B386" s="2">
        <v>45232</v>
      </c>
      <c r="C386" s="1" t="s">
        <v>16</v>
      </c>
      <c r="D386" s="1" t="s">
        <v>32</v>
      </c>
      <c r="E386" s="1" t="str">
        <f>TRIM(CLEAN(Sheet1[[#This Row],[Category]]))</f>
        <v>Furniture</v>
      </c>
      <c r="F386">
        <v>5</v>
      </c>
      <c r="G386" t="str">
        <f t="shared" ref="G386:G449" si="6">IF(H386=0, "Non-Billable / Zero", IF(H386&lt;=3, "1. Retail (1-3 Units)", IF(H386&lt;=7, "2. Mid-Market (4-7 Units)", "3. Wholesale / Bulk (8+ Units)")))</f>
        <v>2. Mid-Market (4-7 Units)</v>
      </c>
      <c r="H386">
        <v>5</v>
      </c>
      <c r="I386" t="s">
        <v>332</v>
      </c>
      <c r="J386">
        <f>IF(ISBLANK(I386), ROUND(I386/ABS(VALUE(_xlfn.TEXTBEFORE(F386&amp;" ", " "))), 2), ABS(VALUE(SUBSTITUTE(I386, "$", ""))))</f>
        <v>250</v>
      </c>
      <c r="K386">
        <f>ROUND(Sheet1[[#This Row],[CleanedUnits_sold]]*Sheet1[[#This Row],[Cleaned_Unit_Price]],2)</f>
        <v>1250</v>
      </c>
      <c r="L386">
        <v>1879.74</v>
      </c>
      <c r="M386" s="1" t="s">
        <v>756</v>
      </c>
      <c r="N386" s="1" t="s">
        <v>14</v>
      </c>
      <c r="O386" s="1" t="s">
        <v>756</v>
      </c>
    </row>
    <row r="387" spans="1:15" x14ac:dyDescent="0.35">
      <c r="A387" s="1" t="s">
        <v>757</v>
      </c>
      <c r="B387" s="2">
        <v>1</v>
      </c>
      <c r="C387" s="1" t="s">
        <v>16</v>
      </c>
      <c r="D387" s="1" t="s">
        <v>12</v>
      </c>
      <c r="E387" s="1" t="str">
        <f>TRIM(CLEAN(Sheet1[[#This Row],[Category]]))</f>
        <v>Office Supplies</v>
      </c>
      <c r="F387">
        <v>1</v>
      </c>
      <c r="G387" t="str">
        <f t="shared" si="6"/>
        <v>1. Retail (1-3 Units)</v>
      </c>
      <c r="H387">
        <v>1</v>
      </c>
      <c r="I387">
        <v>494.72</v>
      </c>
      <c r="J387">
        <f>IF(ISBLANK(I387), ROUND(I387/ABS(VALUE(_xlfn.TEXTBEFORE(F387&amp;" ", " "))), 2), ABS(VALUE(SUBSTITUTE(I387, "$", ""))))</f>
        <v>494.72</v>
      </c>
      <c r="K387">
        <f>ROUND(Sheet1[[#This Row],[CleanedUnits_sold]]*Sheet1[[#This Row],[Cleaned_Unit_Price]],2)</f>
        <v>494.72</v>
      </c>
      <c r="L387">
        <v>494.72</v>
      </c>
      <c r="M387" s="1" t="s">
        <v>758</v>
      </c>
      <c r="N387" s="1" t="s">
        <v>14</v>
      </c>
      <c r="O387" s="1" t="s">
        <v>758</v>
      </c>
    </row>
    <row r="388" spans="1:15" x14ac:dyDescent="0.35">
      <c r="A388" s="1" t="s">
        <v>759</v>
      </c>
      <c r="B388" s="2">
        <v>45016</v>
      </c>
      <c r="C388" s="1" t="s">
        <v>16</v>
      </c>
      <c r="D388" s="1" t="s">
        <v>24</v>
      </c>
      <c r="E388" s="1" t="str">
        <f>TRIM(CLEAN(Sheet1[[#This Row],[Category]]))</f>
        <v>Electronics</v>
      </c>
      <c r="F388">
        <v>7</v>
      </c>
      <c r="G388" t="str">
        <f t="shared" si="6"/>
        <v>2. Mid-Market (4-7 Units)</v>
      </c>
      <c r="H388">
        <v>7</v>
      </c>
      <c r="I388">
        <v>-15.31</v>
      </c>
      <c r="J388">
        <f>IF(ISBLANK(I388), ROUND(I388/ABS(VALUE(_xlfn.TEXTBEFORE(F388&amp;" ", " "))), 2), ABS(VALUE(SUBSTITUTE(I388, "$", ""))))</f>
        <v>15.31</v>
      </c>
      <c r="K388">
        <f>ROUND(Sheet1[[#This Row],[CleanedUnits_sold]]*Sheet1[[#This Row],[Cleaned_Unit_Price]],2)</f>
        <v>107.17</v>
      </c>
      <c r="M388" s="1" t="s">
        <v>760</v>
      </c>
      <c r="N388" s="1" t="s">
        <v>14</v>
      </c>
      <c r="O388" s="1" t="s">
        <v>760</v>
      </c>
    </row>
    <row r="389" spans="1:15" x14ac:dyDescent="0.35">
      <c r="A389" s="1" t="s">
        <v>761</v>
      </c>
      <c r="B389" s="2">
        <v>1</v>
      </c>
      <c r="C389" s="1" t="s">
        <v>16</v>
      </c>
      <c r="D389" s="1" t="s">
        <v>12</v>
      </c>
      <c r="E389" s="1" t="str">
        <f>TRIM(CLEAN(Sheet1[[#This Row],[Category]]))</f>
        <v>Office Supplies</v>
      </c>
      <c r="F389">
        <v>2</v>
      </c>
      <c r="G389" t="str">
        <f t="shared" si="6"/>
        <v>1. Retail (1-3 Units)</v>
      </c>
      <c r="H389">
        <v>2</v>
      </c>
      <c r="I389">
        <v>32.880000000000003</v>
      </c>
      <c r="J389">
        <f>IF(ISBLANK(I389), ROUND(I389/ABS(VALUE(_xlfn.TEXTBEFORE(F389&amp;" ", " "))), 2), ABS(VALUE(SUBSTITUTE(I389, "$", ""))))</f>
        <v>32.880000000000003</v>
      </c>
      <c r="K389">
        <f>ROUND(Sheet1[[#This Row],[CleanedUnits_sold]]*Sheet1[[#This Row],[Cleaned_Unit_Price]],2)</f>
        <v>65.760000000000005</v>
      </c>
      <c r="L389">
        <v>65.760000000000005</v>
      </c>
      <c r="M389" s="1" t="s">
        <v>762</v>
      </c>
      <c r="N389" s="1" t="s">
        <v>50</v>
      </c>
      <c r="O389" s="1" t="s">
        <v>762</v>
      </c>
    </row>
    <row r="390" spans="1:15" x14ac:dyDescent="0.35">
      <c r="A390" s="1" t="s">
        <v>763</v>
      </c>
      <c r="B390" s="2">
        <v>1</v>
      </c>
      <c r="C390" s="1" t="s">
        <v>23</v>
      </c>
      <c r="D390" s="1" t="s">
        <v>24</v>
      </c>
      <c r="E390" s="1" t="str">
        <f>TRIM(CLEAN(Sheet1[[#This Row],[Category]]))</f>
        <v>Electronics</v>
      </c>
      <c r="F390">
        <v>4</v>
      </c>
      <c r="G390" t="str">
        <f t="shared" si="6"/>
        <v>2. Mid-Market (4-7 Units)</v>
      </c>
      <c r="H390">
        <v>4</v>
      </c>
      <c r="I390">
        <v>391.97</v>
      </c>
      <c r="J390">
        <f>IF(ISBLANK(I390), ROUND(I390/ABS(VALUE(_xlfn.TEXTBEFORE(F390&amp;" ", " "))), 2), ABS(VALUE(SUBSTITUTE(I390, "$", ""))))</f>
        <v>391.97</v>
      </c>
      <c r="K390">
        <f>ROUND(Sheet1[[#This Row],[CleanedUnits_sold]]*Sheet1[[#This Row],[Cleaned_Unit_Price]],2)</f>
        <v>1567.88</v>
      </c>
      <c r="L390">
        <v>1567.88</v>
      </c>
      <c r="M390" s="1" t="s">
        <v>764</v>
      </c>
      <c r="N390" s="1" t="s">
        <v>26</v>
      </c>
      <c r="O390" s="1" t="s">
        <v>764</v>
      </c>
    </row>
    <row r="391" spans="1:15" x14ac:dyDescent="0.35">
      <c r="A391" s="1" t="s">
        <v>765</v>
      </c>
      <c r="B391" s="2">
        <v>45048</v>
      </c>
      <c r="C391" s="1" t="s">
        <v>19</v>
      </c>
      <c r="D391" s="1" t="s">
        <v>46</v>
      </c>
      <c r="E391" s="1" t="str">
        <f>TRIM(CLEAN(Sheet1[[#This Row],[Category]]))</f>
        <v>Furniture</v>
      </c>
      <c r="F391">
        <v>6</v>
      </c>
      <c r="G391" t="str">
        <f t="shared" si="6"/>
        <v>2. Mid-Market (4-7 Units)</v>
      </c>
      <c r="H391">
        <v>6</v>
      </c>
      <c r="I391">
        <v>133.77000000000001</v>
      </c>
      <c r="J391">
        <f>IF(ISBLANK(I391), ROUND(I391/ABS(VALUE(_xlfn.TEXTBEFORE(F391&amp;" ", " "))), 2), ABS(VALUE(SUBSTITUTE(I391, "$", ""))))</f>
        <v>133.77000000000001</v>
      </c>
      <c r="K391">
        <f>ROUND(Sheet1[[#This Row],[CleanedUnits_sold]]*Sheet1[[#This Row],[Cleaned_Unit_Price]],2)</f>
        <v>802.62</v>
      </c>
      <c r="M391" s="1" t="s">
        <v>766</v>
      </c>
      <c r="N391" s="1" t="s">
        <v>14</v>
      </c>
      <c r="O391" s="1" t="s">
        <v>766</v>
      </c>
    </row>
    <row r="392" spans="1:15" x14ac:dyDescent="0.35">
      <c r="A392" s="1" t="s">
        <v>767</v>
      </c>
      <c r="B392" s="2">
        <v>1</v>
      </c>
      <c r="C392" s="1" t="s">
        <v>23</v>
      </c>
      <c r="D392" s="1" t="s">
        <v>32</v>
      </c>
      <c r="E392" s="1" t="str">
        <f>TRIM(CLEAN(Sheet1[[#This Row],[Category]]))</f>
        <v>Furniture</v>
      </c>
      <c r="F392">
        <v>7</v>
      </c>
      <c r="G392" t="str">
        <f t="shared" si="6"/>
        <v>2. Mid-Market (4-7 Units)</v>
      </c>
      <c r="H392">
        <v>7</v>
      </c>
      <c r="I392">
        <v>416.53</v>
      </c>
      <c r="J392">
        <f>IF(ISBLANK(I392), ROUND(I392/ABS(VALUE(_xlfn.TEXTBEFORE(F392&amp;" ", " "))), 2), ABS(VALUE(SUBSTITUTE(I392, "$", ""))))</f>
        <v>416.53</v>
      </c>
      <c r="K392">
        <f>ROUND(Sheet1[[#This Row],[CleanedUnits_sold]]*Sheet1[[#This Row],[Cleaned_Unit_Price]],2)</f>
        <v>2915.71</v>
      </c>
      <c r="L392">
        <v>2915.71</v>
      </c>
      <c r="M392" s="1" t="s">
        <v>768</v>
      </c>
      <c r="N392" s="1" t="s">
        <v>50</v>
      </c>
      <c r="O392" s="1" t="s">
        <v>768</v>
      </c>
    </row>
    <row r="393" spans="1:15" x14ac:dyDescent="0.35">
      <c r="A393" s="1" t="s">
        <v>769</v>
      </c>
      <c r="B393" s="2">
        <v>44991</v>
      </c>
      <c r="C393" s="1" t="s">
        <v>16</v>
      </c>
      <c r="D393" s="1" t="s">
        <v>12</v>
      </c>
      <c r="E393" s="1" t="str">
        <f>TRIM(CLEAN(Sheet1[[#This Row],[Category]]))</f>
        <v>Office Supplies</v>
      </c>
      <c r="F393">
        <v>9</v>
      </c>
      <c r="G393" t="str">
        <f t="shared" si="6"/>
        <v>3. Wholesale / Bulk (8+ Units)</v>
      </c>
      <c r="H393">
        <v>9</v>
      </c>
      <c r="I393">
        <v>354.93</v>
      </c>
      <c r="J393">
        <f>IF(ISBLANK(I393), ROUND(I393/ABS(VALUE(_xlfn.TEXTBEFORE(F393&amp;" ", " "))), 2), ABS(VALUE(SUBSTITUTE(I393, "$", ""))))</f>
        <v>354.93</v>
      </c>
      <c r="K393">
        <f>ROUND(Sheet1[[#This Row],[CleanedUnits_sold]]*Sheet1[[#This Row],[Cleaned_Unit_Price]],2)</f>
        <v>3194.37</v>
      </c>
      <c r="L393">
        <v>3194.37</v>
      </c>
      <c r="M393" s="1" t="s">
        <v>770</v>
      </c>
      <c r="N393" s="1" t="s">
        <v>14</v>
      </c>
      <c r="O393" s="1" t="s">
        <v>770</v>
      </c>
    </row>
    <row r="394" spans="1:15" x14ac:dyDescent="0.35">
      <c r="A394" s="1" t="s">
        <v>771</v>
      </c>
      <c r="B394" s="2">
        <v>44959</v>
      </c>
      <c r="C394" s="1" t="s">
        <v>19</v>
      </c>
      <c r="D394" s="1" t="s">
        <v>24</v>
      </c>
      <c r="E394" s="1" t="str">
        <f>TRIM(CLEAN(Sheet1[[#This Row],[Category]]))</f>
        <v>Electronics</v>
      </c>
      <c r="F394">
        <v>4</v>
      </c>
      <c r="G394" t="str">
        <f t="shared" si="6"/>
        <v>2. Mid-Market (4-7 Units)</v>
      </c>
      <c r="H394">
        <v>4</v>
      </c>
      <c r="I394">
        <v>473.38</v>
      </c>
      <c r="J394">
        <f>IF(ISBLANK(I394), ROUND(I394/ABS(VALUE(_xlfn.TEXTBEFORE(F394&amp;" ", " "))), 2), ABS(VALUE(SUBSTITUTE(I394, "$", ""))))</f>
        <v>473.38</v>
      </c>
      <c r="K394">
        <f>ROUND(Sheet1[[#This Row],[CleanedUnits_sold]]*Sheet1[[#This Row],[Cleaned_Unit_Price]],2)</f>
        <v>1893.52</v>
      </c>
      <c r="L394">
        <v>1893.52</v>
      </c>
      <c r="M394" s="1" t="s">
        <v>772</v>
      </c>
      <c r="N394" s="1" t="s">
        <v>14</v>
      </c>
      <c r="O394" s="1" t="s">
        <v>772</v>
      </c>
    </row>
    <row r="395" spans="1:15" x14ac:dyDescent="0.35">
      <c r="A395" s="1" t="s">
        <v>773</v>
      </c>
      <c r="B395" s="2">
        <v>45112</v>
      </c>
      <c r="C395" s="1" t="s">
        <v>11</v>
      </c>
      <c r="D395" s="1" t="s">
        <v>24</v>
      </c>
      <c r="E395" s="1" t="str">
        <f>TRIM(CLEAN(Sheet1[[#This Row],[Category]]))</f>
        <v>Electronics</v>
      </c>
      <c r="F395">
        <v>1</v>
      </c>
      <c r="G395" t="str">
        <f t="shared" si="6"/>
        <v>1. Retail (1-3 Units)</v>
      </c>
      <c r="H395">
        <v>1</v>
      </c>
      <c r="I395">
        <v>210.37</v>
      </c>
      <c r="J395">
        <f>IF(ISBLANK(I395), ROUND(I395/ABS(VALUE(_xlfn.TEXTBEFORE(F395&amp;" ", " "))), 2), ABS(VALUE(SUBSTITUTE(I395, "$", ""))))</f>
        <v>210.37</v>
      </c>
      <c r="K395">
        <f>ROUND(Sheet1[[#This Row],[CleanedUnits_sold]]*Sheet1[[#This Row],[Cleaned_Unit_Price]],2)</f>
        <v>210.37</v>
      </c>
      <c r="M395" s="1" t="s">
        <v>774</v>
      </c>
      <c r="N395" s="1" t="s">
        <v>38</v>
      </c>
      <c r="O395" s="1" t="s">
        <v>774</v>
      </c>
    </row>
    <row r="396" spans="1:15" x14ac:dyDescent="0.35">
      <c r="A396" s="1" t="s">
        <v>775</v>
      </c>
      <c r="B396" s="2">
        <v>45040</v>
      </c>
      <c r="C396" s="1" t="s">
        <v>19</v>
      </c>
      <c r="D396" s="1" t="s">
        <v>46</v>
      </c>
      <c r="E396" s="1" t="str">
        <f>TRIM(CLEAN(Sheet1[[#This Row],[Category]]))</f>
        <v>Furniture</v>
      </c>
      <c r="F396">
        <v>4</v>
      </c>
      <c r="G396" t="str">
        <f t="shared" si="6"/>
        <v>2. Mid-Market (4-7 Units)</v>
      </c>
      <c r="H396">
        <v>4</v>
      </c>
      <c r="I396">
        <v>-50.43</v>
      </c>
      <c r="J396">
        <f>IF(ISBLANK(I396), ROUND(I396/ABS(VALUE(_xlfn.TEXTBEFORE(F396&amp;" ", " "))), 2), ABS(VALUE(SUBSTITUTE(I396, "$", ""))))</f>
        <v>50.43</v>
      </c>
      <c r="K396">
        <f>ROUND(Sheet1[[#This Row],[CleanedUnits_sold]]*Sheet1[[#This Row],[Cleaned_Unit_Price]],2)</f>
        <v>201.72</v>
      </c>
      <c r="L396">
        <v>1337.48</v>
      </c>
      <c r="M396" s="1" t="s">
        <v>776</v>
      </c>
      <c r="N396" s="1" t="s">
        <v>38</v>
      </c>
      <c r="O396" s="1" t="s">
        <v>776</v>
      </c>
    </row>
    <row r="397" spans="1:15" x14ac:dyDescent="0.35">
      <c r="A397" s="1" t="s">
        <v>777</v>
      </c>
      <c r="B397" s="2">
        <v>45264</v>
      </c>
      <c r="C397" s="1" t="s">
        <v>16</v>
      </c>
      <c r="D397" s="1" t="s">
        <v>12</v>
      </c>
      <c r="E397" s="1" t="str">
        <f>TRIM(CLEAN(Sheet1[[#This Row],[Category]]))</f>
        <v>Office Supplies</v>
      </c>
      <c r="F397">
        <v>6</v>
      </c>
      <c r="G397" t="str">
        <f t="shared" si="6"/>
        <v>2. Mid-Market (4-7 Units)</v>
      </c>
      <c r="H397">
        <v>6</v>
      </c>
      <c r="I397">
        <v>237.78</v>
      </c>
      <c r="J397">
        <f>IF(ISBLANK(I397), ROUND(I397/ABS(VALUE(_xlfn.TEXTBEFORE(F397&amp;" ", " "))), 2), ABS(VALUE(SUBSTITUTE(I397, "$", ""))))</f>
        <v>237.78</v>
      </c>
      <c r="K397">
        <f>ROUND(Sheet1[[#This Row],[CleanedUnits_sold]]*Sheet1[[#This Row],[Cleaned_Unit_Price]],2)</f>
        <v>1426.68</v>
      </c>
      <c r="L397">
        <v>1426.68</v>
      </c>
      <c r="M397" s="1" t="s">
        <v>49</v>
      </c>
      <c r="N397" s="1" t="s">
        <v>50</v>
      </c>
      <c r="O397" s="1" t="s">
        <v>51</v>
      </c>
    </row>
    <row r="398" spans="1:15" x14ac:dyDescent="0.35">
      <c r="A398" s="1" t="s">
        <v>778</v>
      </c>
      <c r="B398" s="2">
        <v>44942</v>
      </c>
      <c r="C398" s="1" t="s">
        <v>11</v>
      </c>
      <c r="D398" s="1" t="s">
        <v>12</v>
      </c>
      <c r="E398" s="1" t="str">
        <f>TRIM(CLEAN(Sheet1[[#This Row],[Category]]))</f>
        <v>Office Supplies</v>
      </c>
      <c r="F398">
        <v>5</v>
      </c>
      <c r="G398" t="str">
        <f t="shared" si="6"/>
        <v>2. Mid-Market (4-7 Units)</v>
      </c>
      <c r="H398">
        <v>5</v>
      </c>
      <c r="I398">
        <v>318.99</v>
      </c>
      <c r="J398">
        <f>IF(ISBLANK(I398), ROUND(I398/ABS(VALUE(_xlfn.TEXTBEFORE(F398&amp;" ", " "))), 2), ABS(VALUE(SUBSTITUTE(I398, "$", ""))))</f>
        <v>318.99</v>
      </c>
      <c r="K398">
        <f>ROUND(Sheet1[[#This Row],[CleanedUnits_sold]]*Sheet1[[#This Row],[Cleaned_Unit_Price]],2)</f>
        <v>1594.95</v>
      </c>
      <c r="L398">
        <v>956.97</v>
      </c>
      <c r="M398" s="1" t="s">
        <v>779</v>
      </c>
      <c r="N398" s="1" t="s">
        <v>21</v>
      </c>
      <c r="O398" s="1" t="s">
        <v>779</v>
      </c>
    </row>
    <row r="399" spans="1:15" x14ac:dyDescent="0.35">
      <c r="A399" s="1" t="s">
        <v>780</v>
      </c>
      <c r="B399" s="2">
        <v>45132</v>
      </c>
      <c r="C399" s="1" t="s">
        <v>16</v>
      </c>
      <c r="D399" s="1" t="s">
        <v>46</v>
      </c>
      <c r="E399" s="1" t="str">
        <f>TRIM(CLEAN(Sheet1[[#This Row],[Category]]))</f>
        <v>Furniture</v>
      </c>
      <c r="F399">
        <v>4</v>
      </c>
      <c r="G399" t="str">
        <f t="shared" si="6"/>
        <v>2. Mid-Market (4-7 Units)</v>
      </c>
      <c r="H399">
        <v>4</v>
      </c>
      <c r="I399">
        <v>230.3</v>
      </c>
      <c r="J399">
        <f>IF(ISBLANK(I399), ROUND(I399/ABS(VALUE(_xlfn.TEXTBEFORE(F399&amp;" ", " "))), 2), ABS(VALUE(SUBSTITUTE(I399, "$", ""))))</f>
        <v>230.3</v>
      </c>
      <c r="K399">
        <f>ROUND(Sheet1[[#This Row],[CleanedUnits_sold]]*Sheet1[[#This Row],[Cleaned_Unit_Price]],2)</f>
        <v>921.2</v>
      </c>
      <c r="L399">
        <v>921.2</v>
      </c>
      <c r="M399" s="1" t="s">
        <v>781</v>
      </c>
      <c r="N399" s="1" t="s">
        <v>38</v>
      </c>
      <c r="O399" s="1" t="s">
        <v>781</v>
      </c>
    </row>
    <row r="400" spans="1:15" x14ac:dyDescent="0.35">
      <c r="A400" s="1" t="s">
        <v>782</v>
      </c>
      <c r="B400" s="2">
        <v>45178</v>
      </c>
      <c r="C400" s="1" t="s">
        <v>11</v>
      </c>
      <c r="D400" s="1" t="s">
        <v>24</v>
      </c>
      <c r="E400" s="1" t="str">
        <f>TRIM(CLEAN(Sheet1[[#This Row],[Category]]))</f>
        <v>Electronics</v>
      </c>
      <c r="F400">
        <v>2</v>
      </c>
      <c r="G400" t="str">
        <f t="shared" si="6"/>
        <v>1. Retail (1-3 Units)</v>
      </c>
      <c r="H400">
        <v>2</v>
      </c>
      <c r="I400">
        <v>102.43</v>
      </c>
      <c r="J400">
        <f>IF(ISBLANK(I400), ROUND(I400/ABS(VALUE(_xlfn.TEXTBEFORE(F400&amp;" ", " "))), 2), ABS(VALUE(SUBSTITUTE(I400, "$", ""))))</f>
        <v>102.43</v>
      </c>
      <c r="K400">
        <f>ROUND(Sheet1[[#This Row],[CleanedUnits_sold]]*Sheet1[[#This Row],[Cleaned_Unit_Price]],2)</f>
        <v>204.86</v>
      </c>
      <c r="L400">
        <v>204.86</v>
      </c>
      <c r="M400" s="1" t="s">
        <v>783</v>
      </c>
      <c r="N400" s="1" t="s">
        <v>14</v>
      </c>
      <c r="O400" s="1" t="s">
        <v>783</v>
      </c>
    </row>
    <row r="401" spans="1:15" x14ac:dyDescent="0.35">
      <c r="A401" s="1" t="s">
        <v>784</v>
      </c>
      <c r="B401" s="2">
        <v>1</v>
      </c>
      <c r="C401" s="1" t="s">
        <v>23</v>
      </c>
      <c r="D401" s="1" t="s">
        <v>46</v>
      </c>
      <c r="E401" s="1" t="str">
        <f>TRIM(CLEAN(Sheet1[[#This Row],[Category]]))</f>
        <v>Furniture</v>
      </c>
      <c r="F401">
        <v>6</v>
      </c>
      <c r="G401" t="str">
        <f t="shared" si="6"/>
        <v>2. Mid-Market (4-7 Units)</v>
      </c>
      <c r="H401">
        <v>6</v>
      </c>
      <c r="I401">
        <v>258.87</v>
      </c>
      <c r="J401">
        <f>IF(ISBLANK(I401), ROUND(I401/ABS(VALUE(_xlfn.TEXTBEFORE(F401&amp;" ", " "))), 2), ABS(VALUE(SUBSTITUTE(I401, "$", ""))))</f>
        <v>258.87</v>
      </c>
      <c r="K401">
        <f>ROUND(Sheet1[[#This Row],[CleanedUnits_sold]]*Sheet1[[#This Row],[Cleaned_Unit_Price]],2)</f>
        <v>1553.22</v>
      </c>
      <c r="L401">
        <v>1553.22</v>
      </c>
      <c r="M401" s="1" t="s">
        <v>785</v>
      </c>
      <c r="N401" s="1" t="s">
        <v>14</v>
      </c>
      <c r="O401" s="1" t="s">
        <v>785</v>
      </c>
    </row>
    <row r="402" spans="1:15" x14ac:dyDescent="0.35">
      <c r="A402" s="1" t="s">
        <v>786</v>
      </c>
      <c r="B402" s="2">
        <v>1</v>
      </c>
      <c r="C402" s="1" t="s">
        <v>16</v>
      </c>
      <c r="D402" s="1" t="s">
        <v>12</v>
      </c>
      <c r="E402" s="1" t="str">
        <f>TRIM(CLEAN(Sheet1[[#This Row],[Category]]))</f>
        <v>Office Supplies</v>
      </c>
      <c r="F402">
        <v>8</v>
      </c>
      <c r="G402" t="str">
        <f t="shared" si="6"/>
        <v>3. Wholesale / Bulk (8+ Units)</v>
      </c>
      <c r="H402">
        <v>8</v>
      </c>
      <c r="I402">
        <v>269.01</v>
      </c>
      <c r="J402">
        <f>IF(ISBLANK(I402), ROUND(I402/ABS(VALUE(_xlfn.TEXTBEFORE(F402&amp;" ", " "))), 2), ABS(VALUE(SUBSTITUTE(I402, "$", ""))))</f>
        <v>269.01</v>
      </c>
      <c r="K402">
        <f>ROUND(Sheet1[[#This Row],[CleanedUnits_sold]]*Sheet1[[#This Row],[Cleaned_Unit_Price]],2)</f>
        <v>2152.08</v>
      </c>
      <c r="L402">
        <v>2152.08</v>
      </c>
      <c r="M402" s="1" t="s">
        <v>787</v>
      </c>
      <c r="N402" s="1" t="s">
        <v>26</v>
      </c>
      <c r="O402" s="1" t="s">
        <v>787</v>
      </c>
    </row>
    <row r="403" spans="1:15" x14ac:dyDescent="0.35">
      <c r="A403" s="1" t="s">
        <v>788</v>
      </c>
      <c r="B403" s="2">
        <v>44987</v>
      </c>
      <c r="C403" s="1" t="s">
        <v>19</v>
      </c>
      <c r="D403" s="1" t="s">
        <v>24</v>
      </c>
      <c r="E403" s="1" t="str">
        <f>TRIM(CLEAN(Sheet1[[#This Row],[Category]]))</f>
        <v>Electronics</v>
      </c>
      <c r="F403">
        <v>7</v>
      </c>
      <c r="G403" t="str">
        <f t="shared" si="6"/>
        <v>2. Mid-Market (4-7 Units)</v>
      </c>
      <c r="H403">
        <v>7</v>
      </c>
      <c r="I403">
        <v>407.2</v>
      </c>
      <c r="J403">
        <f>IF(ISBLANK(I403), ROUND(I403/ABS(VALUE(_xlfn.TEXTBEFORE(F403&amp;" ", " "))), 2), ABS(VALUE(SUBSTITUTE(I403, "$", ""))))</f>
        <v>407.2</v>
      </c>
      <c r="K403">
        <f>ROUND(Sheet1[[#This Row],[CleanedUnits_sold]]*Sheet1[[#This Row],[Cleaned_Unit_Price]],2)</f>
        <v>2850.4</v>
      </c>
      <c r="L403">
        <v>2850.4</v>
      </c>
      <c r="M403" s="1" t="s">
        <v>789</v>
      </c>
      <c r="N403" s="1" t="s">
        <v>38</v>
      </c>
      <c r="O403" s="1" t="s">
        <v>789</v>
      </c>
    </row>
    <row r="404" spans="1:15" x14ac:dyDescent="0.35">
      <c r="A404" s="1" t="s">
        <v>790</v>
      </c>
      <c r="B404" s="2">
        <v>45251</v>
      </c>
      <c r="C404" s="1" t="s">
        <v>11</v>
      </c>
      <c r="D404" s="1" t="s">
        <v>46</v>
      </c>
      <c r="E404" s="1" t="str">
        <f>TRIM(CLEAN(Sheet1[[#This Row],[Category]]))</f>
        <v>Furniture</v>
      </c>
      <c r="F404">
        <v>2</v>
      </c>
      <c r="G404" t="str">
        <f t="shared" si="6"/>
        <v>1. Retail (1-3 Units)</v>
      </c>
      <c r="H404">
        <v>2</v>
      </c>
      <c r="I404">
        <v>370.41</v>
      </c>
      <c r="J404">
        <f>IF(ISBLANK(I404), ROUND(I404/ABS(VALUE(_xlfn.TEXTBEFORE(F404&amp;" ", " "))), 2), ABS(VALUE(SUBSTITUTE(I404, "$", ""))))</f>
        <v>370.41</v>
      </c>
      <c r="K404">
        <f>ROUND(Sheet1[[#This Row],[CleanedUnits_sold]]*Sheet1[[#This Row],[Cleaned_Unit_Price]],2)</f>
        <v>740.82</v>
      </c>
      <c r="L404">
        <v>852.25</v>
      </c>
      <c r="M404" s="1" t="s">
        <v>791</v>
      </c>
      <c r="N404" s="1" t="s">
        <v>38</v>
      </c>
      <c r="O404" s="1" t="s">
        <v>791</v>
      </c>
    </row>
    <row r="405" spans="1:15" x14ac:dyDescent="0.35">
      <c r="A405" s="1" t="s">
        <v>792</v>
      </c>
      <c r="B405" s="2">
        <v>45232</v>
      </c>
      <c r="C405" s="1" t="s">
        <v>58</v>
      </c>
      <c r="D405" s="1" t="s">
        <v>12</v>
      </c>
      <c r="E405" s="1" t="str">
        <f>TRIM(CLEAN(Sheet1[[#This Row],[Category]]))</f>
        <v>Office Supplies</v>
      </c>
      <c r="F405">
        <v>6</v>
      </c>
      <c r="G405" t="str">
        <f t="shared" si="6"/>
        <v>2. Mid-Market (4-7 Units)</v>
      </c>
      <c r="H405">
        <v>6</v>
      </c>
      <c r="I405">
        <v>335.26</v>
      </c>
      <c r="J405">
        <f>IF(ISBLANK(I405), ROUND(I405/ABS(VALUE(_xlfn.TEXTBEFORE(F405&amp;" ", " "))), 2), ABS(VALUE(SUBSTITUTE(I405, "$", ""))))</f>
        <v>335.26</v>
      </c>
      <c r="K405">
        <f>ROUND(Sheet1[[#This Row],[CleanedUnits_sold]]*Sheet1[[#This Row],[Cleaned_Unit_Price]],2)</f>
        <v>2011.56</v>
      </c>
      <c r="L405">
        <v>2011.56</v>
      </c>
      <c r="M405" s="1" t="s">
        <v>793</v>
      </c>
      <c r="N405" s="1" t="s">
        <v>26</v>
      </c>
      <c r="O405" s="1" t="s">
        <v>793</v>
      </c>
    </row>
    <row r="406" spans="1:15" x14ac:dyDescent="0.35">
      <c r="A406" s="1" t="s">
        <v>794</v>
      </c>
      <c r="B406" s="2">
        <v>45236</v>
      </c>
      <c r="C406" s="1" t="s">
        <v>58</v>
      </c>
      <c r="D406" s="1" t="s">
        <v>12</v>
      </c>
      <c r="E406" s="1" t="str">
        <f>TRIM(CLEAN(Sheet1[[#This Row],[Category]]))</f>
        <v>Office Supplies</v>
      </c>
      <c r="F406">
        <v>-10</v>
      </c>
      <c r="G406" t="str">
        <f t="shared" si="6"/>
        <v>3. Wholesale / Bulk (8+ Units)</v>
      </c>
      <c r="H406">
        <v>10</v>
      </c>
      <c r="I406">
        <v>65.56</v>
      </c>
      <c r="J406">
        <f>IF(ISBLANK(I406), ROUND(I406/ABS(VALUE(_xlfn.TEXTBEFORE(F406&amp;" ", " "))), 2), ABS(VALUE(SUBSTITUTE(I406, "$", ""))))</f>
        <v>65.56</v>
      </c>
      <c r="K406">
        <f>ROUND(Sheet1[[#This Row],[CleanedUnits_sold]]*Sheet1[[#This Row],[Cleaned_Unit_Price]],2)</f>
        <v>655.6</v>
      </c>
      <c r="L406">
        <v>590.04</v>
      </c>
      <c r="M406" s="1" t="s">
        <v>795</v>
      </c>
      <c r="N406" s="1" t="s">
        <v>14</v>
      </c>
      <c r="O406" s="1" t="s">
        <v>795</v>
      </c>
    </row>
    <row r="407" spans="1:15" x14ac:dyDescent="0.35">
      <c r="A407" s="1" t="s">
        <v>796</v>
      </c>
      <c r="B407" s="2">
        <v>1</v>
      </c>
      <c r="C407" s="1" t="s">
        <v>16</v>
      </c>
      <c r="D407" s="1" t="s">
        <v>32</v>
      </c>
      <c r="E407" s="1" t="str">
        <f>TRIM(CLEAN(Sheet1[[#This Row],[Category]]))</f>
        <v>Furniture</v>
      </c>
      <c r="F407">
        <v>3</v>
      </c>
      <c r="G407" t="str">
        <f t="shared" si="6"/>
        <v>1. Retail (1-3 Units)</v>
      </c>
      <c r="H407">
        <v>3</v>
      </c>
      <c r="I407">
        <v>363.1</v>
      </c>
      <c r="J407">
        <f>IF(ISBLANK(I407), ROUND(I407/ABS(VALUE(_xlfn.TEXTBEFORE(F407&amp;" ", " "))), 2), ABS(VALUE(SUBSTITUTE(I407, "$", ""))))</f>
        <v>363.1</v>
      </c>
      <c r="K407">
        <f>ROUND(Sheet1[[#This Row],[CleanedUnits_sold]]*Sheet1[[#This Row],[Cleaned_Unit_Price]],2)</f>
        <v>1089.3</v>
      </c>
      <c r="L407">
        <v>1089.3</v>
      </c>
      <c r="M407" s="1" t="s">
        <v>797</v>
      </c>
      <c r="N407" s="1" t="s">
        <v>50</v>
      </c>
      <c r="O407" s="1" t="s">
        <v>797</v>
      </c>
    </row>
    <row r="408" spans="1:15" x14ac:dyDescent="0.35">
      <c r="A408" s="1" t="s">
        <v>798</v>
      </c>
      <c r="B408" s="2">
        <v>44969</v>
      </c>
      <c r="C408" s="1" t="s">
        <v>23</v>
      </c>
      <c r="D408" s="1" t="s">
        <v>12</v>
      </c>
      <c r="E408" s="1" t="str">
        <f>TRIM(CLEAN(Sheet1[[#This Row],[Category]]))</f>
        <v>Office Supplies</v>
      </c>
      <c r="F408">
        <v>-1</v>
      </c>
      <c r="G408" t="str">
        <f t="shared" si="6"/>
        <v>1. Retail (1-3 Units)</v>
      </c>
      <c r="H408">
        <v>1</v>
      </c>
      <c r="I408">
        <v>255.15</v>
      </c>
      <c r="J408">
        <f>IF(ISBLANK(I408), ROUND(I408/ABS(VALUE(_xlfn.TEXTBEFORE(F408&amp;" ", " "))), 2), ABS(VALUE(SUBSTITUTE(I408, "$", ""))))</f>
        <v>255.15</v>
      </c>
      <c r="K408">
        <f>ROUND(Sheet1[[#This Row],[CleanedUnits_sold]]*Sheet1[[#This Row],[Cleaned_Unit_Price]],2)</f>
        <v>255.15</v>
      </c>
      <c r="L408">
        <v>2041.2</v>
      </c>
      <c r="M408" s="1" t="s">
        <v>799</v>
      </c>
      <c r="N408" s="1" t="s">
        <v>21</v>
      </c>
      <c r="O408" s="1" t="s">
        <v>799</v>
      </c>
    </row>
    <row r="409" spans="1:15" x14ac:dyDescent="0.35">
      <c r="A409" s="1" t="s">
        <v>800</v>
      </c>
      <c r="B409" s="2">
        <v>45043</v>
      </c>
      <c r="C409" s="1" t="s">
        <v>16</v>
      </c>
      <c r="D409" s="1" t="s">
        <v>24</v>
      </c>
      <c r="E409" s="1" t="str">
        <f>TRIM(CLEAN(Sheet1[[#This Row],[Category]]))</f>
        <v>Electronics</v>
      </c>
      <c r="F409">
        <v>7</v>
      </c>
      <c r="G409" t="str">
        <f t="shared" si="6"/>
        <v>2. Mid-Market (4-7 Units)</v>
      </c>
      <c r="H409">
        <v>7</v>
      </c>
      <c r="I409">
        <v>448.11</v>
      </c>
      <c r="J409">
        <f>IF(ISBLANK(I409), ROUND(I409/ABS(VALUE(_xlfn.TEXTBEFORE(F409&amp;" ", " "))), 2), ABS(VALUE(SUBSTITUTE(I409, "$", ""))))</f>
        <v>448.11</v>
      </c>
      <c r="K409">
        <f>ROUND(Sheet1[[#This Row],[CleanedUnits_sold]]*Sheet1[[#This Row],[Cleaned_Unit_Price]],2)</f>
        <v>3136.77</v>
      </c>
      <c r="L409">
        <v>3136.77</v>
      </c>
      <c r="M409" s="1"/>
      <c r="N409" s="1" t="s">
        <v>50</v>
      </c>
      <c r="O409" s="1" t="s">
        <v>131</v>
      </c>
    </row>
    <row r="410" spans="1:15" x14ac:dyDescent="0.35">
      <c r="A410" s="1" t="s">
        <v>801</v>
      </c>
      <c r="B410" s="2">
        <v>45159</v>
      </c>
      <c r="C410" s="1" t="s">
        <v>19</v>
      </c>
      <c r="D410" s="1" t="s">
        <v>24</v>
      </c>
      <c r="E410" s="1" t="str">
        <f>TRIM(CLEAN(Sheet1[[#This Row],[Category]]))</f>
        <v>Electronics</v>
      </c>
      <c r="F410">
        <v>6</v>
      </c>
      <c r="G410" t="str">
        <f t="shared" si="6"/>
        <v>2. Mid-Market (4-7 Units)</v>
      </c>
      <c r="H410">
        <v>6</v>
      </c>
      <c r="J410">
        <f>IF(ISBLANK(I410), ROUND(I410/ABS(VALUE(_xlfn.TEXTBEFORE(F410&amp;" ", " "))), 2), ABS(VALUE(SUBSTITUTE(I410, "$", ""))))</f>
        <v>0</v>
      </c>
      <c r="K410">
        <f>ROUND(Sheet1[[#This Row],[CleanedUnits_sold]]*Sheet1[[#This Row],[Cleaned_Unit_Price]],2)</f>
        <v>0</v>
      </c>
      <c r="L410">
        <v>2764.44</v>
      </c>
      <c r="M410" s="1"/>
      <c r="N410" s="1" t="s">
        <v>14</v>
      </c>
      <c r="O410" s="1" t="s">
        <v>131</v>
      </c>
    </row>
    <row r="411" spans="1:15" x14ac:dyDescent="0.35">
      <c r="A411" s="1" t="s">
        <v>802</v>
      </c>
      <c r="B411" s="2">
        <v>44975</v>
      </c>
      <c r="C411" s="1" t="s">
        <v>58</v>
      </c>
      <c r="D411" s="1" t="s">
        <v>24</v>
      </c>
      <c r="E411" s="1" t="str">
        <f>TRIM(CLEAN(Sheet1[[#This Row],[Category]]))</f>
        <v>Electronics</v>
      </c>
      <c r="F411">
        <v>10</v>
      </c>
      <c r="G411" t="str">
        <f t="shared" si="6"/>
        <v>3. Wholesale / Bulk (8+ Units)</v>
      </c>
      <c r="H411">
        <v>10</v>
      </c>
      <c r="I411">
        <v>37.03</v>
      </c>
      <c r="J411">
        <f>IF(ISBLANK(I411), ROUND(I411/ABS(VALUE(_xlfn.TEXTBEFORE(F411&amp;" ", " "))), 2), ABS(VALUE(SUBSTITUTE(I411, "$", ""))))</f>
        <v>37.03</v>
      </c>
      <c r="K411">
        <f>ROUND(Sheet1[[#This Row],[CleanedUnits_sold]]*Sheet1[[#This Row],[Cleaned_Unit_Price]],2)</f>
        <v>370.3</v>
      </c>
      <c r="L411">
        <v>370.3</v>
      </c>
      <c r="M411" s="1" t="s">
        <v>803</v>
      </c>
      <c r="N411" s="1" t="s">
        <v>38</v>
      </c>
      <c r="O411" s="1" t="s">
        <v>803</v>
      </c>
    </row>
    <row r="412" spans="1:15" x14ac:dyDescent="0.35">
      <c r="A412" s="1" t="s">
        <v>804</v>
      </c>
      <c r="B412" s="2">
        <v>45267</v>
      </c>
      <c r="C412" s="1" t="s">
        <v>16</v>
      </c>
      <c r="D412" s="1" t="s">
        <v>32</v>
      </c>
      <c r="E412" s="1" t="str">
        <f>TRIM(CLEAN(Sheet1[[#This Row],[Category]]))</f>
        <v>Furniture</v>
      </c>
      <c r="F412">
        <v>9999</v>
      </c>
      <c r="G412" t="str">
        <f t="shared" si="6"/>
        <v>2. Mid-Market (4-7 Units)</v>
      </c>
      <c r="H412">
        <v>5</v>
      </c>
      <c r="I412">
        <v>412.11</v>
      </c>
      <c r="J412">
        <f>IF(ISBLANK(I412), ROUND(I412/ABS(VALUE(_xlfn.TEXTBEFORE(F412&amp;" ", " "))), 2), ABS(VALUE(SUBSTITUTE(I412, "$", ""))))</f>
        <v>412.11</v>
      </c>
      <c r="K412">
        <f>ROUND(Sheet1[[#This Row],[CleanedUnits_sold]]*Sheet1[[#This Row],[Cleaned_Unit_Price]],2)</f>
        <v>2060.5500000000002</v>
      </c>
      <c r="L412">
        <v>2060.5500000000002</v>
      </c>
      <c r="M412" s="1" t="s">
        <v>805</v>
      </c>
      <c r="N412" s="1" t="s">
        <v>38</v>
      </c>
      <c r="O412" s="1" t="s">
        <v>805</v>
      </c>
    </row>
    <row r="413" spans="1:15" x14ac:dyDescent="0.35">
      <c r="A413" s="1" t="s">
        <v>806</v>
      </c>
      <c r="B413" s="2">
        <v>45005</v>
      </c>
      <c r="C413" s="1" t="s">
        <v>11</v>
      </c>
      <c r="D413" s="1" t="s">
        <v>12</v>
      </c>
      <c r="E413" s="1" t="str">
        <f>TRIM(CLEAN(Sheet1[[#This Row],[Category]]))</f>
        <v>Office Supplies</v>
      </c>
      <c r="F413">
        <v>5</v>
      </c>
      <c r="G413" t="str">
        <f t="shared" si="6"/>
        <v>2. Mid-Market (4-7 Units)</v>
      </c>
      <c r="H413">
        <v>5</v>
      </c>
      <c r="I413">
        <v>28.47</v>
      </c>
      <c r="J413">
        <f>IF(ISBLANK(I413), ROUND(I413/ABS(VALUE(_xlfn.TEXTBEFORE(F413&amp;" ", " "))), 2), ABS(VALUE(SUBSTITUTE(I413, "$", ""))))</f>
        <v>28.47</v>
      </c>
      <c r="K413">
        <f>ROUND(Sheet1[[#This Row],[CleanedUnits_sold]]*Sheet1[[#This Row],[Cleaned_Unit_Price]],2)</f>
        <v>142.35</v>
      </c>
      <c r="L413">
        <v>142.35</v>
      </c>
      <c r="M413" s="1" t="s">
        <v>807</v>
      </c>
      <c r="N413" s="1" t="s">
        <v>26</v>
      </c>
      <c r="O413" s="1" t="s">
        <v>807</v>
      </c>
    </row>
    <row r="414" spans="1:15" x14ac:dyDescent="0.35">
      <c r="A414" s="1" t="s">
        <v>808</v>
      </c>
      <c r="B414" s="2">
        <v>1</v>
      </c>
      <c r="C414" s="1" t="s">
        <v>16</v>
      </c>
      <c r="D414" s="1" t="s">
        <v>32</v>
      </c>
      <c r="E414" s="1" t="str">
        <f>TRIM(CLEAN(Sheet1[[#This Row],[Category]]))</f>
        <v>Furniture</v>
      </c>
      <c r="F414">
        <v>5</v>
      </c>
      <c r="G414" t="str">
        <f t="shared" si="6"/>
        <v>2. Mid-Market (4-7 Units)</v>
      </c>
      <c r="H414">
        <v>5</v>
      </c>
      <c r="I414">
        <v>189.91</v>
      </c>
      <c r="J414">
        <f>IF(ISBLANK(I414), ROUND(I414/ABS(VALUE(_xlfn.TEXTBEFORE(F414&amp;" ", " "))), 2), ABS(VALUE(SUBSTITUTE(I414, "$", ""))))</f>
        <v>189.91</v>
      </c>
      <c r="K414">
        <f>ROUND(Sheet1[[#This Row],[CleanedUnits_sold]]*Sheet1[[#This Row],[Cleaned_Unit_Price]],2)</f>
        <v>949.55</v>
      </c>
      <c r="L414">
        <v>949.55</v>
      </c>
      <c r="M414" s="1" t="s">
        <v>809</v>
      </c>
      <c r="N414" s="1" t="s">
        <v>14</v>
      </c>
      <c r="O414" s="1" t="s">
        <v>809</v>
      </c>
    </row>
    <row r="415" spans="1:15" x14ac:dyDescent="0.35">
      <c r="A415" s="1" t="s">
        <v>810</v>
      </c>
      <c r="B415" s="2">
        <v>44974</v>
      </c>
      <c r="C415" s="1" t="s">
        <v>16</v>
      </c>
      <c r="D415" s="1" t="s">
        <v>46</v>
      </c>
      <c r="E415" s="1" t="str">
        <f>TRIM(CLEAN(Sheet1[[#This Row],[Category]]))</f>
        <v>Furniture</v>
      </c>
      <c r="F415">
        <v>5</v>
      </c>
      <c r="G415" t="str">
        <f t="shared" si="6"/>
        <v>2. Mid-Market (4-7 Units)</v>
      </c>
      <c r="H415">
        <v>5</v>
      </c>
      <c r="I415">
        <v>275.73</v>
      </c>
      <c r="J415">
        <f>IF(ISBLANK(I415), ROUND(I415/ABS(VALUE(_xlfn.TEXTBEFORE(F415&amp;" ", " "))), 2), ABS(VALUE(SUBSTITUTE(I415, "$", ""))))</f>
        <v>275.73</v>
      </c>
      <c r="K415">
        <f>ROUND(Sheet1[[#This Row],[CleanedUnits_sold]]*Sheet1[[#This Row],[Cleaned_Unit_Price]],2)</f>
        <v>1378.65</v>
      </c>
      <c r="L415">
        <v>1378.65</v>
      </c>
      <c r="M415" s="1" t="s">
        <v>811</v>
      </c>
      <c r="N415" s="1" t="s">
        <v>26</v>
      </c>
      <c r="O415" s="1" t="s">
        <v>811</v>
      </c>
    </row>
    <row r="416" spans="1:15" x14ac:dyDescent="0.35">
      <c r="A416" s="1" t="s">
        <v>812</v>
      </c>
      <c r="B416" s="2">
        <v>1</v>
      </c>
      <c r="C416" s="1" t="s">
        <v>19</v>
      </c>
      <c r="D416" s="1" t="s">
        <v>12</v>
      </c>
      <c r="E416" s="1" t="str">
        <f>TRIM(CLEAN(Sheet1[[#This Row],[Category]]))</f>
        <v>Office Supplies</v>
      </c>
      <c r="F416">
        <v>4</v>
      </c>
      <c r="G416" t="str">
        <f t="shared" si="6"/>
        <v>2. Mid-Market (4-7 Units)</v>
      </c>
      <c r="H416">
        <v>4</v>
      </c>
      <c r="I416">
        <v>-170.92</v>
      </c>
      <c r="J416">
        <f>IF(ISBLANK(I416), ROUND(I416/ABS(VALUE(_xlfn.TEXTBEFORE(F416&amp;" ", " "))), 2), ABS(VALUE(SUBSTITUTE(I416, "$", ""))))</f>
        <v>170.92</v>
      </c>
      <c r="K416">
        <f>ROUND(Sheet1[[#This Row],[CleanedUnits_sold]]*Sheet1[[#This Row],[Cleaned_Unit_Price]],2)</f>
        <v>683.68</v>
      </c>
      <c r="L416">
        <v>330.28</v>
      </c>
      <c r="M416" s="1" t="s">
        <v>813</v>
      </c>
      <c r="N416" s="1" t="s">
        <v>21</v>
      </c>
      <c r="O416" s="1" t="s">
        <v>813</v>
      </c>
    </row>
    <row r="417" spans="1:15" x14ac:dyDescent="0.35">
      <c r="A417" s="1" t="s">
        <v>814</v>
      </c>
      <c r="B417" s="2">
        <v>44993</v>
      </c>
      <c r="C417" s="1" t="s">
        <v>11</v>
      </c>
      <c r="D417" s="1" t="s">
        <v>24</v>
      </c>
      <c r="E417" s="1" t="str">
        <f>TRIM(CLEAN(Sheet1[[#This Row],[Category]]))</f>
        <v>Electronics</v>
      </c>
      <c r="F417">
        <v>10</v>
      </c>
      <c r="G417" t="str">
        <f t="shared" si="6"/>
        <v>3. Wholesale / Bulk (8+ Units)</v>
      </c>
      <c r="H417">
        <v>10</v>
      </c>
      <c r="I417">
        <v>375.69</v>
      </c>
      <c r="J417">
        <f>IF(ISBLANK(I417), ROUND(I417/ABS(VALUE(_xlfn.TEXTBEFORE(F417&amp;" ", " "))), 2), ABS(VALUE(SUBSTITUTE(I417, "$", ""))))</f>
        <v>375.69</v>
      </c>
      <c r="K417">
        <f>ROUND(Sheet1[[#This Row],[CleanedUnits_sold]]*Sheet1[[#This Row],[Cleaned_Unit_Price]],2)</f>
        <v>3756.9</v>
      </c>
      <c r="L417">
        <v>4192.54</v>
      </c>
      <c r="M417" s="1" t="s">
        <v>815</v>
      </c>
      <c r="N417" s="1" t="s">
        <v>14</v>
      </c>
      <c r="O417" s="1" t="s">
        <v>815</v>
      </c>
    </row>
    <row r="418" spans="1:15" x14ac:dyDescent="0.35">
      <c r="A418" s="1" t="s">
        <v>816</v>
      </c>
      <c r="B418" s="2">
        <v>45214</v>
      </c>
      <c r="C418" s="1" t="s">
        <v>58</v>
      </c>
      <c r="D418" s="1" t="s">
        <v>46</v>
      </c>
      <c r="E418" s="1" t="str">
        <f>TRIM(CLEAN(Sheet1[[#This Row],[Category]]))</f>
        <v>Furniture</v>
      </c>
      <c r="F418">
        <v>3</v>
      </c>
      <c r="G418" t="str">
        <f t="shared" si="6"/>
        <v>1. Retail (1-3 Units)</v>
      </c>
      <c r="H418">
        <v>3</v>
      </c>
      <c r="I418">
        <v>14.09</v>
      </c>
      <c r="J418">
        <f>IF(ISBLANK(I418), ROUND(I418/ABS(VALUE(_xlfn.TEXTBEFORE(F418&amp;" ", " "))), 2), ABS(VALUE(SUBSTITUTE(I418, "$", ""))))</f>
        <v>14.09</v>
      </c>
      <c r="K418">
        <f>ROUND(Sheet1[[#This Row],[CleanedUnits_sold]]*Sheet1[[#This Row],[Cleaned_Unit_Price]],2)</f>
        <v>42.27</v>
      </c>
      <c r="L418">
        <v>42.27</v>
      </c>
      <c r="M418" s="1" t="s">
        <v>817</v>
      </c>
      <c r="N418" s="1" t="s">
        <v>14</v>
      </c>
      <c r="O418" s="1" t="s">
        <v>817</v>
      </c>
    </row>
    <row r="419" spans="1:15" x14ac:dyDescent="0.35">
      <c r="A419" s="1" t="s">
        <v>818</v>
      </c>
      <c r="B419" s="2">
        <v>45137</v>
      </c>
      <c r="C419" s="1" t="s">
        <v>11</v>
      </c>
      <c r="D419" s="1" t="s">
        <v>24</v>
      </c>
      <c r="E419" s="1" t="str">
        <f>TRIM(CLEAN(Sheet1[[#This Row],[Category]]))</f>
        <v>Electronics</v>
      </c>
      <c r="F419">
        <v>2</v>
      </c>
      <c r="G419" t="str">
        <f t="shared" si="6"/>
        <v>1. Retail (1-3 Units)</v>
      </c>
      <c r="H419">
        <v>2</v>
      </c>
      <c r="I419">
        <v>92.61</v>
      </c>
      <c r="J419">
        <f>IF(ISBLANK(I419), ROUND(I419/ABS(VALUE(_xlfn.TEXTBEFORE(F419&amp;" ", " "))), 2), ABS(VALUE(SUBSTITUTE(I419, "$", ""))))</f>
        <v>92.61</v>
      </c>
      <c r="K419">
        <f>ROUND(Sheet1[[#This Row],[CleanedUnits_sold]]*Sheet1[[#This Row],[Cleaned_Unit_Price]],2)</f>
        <v>185.22</v>
      </c>
      <c r="L419">
        <v>185.22</v>
      </c>
      <c r="M419" s="1" t="s">
        <v>49</v>
      </c>
      <c r="N419" s="1" t="s">
        <v>26</v>
      </c>
      <c r="O419" s="1" t="s">
        <v>51</v>
      </c>
    </row>
    <row r="420" spans="1:15" x14ac:dyDescent="0.35">
      <c r="A420" s="1" t="s">
        <v>819</v>
      </c>
      <c r="B420" s="2">
        <v>45234</v>
      </c>
      <c r="C420" s="1" t="s">
        <v>19</v>
      </c>
      <c r="D420" s="1" t="s">
        <v>12</v>
      </c>
      <c r="E420" s="1" t="str">
        <f>TRIM(CLEAN(Sheet1[[#This Row],[Category]]))</f>
        <v>Office Supplies</v>
      </c>
      <c r="F420">
        <v>4</v>
      </c>
      <c r="G420" t="str">
        <f t="shared" si="6"/>
        <v>2. Mid-Market (4-7 Units)</v>
      </c>
      <c r="H420">
        <v>4</v>
      </c>
      <c r="J420">
        <f>IF(ISBLANK(I420), ROUND(I420/ABS(VALUE(_xlfn.TEXTBEFORE(F420&amp;" ", " "))), 2), ABS(VALUE(SUBSTITUTE(I420, "$", ""))))</f>
        <v>0</v>
      </c>
      <c r="K420">
        <f>ROUND(Sheet1[[#This Row],[CleanedUnits_sold]]*Sheet1[[#This Row],[Cleaned_Unit_Price]],2)</f>
        <v>0</v>
      </c>
      <c r="L420">
        <v>1440.2</v>
      </c>
      <c r="M420" s="1" t="s">
        <v>820</v>
      </c>
      <c r="N420" s="1" t="s">
        <v>14</v>
      </c>
      <c r="O420" s="1" t="s">
        <v>820</v>
      </c>
    </row>
    <row r="421" spans="1:15" x14ac:dyDescent="0.35">
      <c r="A421" s="1" t="s">
        <v>821</v>
      </c>
      <c r="B421" s="2">
        <v>1</v>
      </c>
      <c r="C421" s="1" t="s">
        <v>11</v>
      </c>
      <c r="D421" s="1" t="s">
        <v>12</v>
      </c>
      <c r="E421" s="1" t="str">
        <f>TRIM(CLEAN(Sheet1[[#This Row],[Category]]))</f>
        <v>Office Supplies</v>
      </c>
      <c r="F421">
        <v>4</v>
      </c>
      <c r="G421" t="str">
        <f t="shared" si="6"/>
        <v>2. Mid-Market (4-7 Units)</v>
      </c>
      <c r="H421">
        <v>4</v>
      </c>
      <c r="I421">
        <v>459.16</v>
      </c>
      <c r="J421">
        <f>IF(ISBLANK(I421), ROUND(I421/ABS(VALUE(_xlfn.TEXTBEFORE(F421&amp;" ", " "))), 2), ABS(VALUE(SUBSTITUTE(I421, "$", ""))))</f>
        <v>459.16</v>
      </c>
      <c r="K421">
        <f>ROUND(Sheet1[[#This Row],[CleanedUnits_sold]]*Sheet1[[#This Row],[Cleaned_Unit_Price]],2)</f>
        <v>1836.64</v>
      </c>
      <c r="L421">
        <v>1836.64</v>
      </c>
      <c r="M421" s="1" t="s">
        <v>822</v>
      </c>
      <c r="N421" s="1" t="s">
        <v>50</v>
      </c>
      <c r="O421" s="1" t="s">
        <v>822</v>
      </c>
    </row>
    <row r="422" spans="1:15" x14ac:dyDescent="0.35">
      <c r="A422" s="1" t="s">
        <v>823</v>
      </c>
      <c r="B422" s="2">
        <v>45025</v>
      </c>
      <c r="C422" s="1" t="s">
        <v>23</v>
      </c>
      <c r="D422" s="1" t="s">
        <v>24</v>
      </c>
      <c r="E422" s="1" t="str">
        <f>TRIM(CLEAN(Sheet1[[#This Row],[Category]]))</f>
        <v>Electronics</v>
      </c>
      <c r="F422">
        <v>8</v>
      </c>
      <c r="G422" t="str">
        <f t="shared" si="6"/>
        <v>3. Wholesale / Bulk (8+ Units)</v>
      </c>
      <c r="H422">
        <v>8</v>
      </c>
      <c r="I422">
        <v>355.69</v>
      </c>
      <c r="J422">
        <f>IF(ISBLANK(I422), ROUND(I422/ABS(VALUE(_xlfn.TEXTBEFORE(F422&amp;" ", " "))), 2), ABS(VALUE(SUBSTITUTE(I422, "$", ""))))</f>
        <v>355.69</v>
      </c>
      <c r="K422">
        <f>ROUND(Sheet1[[#This Row],[CleanedUnits_sold]]*Sheet1[[#This Row],[Cleaned_Unit_Price]],2)</f>
        <v>2845.52</v>
      </c>
      <c r="L422">
        <v>2845.52</v>
      </c>
      <c r="M422" s="1" t="s">
        <v>824</v>
      </c>
      <c r="N422" s="1" t="s">
        <v>26</v>
      </c>
      <c r="O422" s="1" t="s">
        <v>824</v>
      </c>
    </row>
    <row r="423" spans="1:15" x14ac:dyDescent="0.35">
      <c r="A423" s="1" t="s">
        <v>825</v>
      </c>
      <c r="B423" s="2">
        <v>45106</v>
      </c>
      <c r="C423" s="1" t="s">
        <v>23</v>
      </c>
      <c r="D423" s="1" t="s">
        <v>24</v>
      </c>
      <c r="E423" s="1" t="str">
        <f>TRIM(CLEAN(Sheet1[[#This Row],[Category]]))</f>
        <v>Electronics</v>
      </c>
      <c r="F423">
        <v>5</v>
      </c>
      <c r="G423" t="str">
        <f t="shared" si="6"/>
        <v>2. Mid-Market (4-7 Units)</v>
      </c>
      <c r="H423">
        <v>5</v>
      </c>
      <c r="I423">
        <v>339.17</v>
      </c>
      <c r="J423">
        <f>IF(ISBLANK(I423), ROUND(I423/ABS(VALUE(_xlfn.TEXTBEFORE(F423&amp;" ", " "))), 2), ABS(VALUE(SUBSTITUTE(I423, "$", ""))))</f>
        <v>339.17</v>
      </c>
      <c r="K423">
        <f>ROUND(Sheet1[[#This Row],[CleanedUnits_sold]]*Sheet1[[#This Row],[Cleaned_Unit_Price]],2)</f>
        <v>1695.85</v>
      </c>
      <c r="L423">
        <v>1695.85</v>
      </c>
      <c r="M423" s="1" t="s">
        <v>826</v>
      </c>
      <c r="N423" s="1" t="s">
        <v>14</v>
      </c>
      <c r="O423" s="1" t="s">
        <v>826</v>
      </c>
    </row>
    <row r="424" spans="1:15" x14ac:dyDescent="0.35">
      <c r="A424" s="1" t="s">
        <v>827</v>
      </c>
      <c r="B424" s="2">
        <v>1</v>
      </c>
      <c r="C424" s="1" t="s">
        <v>11</v>
      </c>
      <c r="D424" s="1" t="s">
        <v>32</v>
      </c>
      <c r="E424" s="1" t="str">
        <f>TRIM(CLEAN(Sheet1[[#This Row],[Category]]))</f>
        <v>Furniture</v>
      </c>
      <c r="F424">
        <v>4</v>
      </c>
      <c r="G424" t="str">
        <f t="shared" si="6"/>
        <v>2. Mid-Market (4-7 Units)</v>
      </c>
      <c r="H424">
        <v>4</v>
      </c>
      <c r="I424">
        <v>203.23</v>
      </c>
      <c r="J424">
        <f>IF(ISBLANK(I424), ROUND(I424/ABS(VALUE(_xlfn.TEXTBEFORE(F424&amp;" ", " "))), 2), ABS(VALUE(SUBSTITUTE(I424, "$", ""))))</f>
        <v>203.23</v>
      </c>
      <c r="K424">
        <f>ROUND(Sheet1[[#This Row],[CleanedUnits_sold]]*Sheet1[[#This Row],[Cleaned_Unit_Price]],2)</f>
        <v>812.92</v>
      </c>
      <c r="L424">
        <v>812.92</v>
      </c>
      <c r="M424" s="1" t="s">
        <v>828</v>
      </c>
      <c r="N424" s="1" t="s">
        <v>26</v>
      </c>
      <c r="O424" s="1" t="s">
        <v>828</v>
      </c>
    </row>
    <row r="425" spans="1:15" x14ac:dyDescent="0.35">
      <c r="A425" s="1" t="s">
        <v>829</v>
      </c>
      <c r="B425" s="2">
        <v>45214</v>
      </c>
      <c r="C425" s="1" t="s">
        <v>16</v>
      </c>
      <c r="D425" s="1" t="s">
        <v>24</v>
      </c>
      <c r="E425" s="1" t="str">
        <f>TRIM(CLEAN(Sheet1[[#This Row],[Category]]))</f>
        <v>Electronics</v>
      </c>
      <c r="F425">
        <v>7</v>
      </c>
      <c r="G425" t="str">
        <f t="shared" si="6"/>
        <v>2. Mid-Market (4-7 Units)</v>
      </c>
      <c r="H425">
        <v>7</v>
      </c>
      <c r="I425">
        <v>10.63</v>
      </c>
      <c r="J425">
        <f>IF(ISBLANK(I425), ROUND(I425/ABS(VALUE(_xlfn.TEXTBEFORE(F425&amp;" ", " "))), 2), ABS(VALUE(SUBSTITUTE(I425, "$", ""))))</f>
        <v>10.63</v>
      </c>
      <c r="K425">
        <f>ROUND(Sheet1[[#This Row],[CleanedUnits_sold]]*Sheet1[[#This Row],[Cleaned_Unit_Price]],2)</f>
        <v>74.41</v>
      </c>
      <c r="L425">
        <v>74.41</v>
      </c>
      <c r="M425" s="1" t="s">
        <v>830</v>
      </c>
      <c r="N425" s="1" t="s">
        <v>26</v>
      </c>
      <c r="O425" s="1" t="s">
        <v>830</v>
      </c>
    </row>
    <row r="426" spans="1:15" x14ac:dyDescent="0.35">
      <c r="A426" s="1" t="s">
        <v>831</v>
      </c>
      <c r="B426" s="2">
        <v>45263</v>
      </c>
      <c r="C426" s="1" t="s">
        <v>16</v>
      </c>
      <c r="D426" s="1" t="s">
        <v>12</v>
      </c>
      <c r="E426" s="1" t="str">
        <f>TRIM(CLEAN(Sheet1[[#This Row],[Category]]))</f>
        <v>Office Supplies</v>
      </c>
      <c r="F426">
        <v>4</v>
      </c>
      <c r="G426" t="str">
        <f t="shared" si="6"/>
        <v>2. Mid-Market (4-7 Units)</v>
      </c>
      <c r="H426">
        <v>4</v>
      </c>
      <c r="I426">
        <v>68.88</v>
      </c>
      <c r="J426">
        <f>IF(ISBLANK(I426), ROUND(I426/ABS(VALUE(_xlfn.TEXTBEFORE(F426&amp;" ", " "))), 2), ABS(VALUE(SUBSTITUTE(I426, "$", ""))))</f>
        <v>68.88</v>
      </c>
      <c r="K426">
        <f>ROUND(Sheet1[[#This Row],[CleanedUnits_sold]]*Sheet1[[#This Row],[Cleaned_Unit_Price]],2)</f>
        <v>275.52</v>
      </c>
      <c r="L426">
        <v>275.52</v>
      </c>
      <c r="M426" s="1" t="s">
        <v>832</v>
      </c>
      <c r="N426" s="1" t="s">
        <v>26</v>
      </c>
      <c r="O426" s="1" t="s">
        <v>832</v>
      </c>
    </row>
    <row r="427" spans="1:15" x14ac:dyDescent="0.35">
      <c r="A427" s="1" t="s">
        <v>833</v>
      </c>
      <c r="B427" s="2">
        <v>1</v>
      </c>
      <c r="C427" s="1" t="s">
        <v>19</v>
      </c>
      <c r="D427" s="1" t="s">
        <v>46</v>
      </c>
      <c r="E427" s="1" t="str">
        <f>TRIM(CLEAN(Sheet1[[#This Row],[Category]]))</f>
        <v>Furniture</v>
      </c>
      <c r="F427">
        <v>2</v>
      </c>
      <c r="G427" t="str">
        <f t="shared" si="6"/>
        <v>1. Retail (1-3 Units)</v>
      </c>
      <c r="H427">
        <v>2</v>
      </c>
      <c r="I427">
        <v>271.93</v>
      </c>
      <c r="J427">
        <f>IF(ISBLANK(I427), ROUND(I427/ABS(VALUE(_xlfn.TEXTBEFORE(F427&amp;" ", " "))), 2), ABS(VALUE(SUBSTITUTE(I427, "$", ""))))</f>
        <v>271.93</v>
      </c>
      <c r="K427">
        <f>ROUND(Sheet1[[#This Row],[CleanedUnits_sold]]*Sheet1[[#This Row],[Cleaned_Unit_Price]],2)</f>
        <v>543.86</v>
      </c>
      <c r="L427">
        <v>543.86</v>
      </c>
      <c r="M427" s="1" t="s">
        <v>834</v>
      </c>
      <c r="N427" s="1" t="s">
        <v>14</v>
      </c>
      <c r="O427" s="1" t="s">
        <v>834</v>
      </c>
    </row>
    <row r="428" spans="1:15" x14ac:dyDescent="0.35">
      <c r="A428" s="1" t="s">
        <v>835</v>
      </c>
      <c r="B428" s="2">
        <v>45085</v>
      </c>
      <c r="C428" s="1" t="s">
        <v>19</v>
      </c>
      <c r="D428" s="1" t="s">
        <v>24</v>
      </c>
      <c r="E428" s="1" t="str">
        <f>TRIM(CLEAN(Sheet1[[#This Row],[Category]]))</f>
        <v>Electronics</v>
      </c>
      <c r="F428">
        <v>2</v>
      </c>
      <c r="G428" t="str">
        <f t="shared" si="6"/>
        <v>1. Retail (1-3 Units)</v>
      </c>
      <c r="H428">
        <v>2</v>
      </c>
      <c r="I428">
        <v>340.81</v>
      </c>
      <c r="J428">
        <f>IF(ISBLANK(I428), ROUND(I428/ABS(VALUE(_xlfn.TEXTBEFORE(F428&amp;" ", " "))), 2), ABS(VALUE(SUBSTITUTE(I428, "$", ""))))</f>
        <v>340.81</v>
      </c>
      <c r="K428">
        <f>ROUND(Sheet1[[#This Row],[CleanedUnits_sold]]*Sheet1[[#This Row],[Cleaned_Unit_Price]],2)</f>
        <v>681.62</v>
      </c>
      <c r="L428">
        <v>681.62</v>
      </c>
      <c r="M428" s="1" t="s">
        <v>836</v>
      </c>
      <c r="N428" s="1" t="s">
        <v>26</v>
      </c>
      <c r="O428" s="1" t="s">
        <v>836</v>
      </c>
    </row>
    <row r="429" spans="1:15" x14ac:dyDescent="0.35">
      <c r="A429" s="1" t="s">
        <v>837</v>
      </c>
      <c r="B429" s="2">
        <v>44989</v>
      </c>
      <c r="C429" s="1" t="s">
        <v>11</v>
      </c>
      <c r="D429" s="1" t="s">
        <v>24</v>
      </c>
      <c r="E429" s="1" t="str">
        <f>TRIM(CLEAN(Sheet1[[#This Row],[Category]]))</f>
        <v>Electronics</v>
      </c>
      <c r="F429">
        <v>3</v>
      </c>
      <c r="G429" t="str">
        <f t="shared" si="6"/>
        <v>1. Retail (1-3 Units)</v>
      </c>
      <c r="H429">
        <v>3</v>
      </c>
      <c r="I429">
        <v>214.55</v>
      </c>
      <c r="J429">
        <f>IF(ISBLANK(I429), ROUND(I429/ABS(VALUE(_xlfn.TEXTBEFORE(F429&amp;" ", " "))), 2), ABS(VALUE(SUBSTITUTE(I429, "$", ""))))</f>
        <v>214.55</v>
      </c>
      <c r="K429">
        <f>ROUND(Sheet1[[#This Row],[CleanedUnits_sold]]*Sheet1[[#This Row],[Cleaned_Unit_Price]],2)</f>
        <v>643.65</v>
      </c>
      <c r="L429">
        <v>643.65</v>
      </c>
      <c r="M429" s="1" t="s">
        <v>838</v>
      </c>
      <c r="N429" s="1" t="s">
        <v>50</v>
      </c>
      <c r="O429" s="1" t="s">
        <v>838</v>
      </c>
    </row>
    <row r="430" spans="1:15" x14ac:dyDescent="0.35">
      <c r="A430" s="1" t="s">
        <v>839</v>
      </c>
      <c r="B430" s="2">
        <v>45132</v>
      </c>
      <c r="C430" s="1" t="s">
        <v>19</v>
      </c>
      <c r="D430" s="1" t="s">
        <v>12</v>
      </c>
      <c r="E430" s="1" t="str">
        <f>TRIM(CLEAN(Sheet1[[#This Row],[Category]]))</f>
        <v>Office Supplies</v>
      </c>
      <c r="F430">
        <v>3</v>
      </c>
      <c r="G430" t="str">
        <f t="shared" si="6"/>
        <v>1. Retail (1-3 Units)</v>
      </c>
      <c r="H430">
        <v>3</v>
      </c>
      <c r="I430">
        <v>368.03</v>
      </c>
      <c r="J430">
        <f>IF(ISBLANK(I430), ROUND(I430/ABS(VALUE(_xlfn.TEXTBEFORE(F430&amp;" ", " "))), 2), ABS(VALUE(SUBSTITUTE(I430, "$", ""))))</f>
        <v>368.03</v>
      </c>
      <c r="K430">
        <f>ROUND(Sheet1[[#This Row],[CleanedUnits_sold]]*Sheet1[[#This Row],[Cleaned_Unit_Price]],2)</f>
        <v>1104.0899999999999</v>
      </c>
      <c r="L430">
        <v>1104.0899999999999</v>
      </c>
      <c r="M430" s="1" t="s">
        <v>840</v>
      </c>
      <c r="N430" s="1" t="s">
        <v>38</v>
      </c>
      <c r="O430" s="1" t="s">
        <v>840</v>
      </c>
    </row>
    <row r="431" spans="1:15" x14ac:dyDescent="0.35">
      <c r="A431" s="1" t="s">
        <v>841</v>
      </c>
      <c r="B431" s="2">
        <v>45251</v>
      </c>
      <c r="C431" s="1" t="s">
        <v>23</v>
      </c>
      <c r="D431" s="1" t="s">
        <v>24</v>
      </c>
      <c r="E431" s="1" t="str">
        <f>TRIM(CLEAN(Sheet1[[#This Row],[Category]]))</f>
        <v>Electronics</v>
      </c>
      <c r="F431">
        <v>-7</v>
      </c>
      <c r="G431" t="str">
        <f t="shared" si="6"/>
        <v>2. Mid-Market (4-7 Units)</v>
      </c>
      <c r="H431">
        <v>7</v>
      </c>
      <c r="I431">
        <v>265.70999999999998</v>
      </c>
      <c r="J431">
        <f>IF(ISBLANK(I431), ROUND(I431/ABS(VALUE(_xlfn.TEXTBEFORE(F431&amp;" ", " "))), 2), ABS(VALUE(SUBSTITUTE(I431, "$", ""))))</f>
        <v>265.70999999999998</v>
      </c>
      <c r="K431">
        <f>ROUND(Sheet1[[#This Row],[CleanedUnits_sold]]*Sheet1[[#This Row],[Cleaned_Unit_Price]],2)</f>
        <v>1859.97</v>
      </c>
      <c r="L431">
        <v>2616.7600000000002</v>
      </c>
      <c r="M431" s="1" t="s">
        <v>842</v>
      </c>
      <c r="N431" s="1" t="s">
        <v>21</v>
      </c>
      <c r="O431" s="1" t="s">
        <v>842</v>
      </c>
    </row>
    <row r="432" spans="1:15" x14ac:dyDescent="0.35">
      <c r="A432" s="1" t="s">
        <v>843</v>
      </c>
      <c r="B432" s="2">
        <v>1</v>
      </c>
      <c r="C432" s="1" t="s">
        <v>11</v>
      </c>
      <c r="D432" s="1" t="s">
        <v>12</v>
      </c>
      <c r="E432" s="1" t="str">
        <f>TRIM(CLEAN(Sheet1[[#This Row],[Category]]))</f>
        <v>Office Supplies</v>
      </c>
      <c r="F432">
        <v>6</v>
      </c>
      <c r="G432" t="str">
        <f t="shared" si="6"/>
        <v>2. Mid-Market (4-7 Units)</v>
      </c>
      <c r="H432">
        <v>6</v>
      </c>
      <c r="I432">
        <v>46.35</v>
      </c>
      <c r="J432">
        <f>IF(ISBLANK(I432), ROUND(I432/ABS(VALUE(_xlfn.TEXTBEFORE(F432&amp;" ", " "))), 2), ABS(VALUE(SUBSTITUTE(I432, "$", ""))))</f>
        <v>46.35</v>
      </c>
      <c r="K432">
        <f>ROUND(Sheet1[[#This Row],[CleanedUnits_sold]]*Sheet1[[#This Row],[Cleaned_Unit_Price]],2)</f>
        <v>278.10000000000002</v>
      </c>
      <c r="L432">
        <v>539.89</v>
      </c>
      <c r="M432" s="1" t="s">
        <v>844</v>
      </c>
      <c r="N432" s="1" t="s">
        <v>21</v>
      </c>
      <c r="O432" s="1" t="s">
        <v>844</v>
      </c>
    </row>
    <row r="433" spans="1:15" x14ac:dyDescent="0.35">
      <c r="A433" s="1" t="s">
        <v>845</v>
      </c>
      <c r="B433" s="2">
        <v>45119</v>
      </c>
      <c r="C433" s="1" t="s">
        <v>16</v>
      </c>
      <c r="D433" s="1" t="s">
        <v>24</v>
      </c>
      <c r="E433" s="1" t="str">
        <f>TRIM(CLEAN(Sheet1[[#This Row],[Category]]))</f>
        <v>Electronics</v>
      </c>
      <c r="F433">
        <v>0</v>
      </c>
      <c r="G433" t="str">
        <f t="shared" si="6"/>
        <v>Non-Billable / Zero</v>
      </c>
      <c r="H433">
        <v>0</v>
      </c>
      <c r="I433">
        <v>104.09</v>
      </c>
      <c r="J433">
        <f>IF(ISBLANK(I433), ROUND(I433/ABS(VALUE(_xlfn.TEXTBEFORE(F433&amp;" ", " "))), 2), ABS(VALUE(SUBSTITUTE(I433, "$", ""))))</f>
        <v>104.09</v>
      </c>
      <c r="K433">
        <f>ROUND(Sheet1[[#This Row],[CleanedUnits_sold]]*Sheet1[[#This Row],[Cleaned_Unit_Price]],2)</f>
        <v>0</v>
      </c>
      <c r="L433">
        <v>0</v>
      </c>
      <c r="M433" s="1" t="s">
        <v>846</v>
      </c>
      <c r="N433" s="1" t="s">
        <v>26</v>
      </c>
      <c r="O433" s="1" t="s">
        <v>846</v>
      </c>
    </row>
    <row r="434" spans="1:15" x14ac:dyDescent="0.35">
      <c r="A434" s="1" t="s">
        <v>847</v>
      </c>
      <c r="B434" s="2">
        <v>45007</v>
      </c>
      <c r="C434" s="1" t="s">
        <v>16</v>
      </c>
      <c r="D434" s="1" t="s">
        <v>46</v>
      </c>
      <c r="E434" s="1" t="str">
        <f>TRIM(CLEAN(Sheet1[[#This Row],[Category]]))</f>
        <v>Furniture</v>
      </c>
      <c r="F434">
        <v>8</v>
      </c>
      <c r="G434" t="str">
        <f t="shared" si="6"/>
        <v>3. Wholesale / Bulk (8+ Units)</v>
      </c>
      <c r="H434">
        <v>8</v>
      </c>
      <c r="I434">
        <v>421.6</v>
      </c>
      <c r="J434">
        <f>IF(ISBLANK(I434), ROUND(I434/ABS(VALUE(_xlfn.TEXTBEFORE(F434&amp;" ", " "))), 2), ABS(VALUE(SUBSTITUTE(I434, "$", ""))))</f>
        <v>421.6</v>
      </c>
      <c r="K434">
        <f>ROUND(Sheet1[[#This Row],[CleanedUnits_sold]]*Sheet1[[#This Row],[Cleaned_Unit_Price]],2)</f>
        <v>3372.8</v>
      </c>
      <c r="L434">
        <v>3661.8</v>
      </c>
      <c r="M434" s="1" t="s">
        <v>848</v>
      </c>
      <c r="N434" s="1" t="s">
        <v>14</v>
      </c>
      <c r="O434" s="1" t="s">
        <v>848</v>
      </c>
    </row>
    <row r="435" spans="1:15" x14ac:dyDescent="0.35">
      <c r="A435" s="1" t="s">
        <v>849</v>
      </c>
      <c r="B435" s="2">
        <v>45093</v>
      </c>
      <c r="C435" s="1" t="s">
        <v>16</v>
      </c>
      <c r="D435" s="1" t="s">
        <v>24</v>
      </c>
      <c r="E435" s="1" t="str">
        <f>TRIM(CLEAN(Sheet1[[#This Row],[Category]]))</f>
        <v>Electronics</v>
      </c>
      <c r="F435">
        <v>5</v>
      </c>
      <c r="G435" t="str">
        <f t="shared" si="6"/>
        <v>2. Mid-Market (4-7 Units)</v>
      </c>
      <c r="H435">
        <v>5</v>
      </c>
      <c r="I435">
        <v>365.21</v>
      </c>
      <c r="J435">
        <f>IF(ISBLANK(I435), ROUND(I435/ABS(VALUE(_xlfn.TEXTBEFORE(F435&amp;" ", " "))), 2), ABS(VALUE(SUBSTITUTE(I435, "$", ""))))</f>
        <v>365.21</v>
      </c>
      <c r="K435">
        <f>ROUND(Sheet1[[#This Row],[CleanedUnits_sold]]*Sheet1[[#This Row],[Cleaned_Unit_Price]],2)</f>
        <v>1826.05</v>
      </c>
      <c r="L435">
        <v>1826.05</v>
      </c>
      <c r="M435" s="1" t="s">
        <v>850</v>
      </c>
      <c r="N435" s="1" t="s">
        <v>50</v>
      </c>
      <c r="O435" s="1" t="s">
        <v>850</v>
      </c>
    </row>
    <row r="436" spans="1:15" x14ac:dyDescent="0.35">
      <c r="A436" s="1" t="s">
        <v>851</v>
      </c>
      <c r="B436" s="2">
        <v>1</v>
      </c>
      <c r="C436" s="1" t="s">
        <v>16</v>
      </c>
      <c r="D436" s="1" t="s">
        <v>12</v>
      </c>
      <c r="E436" s="1" t="str">
        <f>TRIM(CLEAN(Sheet1[[#This Row],[Category]]))</f>
        <v>Office Supplies</v>
      </c>
      <c r="F436">
        <v>4</v>
      </c>
      <c r="G436" t="str">
        <f t="shared" si="6"/>
        <v>2. Mid-Market (4-7 Units)</v>
      </c>
      <c r="H436">
        <v>4</v>
      </c>
      <c r="I436">
        <v>448.43</v>
      </c>
      <c r="J436">
        <f>IF(ISBLANK(I436), ROUND(I436/ABS(VALUE(_xlfn.TEXTBEFORE(F436&amp;" ", " "))), 2), ABS(VALUE(SUBSTITUTE(I436, "$", ""))))</f>
        <v>448.43</v>
      </c>
      <c r="K436">
        <f>ROUND(Sheet1[[#This Row],[CleanedUnits_sold]]*Sheet1[[#This Row],[Cleaned_Unit_Price]],2)</f>
        <v>1793.72</v>
      </c>
      <c r="M436" s="1" t="s">
        <v>852</v>
      </c>
      <c r="N436" s="1" t="s">
        <v>50</v>
      </c>
      <c r="O436" s="1" t="s">
        <v>852</v>
      </c>
    </row>
    <row r="437" spans="1:15" x14ac:dyDescent="0.35">
      <c r="A437" s="1" t="s">
        <v>853</v>
      </c>
      <c r="B437" s="2">
        <v>44952</v>
      </c>
      <c r="C437" s="1" t="s">
        <v>58</v>
      </c>
      <c r="D437" s="1" t="s">
        <v>24</v>
      </c>
      <c r="E437" s="1" t="str">
        <f>TRIM(CLEAN(Sheet1[[#This Row],[Category]]))</f>
        <v>Electronics</v>
      </c>
      <c r="F437">
        <v>5</v>
      </c>
      <c r="G437" t="str">
        <f t="shared" si="6"/>
        <v>2. Mid-Market (4-7 Units)</v>
      </c>
      <c r="H437">
        <v>5</v>
      </c>
      <c r="I437">
        <v>67.599999999999994</v>
      </c>
      <c r="J437">
        <f>IF(ISBLANK(I437), ROUND(I437/ABS(VALUE(_xlfn.TEXTBEFORE(F437&amp;" ", " "))), 2), ABS(VALUE(SUBSTITUTE(I437, "$", ""))))</f>
        <v>67.599999999999994</v>
      </c>
      <c r="K437">
        <f>ROUND(Sheet1[[#This Row],[CleanedUnits_sold]]*Sheet1[[#This Row],[Cleaned_Unit_Price]],2)</f>
        <v>338</v>
      </c>
      <c r="L437">
        <v>338</v>
      </c>
      <c r="M437" s="1" t="s">
        <v>854</v>
      </c>
      <c r="N437" s="1" t="s">
        <v>50</v>
      </c>
      <c r="O437" s="1" t="s">
        <v>854</v>
      </c>
    </row>
    <row r="438" spans="1:15" x14ac:dyDescent="0.35">
      <c r="A438" s="1" t="s">
        <v>855</v>
      </c>
      <c r="B438" s="2">
        <v>45265</v>
      </c>
      <c r="C438" s="1" t="s">
        <v>19</v>
      </c>
      <c r="D438" s="1" t="s">
        <v>12</v>
      </c>
      <c r="E438" s="1" t="str">
        <f>TRIM(CLEAN(Sheet1[[#This Row],[Category]]))</f>
        <v>Office Supplies</v>
      </c>
      <c r="F438">
        <v>7</v>
      </c>
      <c r="G438" t="str">
        <f t="shared" si="6"/>
        <v>2. Mid-Market (4-7 Units)</v>
      </c>
      <c r="H438">
        <v>7</v>
      </c>
      <c r="I438">
        <v>495.21</v>
      </c>
      <c r="J438">
        <f>IF(ISBLANK(I438), ROUND(I438/ABS(VALUE(_xlfn.TEXTBEFORE(F438&amp;" ", " "))), 2), ABS(VALUE(SUBSTITUTE(I438, "$", ""))))</f>
        <v>495.21</v>
      </c>
      <c r="K438">
        <f>ROUND(Sheet1[[#This Row],[CleanedUnits_sold]]*Sheet1[[#This Row],[Cleaned_Unit_Price]],2)</f>
        <v>3466.47</v>
      </c>
      <c r="L438">
        <v>3466.47</v>
      </c>
      <c r="M438" s="1" t="s">
        <v>856</v>
      </c>
      <c r="N438" s="1" t="s">
        <v>14</v>
      </c>
      <c r="O438" s="1" t="s">
        <v>856</v>
      </c>
    </row>
    <row r="439" spans="1:15" x14ac:dyDescent="0.35">
      <c r="A439" s="1" t="s">
        <v>857</v>
      </c>
      <c r="B439" s="2">
        <v>45153</v>
      </c>
      <c r="C439" s="1" t="s">
        <v>16</v>
      </c>
      <c r="D439" s="1" t="s">
        <v>24</v>
      </c>
      <c r="E439" s="1" t="str">
        <f>TRIM(CLEAN(Sheet1[[#This Row],[Category]]))</f>
        <v>Electronics</v>
      </c>
      <c r="F439">
        <v>6</v>
      </c>
      <c r="G439" t="str">
        <f t="shared" si="6"/>
        <v>2. Mid-Market (4-7 Units)</v>
      </c>
      <c r="H439">
        <v>6</v>
      </c>
      <c r="I439">
        <v>112.61</v>
      </c>
      <c r="J439">
        <f>IF(ISBLANK(I439), ROUND(I439/ABS(VALUE(_xlfn.TEXTBEFORE(F439&amp;" ", " "))), 2), ABS(VALUE(SUBSTITUTE(I439, "$", ""))))</f>
        <v>112.61</v>
      </c>
      <c r="K439">
        <f>ROUND(Sheet1[[#This Row],[CleanedUnits_sold]]*Sheet1[[#This Row],[Cleaned_Unit_Price]],2)</f>
        <v>675.66</v>
      </c>
      <c r="L439">
        <v>675.66</v>
      </c>
      <c r="M439" s="1" t="s">
        <v>858</v>
      </c>
      <c r="N439" s="1" t="s">
        <v>14</v>
      </c>
      <c r="O439" s="1" t="s">
        <v>858</v>
      </c>
    </row>
    <row r="440" spans="1:15" x14ac:dyDescent="0.35">
      <c r="A440" s="1" t="s">
        <v>859</v>
      </c>
      <c r="B440" s="2">
        <v>45189</v>
      </c>
      <c r="C440" s="1" t="s">
        <v>16</v>
      </c>
      <c r="D440" s="1" t="s">
        <v>24</v>
      </c>
      <c r="E440" s="1" t="str">
        <f>TRIM(CLEAN(Sheet1[[#This Row],[Category]]))</f>
        <v>Electronics</v>
      </c>
      <c r="F440">
        <v>3</v>
      </c>
      <c r="G440" t="str">
        <f t="shared" si="6"/>
        <v>1. Retail (1-3 Units)</v>
      </c>
      <c r="H440">
        <v>3</v>
      </c>
      <c r="I440">
        <v>15.77</v>
      </c>
      <c r="J440">
        <f>IF(ISBLANK(I440), ROUND(I440/ABS(VALUE(_xlfn.TEXTBEFORE(F440&amp;" ", " "))), 2), ABS(VALUE(SUBSTITUTE(I440, "$", ""))))</f>
        <v>15.77</v>
      </c>
      <c r="K440">
        <f>ROUND(Sheet1[[#This Row],[CleanedUnits_sold]]*Sheet1[[#This Row],[Cleaned_Unit_Price]],2)</f>
        <v>47.31</v>
      </c>
      <c r="L440">
        <v>47.31</v>
      </c>
      <c r="M440" s="1" t="s">
        <v>860</v>
      </c>
      <c r="N440" s="1" t="s">
        <v>50</v>
      </c>
      <c r="O440" s="1" t="s">
        <v>860</v>
      </c>
    </row>
    <row r="441" spans="1:15" x14ac:dyDescent="0.35">
      <c r="A441" s="1" t="s">
        <v>861</v>
      </c>
      <c r="B441" s="2">
        <v>44983</v>
      </c>
      <c r="C441" s="1" t="s">
        <v>19</v>
      </c>
      <c r="D441" s="1" t="s">
        <v>12</v>
      </c>
      <c r="E441" s="1" t="str">
        <f>TRIM(CLEAN(Sheet1[[#This Row],[Category]]))</f>
        <v>Office Supplies</v>
      </c>
      <c r="F441">
        <v>4</v>
      </c>
      <c r="G441" t="str">
        <f t="shared" si="6"/>
        <v>2. Mid-Market (4-7 Units)</v>
      </c>
      <c r="H441">
        <v>4</v>
      </c>
      <c r="I441">
        <v>498.74</v>
      </c>
      <c r="J441">
        <f>IF(ISBLANK(I441), ROUND(I441/ABS(VALUE(_xlfn.TEXTBEFORE(F441&amp;" ", " "))), 2), ABS(VALUE(SUBSTITUTE(I441, "$", ""))))</f>
        <v>498.74</v>
      </c>
      <c r="K441">
        <f>ROUND(Sheet1[[#This Row],[CleanedUnits_sold]]*Sheet1[[#This Row],[Cleaned_Unit_Price]],2)</f>
        <v>1994.96</v>
      </c>
      <c r="L441">
        <v>2374.2600000000002</v>
      </c>
      <c r="M441" s="1" t="s">
        <v>862</v>
      </c>
      <c r="N441" s="1" t="s">
        <v>14</v>
      </c>
      <c r="O441" s="1" t="s">
        <v>862</v>
      </c>
    </row>
    <row r="442" spans="1:15" x14ac:dyDescent="0.35">
      <c r="A442" s="1" t="s">
        <v>863</v>
      </c>
      <c r="B442" s="2">
        <v>45230</v>
      </c>
      <c r="C442" s="1" t="s">
        <v>16</v>
      </c>
      <c r="D442" s="1" t="s">
        <v>24</v>
      </c>
      <c r="E442" s="1" t="str">
        <f>TRIM(CLEAN(Sheet1[[#This Row],[Category]]))</f>
        <v>Electronics</v>
      </c>
      <c r="F442">
        <v>2</v>
      </c>
      <c r="G442" t="str">
        <f t="shared" si="6"/>
        <v>1. Retail (1-3 Units)</v>
      </c>
      <c r="H442">
        <v>2</v>
      </c>
      <c r="I442">
        <v>147.72999999999999</v>
      </c>
      <c r="J442">
        <f>IF(ISBLANK(I442), ROUND(I442/ABS(VALUE(_xlfn.TEXTBEFORE(F442&amp;" ", " "))), 2), ABS(VALUE(SUBSTITUTE(I442, "$", ""))))</f>
        <v>147.72999999999999</v>
      </c>
      <c r="K442">
        <f>ROUND(Sheet1[[#This Row],[CleanedUnits_sold]]*Sheet1[[#This Row],[Cleaned_Unit_Price]],2)</f>
        <v>295.45999999999998</v>
      </c>
      <c r="L442">
        <v>295.45999999999998</v>
      </c>
      <c r="M442" s="1" t="s">
        <v>864</v>
      </c>
      <c r="N442" s="1" t="s">
        <v>26</v>
      </c>
      <c r="O442" s="1" t="s">
        <v>864</v>
      </c>
    </row>
    <row r="443" spans="1:15" x14ac:dyDescent="0.35">
      <c r="A443" s="1" t="s">
        <v>865</v>
      </c>
      <c r="B443" s="2">
        <v>45084</v>
      </c>
      <c r="C443" s="1" t="s">
        <v>16</v>
      </c>
      <c r="D443" s="1" t="s">
        <v>24</v>
      </c>
      <c r="E443" s="1" t="str">
        <f>TRIM(CLEAN(Sheet1[[#This Row],[Category]]))</f>
        <v>Electronics</v>
      </c>
      <c r="F443">
        <v>4</v>
      </c>
      <c r="G443" t="str">
        <f t="shared" si="6"/>
        <v>2. Mid-Market (4-7 Units)</v>
      </c>
      <c r="H443">
        <v>4</v>
      </c>
      <c r="I443">
        <v>337.33</v>
      </c>
      <c r="J443">
        <f>IF(ISBLANK(I443), ROUND(I443/ABS(VALUE(_xlfn.TEXTBEFORE(F443&amp;" ", " "))), 2), ABS(VALUE(SUBSTITUTE(I443, "$", ""))))</f>
        <v>337.33</v>
      </c>
      <c r="K443">
        <f>ROUND(Sheet1[[#This Row],[CleanedUnits_sold]]*Sheet1[[#This Row],[Cleaned_Unit_Price]],2)</f>
        <v>1349.32</v>
      </c>
      <c r="L443">
        <v>1349.32</v>
      </c>
      <c r="M443" s="1" t="s">
        <v>866</v>
      </c>
      <c r="N443" s="1" t="s">
        <v>14</v>
      </c>
      <c r="O443" s="1" t="s">
        <v>866</v>
      </c>
    </row>
    <row r="444" spans="1:15" x14ac:dyDescent="0.35">
      <c r="A444" s="1" t="s">
        <v>867</v>
      </c>
      <c r="B444" s="2">
        <v>45233</v>
      </c>
      <c r="C444" s="1" t="s">
        <v>11</v>
      </c>
      <c r="D444" s="1" t="s">
        <v>24</v>
      </c>
      <c r="E444" s="1" t="str">
        <f>TRIM(CLEAN(Sheet1[[#This Row],[Category]]))</f>
        <v>Electronics</v>
      </c>
      <c r="F444">
        <v>1</v>
      </c>
      <c r="G444" t="str">
        <f t="shared" si="6"/>
        <v>1. Retail (1-3 Units)</v>
      </c>
      <c r="H444">
        <v>1</v>
      </c>
      <c r="I444">
        <v>96.57</v>
      </c>
      <c r="J444">
        <f>IF(ISBLANK(I444), ROUND(I444/ABS(VALUE(_xlfn.TEXTBEFORE(F444&amp;" ", " "))), 2), ABS(VALUE(SUBSTITUTE(I444, "$", ""))))</f>
        <v>96.57</v>
      </c>
      <c r="K444">
        <f>ROUND(Sheet1[[#This Row],[CleanedUnits_sold]]*Sheet1[[#This Row],[Cleaned_Unit_Price]],2)</f>
        <v>96.57</v>
      </c>
      <c r="L444">
        <v>96.57</v>
      </c>
      <c r="M444" s="1" t="s">
        <v>868</v>
      </c>
      <c r="N444" s="1" t="s">
        <v>14</v>
      </c>
      <c r="O444" s="1" t="s">
        <v>868</v>
      </c>
    </row>
    <row r="445" spans="1:15" x14ac:dyDescent="0.35">
      <c r="A445" s="1" t="s">
        <v>869</v>
      </c>
      <c r="B445" s="2">
        <v>1</v>
      </c>
      <c r="C445" s="1" t="s">
        <v>11</v>
      </c>
      <c r="D445" s="1" t="s">
        <v>12</v>
      </c>
      <c r="E445" s="1" t="str">
        <f>TRIM(CLEAN(Sheet1[[#This Row],[Category]]))</f>
        <v>Office Supplies</v>
      </c>
      <c r="F445">
        <v>5</v>
      </c>
      <c r="G445" t="str">
        <f t="shared" si="6"/>
        <v>2. Mid-Market (4-7 Units)</v>
      </c>
      <c r="H445">
        <v>5</v>
      </c>
      <c r="I445">
        <v>294.31</v>
      </c>
      <c r="J445">
        <f>IF(ISBLANK(I445), ROUND(I445/ABS(VALUE(_xlfn.TEXTBEFORE(F445&amp;" ", " "))), 2), ABS(VALUE(SUBSTITUTE(I445, "$", ""))))</f>
        <v>294.31</v>
      </c>
      <c r="K445">
        <f>ROUND(Sheet1[[#This Row],[CleanedUnits_sold]]*Sheet1[[#This Row],[Cleaned_Unit_Price]],2)</f>
        <v>1471.55</v>
      </c>
      <c r="L445">
        <v>2648.79</v>
      </c>
      <c r="M445" s="1" t="s">
        <v>870</v>
      </c>
      <c r="N445" s="1" t="s">
        <v>14</v>
      </c>
      <c r="O445" s="1" t="s">
        <v>870</v>
      </c>
    </row>
    <row r="446" spans="1:15" x14ac:dyDescent="0.35">
      <c r="A446" s="1" t="s">
        <v>871</v>
      </c>
      <c r="B446" s="2">
        <v>1</v>
      </c>
      <c r="C446" s="1" t="s">
        <v>19</v>
      </c>
      <c r="D446" s="1" t="s">
        <v>46</v>
      </c>
      <c r="E446" s="1" t="str">
        <f>TRIM(CLEAN(Sheet1[[#This Row],[Category]]))</f>
        <v>Furniture</v>
      </c>
      <c r="F446">
        <v>3</v>
      </c>
      <c r="G446" t="str">
        <f t="shared" si="6"/>
        <v>1. Retail (1-3 Units)</v>
      </c>
      <c r="H446">
        <v>3</v>
      </c>
      <c r="I446">
        <v>452.98</v>
      </c>
      <c r="J446">
        <f>IF(ISBLANK(I446), ROUND(I446/ABS(VALUE(_xlfn.TEXTBEFORE(F446&amp;" ", " "))), 2), ABS(VALUE(SUBSTITUTE(I446, "$", ""))))</f>
        <v>452.98</v>
      </c>
      <c r="K446">
        <f>ROUND(Sheet1[[#This Row],[CleanedUnits_sold]]*Sheet1[[#This Row],[Cleaned_Unit_Price]],2)</f>
        <v>1358.94</v>
      </c>
      <c r="L446">
        <v>1624.84</v>
      </c>
      <c r="M446" s="1" t="s">
        <v>872</v>
      </c>
      <c r="N446" s="1" t="s">
        <v>14</v>
      </c>
      <c r="O446" s="1" t="s">
        <v>872</v>
      </c>
    </row>
    <row r="447" spans="1:15" x14ac:dyDescent="0.35">
      <c r="A447" s="1" t="s">
        <v>873</v>
      </c>
      <c r="B447" s="2">
        <v>45075</v>
      </c>
      <c r="C447" s="1" t="s">
        <v>11</v>
      </c>
      <c r="D447" s="1" t="s">
        <v>12</v>
      </c>
      <c r="E447" s="1" t="str">
        <f>TRIM(CLEAN(Sheet1[[#This Row],[Category]]))</f>
        <v>Office Supplies</v>
      </c>
      <c r="F447">
        <v>1</v>
      </c>
      <c r="G447" t="str">
        <f t="shared" si="6"/>
        <v>1. Retail (1-3 Units)</v>
      </c>
      <c r="H447">
        <v>1</v>
      </c>
      <c r="I447">
        <v>166.89</v>
      </c>
      <c r="J447">
        <f>IF(ISBLANK(I447), ROUND(I447/ABS(VALUE(_xlfn.TEXTBEFORE(F447&amp;" ", " "))), 2), ABS(VALUE(SUBSTITUTE(I447, "$", ""))))</f>
        <v>166.89</v>
      </c>
      <c r="K447">
        <f>ROUND(Sheet1[[#This Row],[CleanedUnits_sold]]*Sheet1[[#This Row],[Cleaned_Unit_Price]],2)</f>
        <v>166.89</v>
      </c>
      <c r="M447" s="1" t="s">
        <v>874</v>
      </c>
      <c r="N447" s="1" t="s">
        <v>26</v>
      </c>
      <c r="O447" s="1" t="s">
        <v>874</v>
      </c>
    </row>
    <row r="448" spans="1:15" x14ac:dyDescent="0.35">
      <c r="A448" s="1" t="s">
        <v>875</v>
      </c>
      <c r="B448" s="2">
        <v>45181</v>
      </c>
      <c r="C448" s="1" t="s">
        <v>11</v>
      </c>
      <c r="D448" s="1" t="s">
        <v>12</v>
      </c>
      <c r="E448" s="1" t="str">
        <f>TRIM(CLEAN(Sheet1[[#This Row],[Category]]))</f>
        <v>Office Supplies</v>
      </c>
      <c r="F448">
        <v>5</v>
      </c>
      <c r="G448" t="str">
        <f t="shared" si="6"/>
        <v>2. Mid-Market (4-7 Units)</v>
      </c>
      <c r="H448">
        <v>5</v>
      </c>
      <c r="I448">
        <v>338.42</v>
      </c>
      <c r="J448">
        <f>IF(ISBLANK(I448), ROUND(I448/ABS(VALUE(_xlfn.TEXTBEFORE(F448&amp;" ", " "))), 2), ABS(VALUE(SUBSTITUTE(I448, "$", ""))))</f>
        <v>338.42</v>
      </c>
      <c r="K448">
        <f>ROUND(Sheet1[[#This Row],[CleanedUnits_sold]]*Sheet1[[#This Row],[Cleaned_Unit_Price]],2)</f>
        <v>1692.1</v>
      </c>
      <c r="L448">
        <v>1692.1</v>
      </c>
      <c r="M448" s="1" t="s">
        <v>876</v>
      </c>
      <c r="N448" s="1" t="s">
        <v>14</v>
      </c>
      <c r="O448" s="1" t="s">
        <v>876</v>
      </c>
    </row>
    <row r="449" spans="1:15" x14ac:dyDescent="0.35">
      <c r="A449" s="1" t="s">
        <v>877</v>
      </c>
      <c r="B449" s="2">
        <v>1</v>
      </c>
      <c r="C449" s="1" t="s">
        <v>19</v>
      </c>
      <c r="D449" s="1" t="s">
        <v>12</v>
      </c>
      <c r="E449" s="1" t="str">
        <f>TRIM(CLEAN(Sheet1[[#This Row],[Category]]))</f>
        <v>Office Supplies</v>
      </c>
      <c r="F449">
        <v>4</v>
      </c>
      <c r="G449" t="str">
        <f t="shared" si="6"/>
        <v>2. Mid-Market (4-7 Units)</v>
      </c>
      <c r="H449">
        <v>4</v>
      </c>
      <c r="I449">
        <v>102.07</v>
      </c>
      <c r="J449">
        <f>IF(ISBLANK(I449), ROUND(I449/ABS(VALUE(_xlfn.TEXTBEFORE(F449&amp;" ", " "))), 2), ABS(VALUE(SUBSTITUTE(I449, "$", ""))))</f>
        <v>102.07</v>
      </c>
      <c r="K449">
        <f>ROUND(Sheet1[[#This Row],[CleanedUnits_sold]]*Sheet1[[#This Row],[Cleaned_Unit_Price]],2)</f>
        <v>408.28</v>
      </c>
      <c r="L449">
        <v>408.28</v>
      </c>
      <c r="M449" s="1" t="s">
        <v>878</v>
      </c>
      <c r="N449" s="1" t="s">
        <v>50</v>
      </c>
      <c r="O449" s="1" t="s">
        <v>878</v>
      </c>
    </row>
    <row r="450" spans="1:15" x14ac:dyDescent="0.35">
      <c r="A450" s="1" t="s">
        <v>879</v>
      </c>
      <c r="B450" s="2">
        <v>45269</v>
      </c>
      <c r="C450" s="1" t="s">
        <v>16</v>
      </c>
      <c r="D450" s="1" t="s">
        <v>46</v>
      </c>
      <c r="E450" s="1" t="str">
        <f>TRIM(CLEAN(Sheet1[[#This Row],[Category]]))</f>
        <v>Furniture</v>
      </c>
      <c r="F450">
        <v>6</v>
      </c>
      <c r="G450" t="str">
        <f t="shared" ref="G450:G513" si="7">IF(H450=0, "Non-Billable / Zero", IF(H450&lt;=3, "1. Retail (1-3 Units)", IF(H450&lt;=7, "2. Mid-Market (4-7 Units)", "3. Wholesale / Bulk (8+ Units)")))</f>
        <v>2. Mid-Market (4-7 Units)</v>
      </c>
      <c r="H450">
        <v>6</v>
      </c>
      <c r="I450">
        <v>316.14999999999998</v>
      </c>
      <c r="J450">
        <f>IF(ISBLANK(I450), ROUND(I450/ABS(VALUE(_xlfn.TEXTBEFORE(F450&amp;" ", " "))), 2), ABS(VALUE(SUBSTITUTE(I450, "$", ""))))</f>
        <v>316.14999999999998</v>
      </c>
      <c r="K450">
        <f>ROUND(Sheet1[[#This Row],[CleanedUnits_sold]]*Sheet1[[#This Row],[Cleaned_Unit_Price]],2)</f>
        <v>1896.9</v>
      </c>
      <c r="L450">
        <v>1896.9</v>
      </c>
      <c r="M450" s="1" t="s">
        <v>49</v>
      </c>
      <c r="N450" s="1" t="s">
        <v>50</v>
      </c>
      <c r="O450" s="1" t="s">
        <v>51</v>
      </c>
    </row>
    <row r="451" spans="1:15" x14ac:dyDescent="0.35">
      <c r="A451" s="1" t="s">
        <v>880</v>
      </c>
      <c r="B451" s="2">
        <v>1</v>
      </c>
      <c r="C451" s="1" t="s">
        <v>16</v>
      </c>
      <c r="D451" s="1" t="s">
        <v>24</v>
      </c>
      <c r="E451" s="1" t="str">
        <f>TRIM(CLEAN(Sheet1[[#This Row],[Category]]))</f>
        <v>Electronics</v>
      </c>
      <c r="F451">
        <v>5</v>
      </c>
      <c r="G451" t="str">
        <f t="shared" si="7"/>
        <v>2. Mid-Market (4-7 Units)</v>
      </c>
      <c r="H451">
        <v>5</v>
      </c>
      <c r="I451">
        <v>174.86</v>
      </c>
      <c r="J451">
        <f>IF(ISBLANK(I451), ROUND(I451/ABS(VALUE(_xlfn.TEXTBEFORE(F451&amp;" ", " "))), 2), ABS(VALUE(SUBSTITUTE(I451, "$", ""))))</f>
        <v>174.86</v>
      </c>
      <c r="K451">
        <f>ROUND(Sheet1[[#This Row],[CleanedUnits_sold]]*Sheet1[[#This Row],[Cleaned_Unit_Price]],2)</f>
        <v>874.3</v>
      </c>
      <c r="L451">
        <v>1128.98</v>
      </c>
      <c r="M451" s="1" t="s">
        <v>881</v>
      </c>
      <c r="N451" s="1" t="s">
        <v>14</v>
      </c>
      <c r="O451" s="1" t="s">
        <v>881</v>
      </c>
    </row>
    <row r="452" spans="1:15" x14ac:dyDescent="0.35">
      <c r="A452" s="1" t="s">
        <v>882</v>
      </c>
      <c r="B452" s="2">
        <v>44948</v>
      </c>
      <c r="C452" s="1" t="s">
        <v>16</v>
      </c>
      <c r="D452" s="1" t="s">
        <v>12</v>
      </c>
      <c r="E452" s="1" t="str">
        <f>TRIM(CLEAN(Sheet1[[#This Row],[Category]]))</f>
        <v>Office Supplies</v>
      </c>
      <c r="F452">
        <v>8</v>
      </c>
      <c r="G452" t="str">
        <f t="shared" si="7"/>
        <v>3. Wholesale / Bulk (8+ Units)</v>
      </c>
      <c r="H452">
        <v>8</v>
      </c>
      <c r="I452">
        <v>113.49</v>
      </c>
      <c r="J452">
        <f>IF(ISBLANK(I452), ROUND(I452/ABS(VALUE(_xlfn.TEXTBEFORE(F452&amp;" ", " "))), 2), ABS(VALUE(SUBSTITUTE(I452, "$", ""))))</f>
        <v>113.49</v>
      </c>
      <c r="K452">
        <f>ROUND(Sheet1[[#This Row],[CleanedUnits_sold]]*Sheet1[[#This Row],[Cleaned_Unit_Price]],2)</f>
        <v>907.92</v>
      </c>
      <c r="L452">
        <v>907.92</v>
      </c>
      <c r="M452" s="1" t="s">
        <v>883</v>
      </c>
      <c r="N452" s="1" t="s">
        <v>38</v>
      </c>
      <c r="O452" s="1" t="s">
        <v>883</v>
      </c>
    </row>
    <row r="453" spans="1:15" x14ac:dyDescent="0.35">
      <c r="A453" s="1" t="s">
        <v>884</v>
      </c>
      <c r="B453" s="2">
        <v>1</v>
      </c>
      <c r="C453" s="1" t="s">
        <v>16</v>
      </c>
      <c r="D453" s="1" t="s">
        <v>12</v>
      </c>
      <c r="E453" s="1" t="str">
        <f>TRIM(CLEAN(Sheet1[[#This Row],[Category]]))</f>
        <v>Office Supplies</v>
      </c>
      <c r="F453">
        <v>5</v>
      </c>
      <c r="G453" t="str">
        <f t="shared" si="7"/>
        <v>2. Mid-Market (4-7 Units)</v>
      </c>
      <c r="H453">
        <v>5</v>
      </c>
      <c r="I453">
        <v>163.46</v>
      </c>
      <c r="J453">
        <f>IF(ISBLANK(I453), ROUND(I453/ABS(VALUE(_xlfn.TEXTBEFORE(F453&amp;" ", " "))), 2), ABS(VALUE(SUBSTITUTE(I453, "$", ""))))</f>
        <v>163.46</v>
      </c>
      <c r="K453">
        <f>ROUND(Sheet1[[#This Row],[CleanedUnits_sold]]*Sheet1[[#This Row],[Cleaned_Unit_Price]],2)</f>
        <v>817.3</v>
      </c>
      <c r="L453">
        <v>817.3</v>
      </c>
      <c r="M453" s="1" t="s">
        <v>84</v>
      </c>
      <c r="N453" s="1" t="s">
        <v>38</v>
      </c>
      <c r="O453" s="1" t="s">
        <v>85</v>
      </c>
    </row>
    <row r="454" spans="1:15" x14ac:dyDescent="0.35">
      <c r="A454" s="1" t="s">
        <v>885</v>
      </c>
      <c r="B454" s="2">
        <v>45087</v>
      </c>
      <c r="C454" s="1" t="s">
        <v>11</v>
      </c>
      <c r="D454" s="1" t="s">
        <v>24</v>
      </c>
      <c r="E454" s="1" t="str">
        <f>TRIM(CLEAN(Sheet1[[#This Row],[Category]]))</f>
        <v>Electronics</v>
      </c>
      <c r="F454">
        <v>7</v>
      </c>
      <c r="G454" t="str">
        <f t="shared" si="7"/>
        <v>2. Mid-Market (4-7 Units)</v>
      </c>
      <c r="H454">
        <v>7</v>
      </c>
      <c r="I454">
        <v>97.63</v>
      </c>
      <c r="J454">
        <f>IF(ISBLANK(I454), ROUND(I454/ABS(VALUE(_xlfn.TEXTBEFORE(F454&amp;" ", " "))), 2), ABS(VALUE(SUBSTITUTE(I454, "$", ""))))</f>
        <v>97.63</v>
      </c>
      <c r="K454">
        <f>ROUND(Sheet1[[#This Row],[CleanedUnits_sold]]*Sheet1[[#This Row],[Cleaned_Unit_Price]],2)</f>
        <v>683.41</v>
      </c>
      <c r="L454">
        <v>683.41</v>
      </c>
      <c r="M454" s="1" t="s">
        <v>886</v>
      </c>
      <c r="N454" s="1" t="s">
        <v>50</v>
      </c>
      <c r="O454" s="1" t="s">
        <v>886</v>
      </c>
    </row>
    <row r="455" spans="1:15" x14ac:dyDescent="0.35">
      <c r="A455" s="1" t="s">
        <v>887</v>
      </c>
      <c r="B455" s="2">
        <v>45290</v>
      </c>
      <c r="C455" s="1" t="s">
        <v>23</v>
      </c>
      <c r="D455" s="1" t="s">
        <v>32</v>
      </c>
      <c r="E455" s="1" t="str">
        <f>TRIM(CLEAN(Sheet1[[#This Row],[Category]]))</f>
        <v>Furniture</v>
      </c>
      <c r="F455">
        <v>4</v>
      </c>
      <c r="G455" t="str">
        <f t="shared" si="7"/>
        <v>2. Mid-Market (4-7 Units)</v>
      </c>
      <c r="H455">
        <v>4</v>
      </c>
      <c r="I455">
        <v>451.94</v>
      </c>
      <c r="J455">
        <f>IF(ISBLANK(I455), ROUND(I455/ABS(VALUE(_xlfn.TEXTBEFORE(F455&amp;" ", " "))), 2), ABS(VALUE(SUBSTITUTE(I455, "$", ""))))</f>
        <v>451.94</v>
      </c>
      <c r="K455">
        <f>ROUND(Sheet1[[#This Row],[CleanedUnits_sold]]*Sheet1[[#This Row],[Cleaned_Unit_Price]],2)</f>
        <v>1807.76</v>
      </c>
      <c r="L455">
        <v>1807.76</v>
      </c>
      <c r="M455" s="1" t="s">
        <v>888</v>
      </c>
      <c r="N455" s="1" t="s">
        <v>26</v>
      </c>
      <c r="O455" s="1" t="s">
        <v>888</v>
      </c>
    </row>
    <row r="456" spans="1:15" x14ac:dyDescent="0.35">
      <c r="A456" s="1" t="s">
        <v>889</v>
      </c>
      <c r="B456" s="2">
        <v>45134</v>
      </c>
      <c r="C456" s="1" t="s">
        <v>23</v>
      </c>
      <c r="D456" s="1" t="s">
        <v>24</v>
      </c>
      <c r="E456" s="1" t="str">
        <f>TRIM(CLEAN(Sheet1[[#This Row],[Category]]))</f>
        <v>Electronics</v>
      </c>
      <c r="F456">
        <v>1</v>
      </c>
      <c r="G456" t="str">
        <f t="shared" si="7"/>
        <v>1. Retail (1-3 Units)</v>
      </c>
      <c r="H456">
        <v>1</v>
      </c>
      <c r="I456">
        <v>204.62</v>
      </c>
      <c r="J456">
        <f>IF(ISBLANK(I456), ROUND(I456/ABS(VALUE(_xlfn.TEXTBEFORE(F456&amp;" ", " "))), 2), ABS(VALUE(SUBSTITUTE(I456, "$", ""))))</f>
        <v>204.62</v>
      </c>
      <c r="K456">
        <f>ROUND(Sheet1[[#This Row],[CleanedUnits_sold]]*Sheet1[[#This Row],[Cleaned_Unit_Price]],2)</f>
        <v>204.62</v>
      </c>
      <c r="L456">
        <v>204.62</v>
      </c>
      <c r="M456" s="1" t="s">
        <v>890</v>
      </c>
      <c r="N456" s="1" t="s">
        <v>50</v>
      </c>
      <c r="O456" s="1" t="s">
        <v>890</v>
      </c>
    </row>
    <row r="457" spans="1:15" x14ac:dyDescent="0.35">
      <c r="A457" s="1" t="s">
        <v>891</v>
      </c>
      <c r="B457" s="2">
        <v>45014</v>
      </c>
      <c r="C457" s="1" t="s">
        <v>23</v>
      </c>
      <c r="D457" s="1" t="s">
        <v>12</v>
      </c>
      <c r="E457" s="1" t="str">
        <f>TRIM(CLEAN(Sheet1[[#This Row],[Category]]))</f>
        <v>Office Supplies</v>
      </c>
      <c r="F457">
        <v>5</v>
      </c>
      <c r="G457" t="str">
        <f t="shared" si="7"/>
        <v>2. Mid-Market (4-7 Units)</v>
      </c>
      <c r="H457">
        <v>5</v>
      </c>
      <c r="I457">
        <v>130.19</v>
      </c>
      <c r="J457">
        <f>IF(ISBLANK(I457), ROUND(I457/ABS(VALUE(_xlfn.TEXTBEFORE(F457&amp;" ", " "))), 2), ABS(VALUE(SUBSTITUTE(I457, "$", ""))))</f>
        <v>130.19</v>
      </c>
      <c r="K457">
        <f>ROUND(Sheet1[[#This Row],[CleanedUnits_sold]]*Sheet1[[#This Row],[Cleaned_Unit_Price]],2)</f>
        <v>650.95000000000005</v>
      </c>
      <c r="L457">
        <v>650.95000000000005</v>
      </c>
      <c r="M457" s="1" t="s">
        <v>892</v>
      </c>
      <c r="N457" s="1" t="s">
        <v>38</v>
      </c>
      <c r="O457" s="1" t="s">
        <v>892</v>
      </c>
    </row>
    <row r="458" spans="1:15" x14ac:dyDescent="0.35">
      <c r="A458" s="1" t="s">
        <v>893</v>
      </c>
      <c r="B458" s="2">
        <v>45112</v>
      </c>
      <c r="C458" s="1" t="s">
        <v>16</v>
      </c>
      <c r="D458" s="1" t="s">
        <v>12</v>
      </c>
      <c r="E458" s="1" t="str">
        <f>TRIM(CLEAN(Sheet1[[#This Row],[Category]]))</f>
        <v>Office Supplies</v>
      </c>
      <c r="F458">
        <v>4</v>
      </c>
      <c r="G458" t="str">
        <f t="shared" si="7"/>
        <v>2. Mid-Market (4-7 Units)</v>
      </c>
      <c r="H458">
        <v>4</v>
      </c>
      <c r="I458">
        <v>229.72</v>
      </c>
      <c r="J458">
        <f>IF(ISBLANK(I458), ROUND(I458/ABS(VALUE(_xlfn.TEXTBEFORE(F458&amp;" ", " "))), 2), ABS(VALUE(SUBSTITUTE(I458, "$", ""))))</f>
        <v>229.72</v>
      </c>
      <c r="K458">
        <f>ROUND(Sheet1[[#This Row],[CleanedUnits_sold]]*Sheet1[[#This Row],[Cleaned_Unit_Price]],2)</f>
        <v>918.88</v>
      </c>
      <c r="L458">
        <v>918.88</v>
      </c>
      <c r="M458" s="1" t="s">
        <v>894</v>
      </c>
      <c r="N458" s="1" t="s">
        <v>26</v>
      </c>
      <c r="O458" s="1" t="s">
        <v>894</v>
      </c>
    </row>
    <row r="459" spans="1:15" x14ac:dyDescent="0.35">
      <c r="A459" s="1" t="s">
        <v>895</v>
      </c>
      <c r="B459" s="2">
        <v>1</v>
      </c>
      <c r="C459" s="1" t="s">
        <v>16</v>
      </c>
      <c r="D459" s="1" t="s">
        <v>32</v>
      </c>
      <c r="E459" s="1" t="str">
        <f>TRIM(CLEAN(Sheet1[[#This Row],[Category]]))</f>
        <v>Furniture</v>
      </c>
      <c r="F459">
        <v>3</v>
      </c>
      <c r="G459" t="str">
        <f t="shared" si="7"/>
        <v>1. Retail (1-3 Units)</v>
      </c>
      <c r="H459">
        <v>3</v>
      </c>
      <c r="I459">
        <v>167.06</v>
      </c>
      <c r="J459">
        <f>IF(ISBLANK(I459), ROUND(I459/ABS(VALUE(_xlfn.TEXTBEFORE(F459&amp;" ", " "))), 2), ABS(VALUE(SUBSTITUTE(I459, "$", ""))))</f>
        <v>167.06</v>
      </c>
      <c r="K459">
        <f>ROUND(Sheet1[[#This Row],[CleanedUnits_sold]]*Sheet1[[#This Row],[Cleaned_Unit_Price]],2)</f>
        <v>501.18</v>
      </c>
      <c r="L459">
        <v>501.18</v>
      </c>
      <c r="M459" s="1" t="s">
        <v>896</v>
      </c>
      <c r="N459" s="1" t="s">
        <v>38</v>
      </c>
      <c r="O459" s="1" t="s">
        <v>896</v>
      </c>
    </row>
    <row r="460" spans="1:15" x14ac:dyDescent="0.35">
      <c r="A460" s="1" t="s">
        <v>897</v>
      </c>
      <c r="B460" s="2">
        <v>45132</v>
      </c>
      <c r="C460" s="1" t="s">
        <v>16</v>
      </c>
      <c r="D460" s="1" t="s">
        <v>12</v>
      </c>
      <c r="E460" s="1" t="str">
        <f>TRIM(CLEAN(Sheet1[[#This Row],[Category]]))</f>
        <v>Office Supplies</v>
      </c>
      <c r="F460">
        <v>2</v>
      </c>
      <c r="G460" t="str">
        <f t="shared" si="7"/>
        <v>1. Retail (1-3 Units)</v>
      </c>
      <c r="H460">
        <v>2</v>
      </c>
      <c r="I460">
        <v>-42</v>
      </c>
      <c r="J460">
        <f>IF(ISBLANK(I460), ROUND(I460/ABS(VALUE(_xlfn.TEXTBEFORE(F460&amp;" ", " "))), 2), ABS(VALUE(SUBSTITUTE(I460, "$", ""))))</f>
        <v>42</v>
      </c>
      <c r="K460">
        <f>ROUND(Sheet1[[#This Row],[CleanedUnits_sold]]*Sheet1[[#This Row],[Cleaned_Unit_Price]],2)</f>
        <v>84</v>
      </c>
      <c r="L460">
        <v>1201.5899999999999</v>
      </c>
      <c r="M460" s="1" t="s">
        <v>84</v>
      </c>
      <c r="N460" s="1" t="s">
        <v>26</v>
      </c>
      <c r="O460" s="1" t="s">
        <v>85</v>
      </c>
    </row>
    <row r="461" spans="1:15" x14ac:dyDescent="0.35">
      <c r="A461" s="1" t="s">
        <v>898</v>
      </c>
      <c r="B461" s="2">
        <v>45085</v>
      </c>
      <c r="C461" s="1" t="s">
        <v>16</v>
      </c>
      <c r="D461" s="1" t="s">
        <v>46</v>
      </c>
      <c r="E461" s="1" t="str">
        <f>TRIM(CLEAN(Sheet1[[#This Row],[Category]]))</f>
        <v>Furniture</v>
      </c>
      <c r="F461">
        <v>12</v>
      </c>
      <c r="G461" t="str">
        <f t="shared" si="7"/>
        <v>3. Wholesale / Bulk (8+ Units)</v>
      </c>
      <c r="H461">
        <v>12</v>
      </c>
      <c r="I461">
        <v>485.9</v>
      </c>
      <c r="J461">
        <f>IF(ISBLANK(I461), ROUND(I461/ABS(VALUE(_xlfn.TEXTBEFORE(F461&amp;" ", " "))), 2), ABS(VALUE(SUBSTITUTE(I461, "$", ""))))</f>
        <v>485.9</v>
      </c>
      <c r="K461">
        <f>ROUND(Sheet1[[#This Row],[CleanedUnits_sold]]*Sheet1[[#This Row],[Cleaned_Unit_Price]],2)</f>
        <v>5830.8</v>
      </c>
      <c r="L461">
        <v>5830.8</v>
      </c>
      <c r="M461" s="1" t="s">
        <v>899</v>
      </c>
      <c r="N461" s="1" t="s">
        <v>21</v>
      </c>
      <c r="O461" s="1" t="s">
        <v>899</v>
      </c>
    </row>
    <row r="462" spans="1:15" x14ac:dyDescent="0.35">
      <c r="A462" s="1" t="s">
        <v>900</v>
      </c>
      <c r="B462" s="2">
        <v>45013</v>
      </c>
      <c r="C462" s="1" t="s">
        <v>16</v>
      </c>
      <c r="D462" s="1" t="s">
        <v>24</v>
      </c>
      <c r="E462" s="1" t="str">
        <f>TRIM(CLEAN(Sheet1[[#This Row],[Category]]))</f>
        <v>Electronics</v>
      </c>
      <c r="F462">
        <v>5</v>
      </c>
      <c r="G462" t="str">
        <f t="shared" si="7"/>
        <v>2. Mid-Market (4-7 Units)</v>
      </c>
      <c r="H462">
        <v>5</v>
      </c>
      <c r="I462">
        <v>224.64</v>
      </c>
      <c r="J462">
        <f>IF(ISBLANK(I462), ROUND(I462/ABS(VALUE(_xlfn.TEXTBEFORE(F462&amp;" ", " "))), 2), ABS(VALUE(SUBSTITUTE(I462, "$", ""))))</f>
        <v>224.64</v>
      </c>
      <c r="K462">
        <f>ROUND(Sheet1[[#This Row],[CleanedUnits_sold]]*Sheet1[[#This Row],[Cleaned_Unit_Price]],2)</f>
        <v>1123.2</v>
      </c>
      <c r="L462">
        <v>1364.86</v>
      </c>
      <c r="M462" s="1" t="s">
        <v>901</v>
      </c>
      <c r="N462" s="1" t="s">
        <v>38</v>
      </c>
      <c r="O462" s="1" t="s">
        <v>901</v>
      </c>
    </row>
    <row r="463" spans="1:15" x14ac:dyDescent="0.35">
      <c r="A463" s="1" t="s">
        <v>902</v>
      </c>
      <c r="B463" s="2">
        <v>1</v>
      </c>
      <c r="C463" s="1" t="s">
        <v>16</v>
      </c>
      <c r="D463" s="1" t="s">
        <v>12</v>
      </c>
      <c r="E463" s="1" t="str">
        <f>TRIM(CLEAN(Sheet1[[#This Row],[Category]]))</f>
        <v>Office Supplies</v>
      </c>
      <c r="F463">
        <v>10</v>
      </c>
      <c r="G463" t="str">
        <f t="shared" si="7"/>
        <v>3. Wholesale / Bulk (8+ Units)</v>
      </c>
      <c r="H463">
        <v>10</v>
      </c>
      <c r="I463">
        <v>431.91</v>
      </c>
      <c r="J463">
        <f>IF(ISBLANK(I463), ROUND(I463/ABS(VALUE(_xlfn.TEXTBEFORE(F463&amp;" ", " "))), 2), ABS(VALUE(SUBSTITUTE(I463, "$", ""))))</f>
        <v>431.91</v>
      </c>
      <c r="K463">
        <f>ROUND(Sheet1[[#This Row],[CleanedUnits_sold]]*Sheet1[[#This Row],[Cleaned_Unit_Price]],2)</f>
        <v>4319.1000000000004</v>
      </c>
      <c r="L463">
        <v>4319.1000000000004</v>
      </c>
      <c r="M463" s="1" t="s">
        <v>903</v>
      </c>
      <c r="N463" s="1" t="s">
        <v>14</v>
      </c>
      <c r="O463" s="1" t="s">
        <v>903</v>
      </c>
    </row>
    <row r="464" spans="1:15" x14ac:dyDescent="0.35">
      <c r="A464" s="1" t="s">
        <v>904</v>
      </c>
      <c r="B464" s="2">
        <v>45105</v>
      </c>
      <c r="C464" s="1" t="s">
        <v>23</v>
      </c>
      <c r="D464" s="1" t="s">
        <v>12</v>
      </c>
      <c r="E464" s="1" t="str">
        <f>TRIM(CLEAN(Sheet1[[#This Row],[Category]]))</f>
        <v>Office Supplies</v>
      </c>
      <c r="F464">
        <v>6</v>
      </c>
      <c r="G464" t="str">
        <f t="shared" si="7"/>
        <v>2. Mid-Market (4-7 Units)</v>
      </c>
      <c r="H464">
        <v>6</v>
      </c>
      <c r="I464">
        <v>287.27</v>
      </c>
      <c r="J464">
        <f>IF(ISBLANK(I464), ROUND(I464/ABS(VALUE(_xlfn.TEXTBEFORE(F464&amp;" ", " "))), 2), ABS(VALUE(SUBSTITUTE(I464, "$", ""))))</f>
        <v>287.27</v>
      </c>
      <c r="K464">
        <f>ROUND(Sheet1[[#This Row],[CleanedUnits_sold]]*Sheet1[[#This Row],[Cleaned_Unit_Price]],2)</f>
        <v>1723.62</v>
      </c>
      <c r="L464">
        <v>1723.62</v>
      </c>
      <c r="M464" s="1" t="s">
        <v>905</v>
      </c>
      <c r="N464" s="1" t="s">
        <v>26</v>
      </c>
      <c r="O464" s="1" t="s">
        <v>905</v>
      </c>
    </row>
    <row r="465" spans="1:15" x14ac:dyDescent="0.35">
      <c r="A465" s="1" t="s">
        <v>906</v>
      </c>
      <c r="B465" s="2">
        <v>1</v>
      </c>
      <c r="C465" s="1" t="s">
        <v>23</v>
      </c>
      <c r="D465" s="1" t="s">
        <v>12</v>
      </c>
      <c r="E465" s="1" t="str">
        <f>TRIM(CLEAN(Sheet1[[#This Row],[Category]]))</f>
        <v>Office Supplies</v>
      </c>
      <c r="F465">
        <v>1</v>
      </c>
      <c r="G465" t="str">
        <f t="shared" si="7"/>
        <v>1. Retail (1-3 Units)</v>
      </c>
      <c r="H465">
        <v>1</v>
      </c>
      <c r="I465">
        <v>87.05</v>
      </c>
      <c r="J465">
        <f>IF(ISBLANK(I465), ROUND(I465/ABS(VALUE(_xlfn.TEXTBEFORE(F465&amp;" ", " "))), 2), ABS(VALUE(SUBSTITUTE(I465, "$", ""))))</f>
        <v>87.05</v>
      </c>
      <c r="K465">
        <f>ROUND(Sheet1[[#This Row],[CleanedUnits_sold]]*Sheet1[[#This Row],[Cleaned_Unit_Price]],2)</f>
        <v>87.05</v>
      </c>
      <c r="L465">
        <v>87.05</v>
      </c>
      <c r="M465" s="1" t="s">
        <v>907</v>
      </c>
      <c r="N465" s="1" t="s">
        <v>21</v>
      </c>
      <c r="O465" s="1" t="s">
        <v>907</v>
      </c>
    </row>
    <row r="466" spans="1:15" x14ac:dyDescent="0.35">
      <c r="A466" s="1" t="s">
        <v>908</v>
      </c>
      <c r="B466" s="2">
        <v>45001</v>
      </c>
      <c r="C466" s="1" t="s">
        <v>19</v>
      </c>
      <c r="D466" s="1" t="s">
        <v>32</v>
      </c>
      <c r="E466" s="1" t="str">
        <f>TRIM(CLEAN(Sheet1[[#This Row],[Category]]))</f>
        <v>Furniture</v>
      </c>
      <c r="F466">
        <v>6</v>
      </c>
      <c r="G466" t="str">
        <f t="shared" si="7"/>
        <v>2. Mid-Market (4-7 Units)</v>
      </c>
      <c r="H466">
        <v>6</v>
      </c>
      <c r="I466">
        <v>348.41</v>
      </c>
      <c r="J466">
        <f>IF(ISBLANK(I466), ROUND(I466/ABS(VALUE(_xlfn.TEXTBEFORE(F466&amp;" ", " "))), 2), ABS(VALUE(SUBSTITUTE(I466, "$", ""))))</f>
        <v>348.41</v>
      </c>
      <c r="K466">
        <f>ROUND(Sheet1[[#This Row],[CleanedUnits_sold]]*Sheet1[[#This Row],[Cleaned_Unit_Price]],2)</f>
        <v>2090.46</v>
      </c>
      <c r="L466">
        <v>2090.46</v>
      </c>
      <c r="M466" s="1" t="s">
        <v>909</v>
      </c>
      <c r="N466" s="1" t="s">
        <v>50</v>
      </c>
      <c r="O466" s="1" t="s">
        <v>909</v>
      </c>
    </row>
    <row r="467" spans="1:15" x14ac:dyDescent="0.35">
      <c r="A467" s="1" t="s">
        <v>910</v>
      </c>
      <c r="B467" s="2">
        <v>45057</v>
      </c>
      <c r="C467" s="1" t="s">
        <v>58</v>
      </c>
      <c r="D467" s="1" t="s">
        <v>24</v>
      </c>
      <c r="E467" s="1" t="str">
        <f>TRIM(CLEAN(Sheet1[[#This Row],[Category]]))</f>
        <v>Electronics</v>
      </c>
      <c r="F467">
        <v>2</v>
      </c>
      <c r="G467" t="str">
        <f t="shared" si="7"/>
        <v>1. Retail (1-3 Units)</v>
      </c>
      <c r="H467">
        <v>2</v>
      </c>
      <c r="I467">
        <v>261.58</v>
      </c>
      <c r="J467">
        <f>IF(ISBLANK(I467), ROUND(I467/ABS(VALUE(_xlfn.TEXTBEFORE(F467&amp;" ", " "))), 2), ABS(VALUE(SUBSTITUTE(I467, "$", ""))))</f>
        <v>261.58</v>
      </c>
      <c r="K467">
        <f>ROUND(Sheet1[[#This Row],[CleanedUnits_sold]]*Sheet1[[#This Row],[Cleaned_Unit_Price]],2)</f>
        <v>523.16</v>
      </c>
      <c r="L467">
        <v>523.16</v>
      </c>
      <c r="M467" s="1" t="s">
        <v>911</v>
      </c>
      <c r="N467" s="1" t="s">
        <v>50</v>
      </c>
      <c r="O467" s="1" t="s">
        <v>911</v>
      </c>
    </row>
    <row r="468" spans="1:15" x14ac:dyDescent="0.35">
      <c r="A468" s="1" t="s">
        <v>912</v>
      </c>
      <c r="B468" s="2">
        <v>45262</v>
      </c>
      <c r="C468" s="1" t="s">
        <v>11</v>
      </c>
      <c r="D468" s="1" t="s">
        <v>24</v>
      </c>
      <c r="E468" s="1" t="str">
        <f>TRIM(CLEAN(Sheet1[[#This Row],[Category]]))</f>
        <v>Electronics</v>
      </c>
      <c r="F468">
        <v>4</v>
      </c>
      <c r="G468" t="str">
        <f t="shared" si="7"/>
        <v>2. Mid-Market (4-7 Units)</v>
      </c>
      <c r="H468">
        <v>4</v>
      </c>
      <c r="I468">
        <v>328.8</v>
      </c>
      <c r="J468">
        <f>IF(ISBLANK(I468), ROUND(I468/ABS(VALUE(_xlfn.TEXTBEFORE(F468&amp;" ", " "))), 2), ABS(VALUE(SUBSTITUTE(I468, "$", ""))))</f>
        <v>328.8</v>
      </c>
      <c r="K468">
        <f>ROUND(Sheet1[[#This Row],[CleanedUnits_sold]]*Sheet1[[#This Row],[Cleaned_Unit_Price]],2)</f>
        <v>1315.2</v>
      </c>
      <c r="L468">
        <v>1761.58</v>
      </c>
      <c r="M468" s="1" t="s">
        <v>913</v>
      </c>
      <c r="N468" s="1" t="s">
        <v>14</v>
      </c>
      <c r="O468" s="1" t="s">
        <v>913</v>
      </c>
    </row>
    <row r="469" spans="1:15" x14ac:dyDescent="0.35">
      <c r="A469" s="1" t="s">
        <v>914</v>
      </c>
      <c r="B469" s="2">
        <v>45248</v>
      </c>
      <c r="C469" s="1" t="s">
        <v>16</v>
      </c>
      <c r="D469" s="1" t="s">
        <v>24</v>
      </c>
      <c r="E469" s="1" t="str">
        <f>TRIM(CLEAN(Sheet1[[#This Row],[Category]]))</f>
        <v>Electronics</v>
      </c>
      <c r="G469" t="str">
        <f t="shared" si="7"/>
        <v>2. Mid-Market (4-7 Units)</v>
      </c>
      <c r="H469">
        <v>5</v>
      </c>
      <c r="I469">
        <v>445.95</v>
      </c>
      <c r="J469">
        <f>IF(ISBLANK(I469), ROUND(I469/ABS(VALUE(_xlfn.TEXTBEFORE(F469&amp;" ", " "))), 2), ABS(VALUE(SUBSTITUTE(I469, "$", ""))))</f>
        <v>445.95</v>
      </c>
      <c r="K469">
        <f>ROUND(Sheet1[[#This Row],[CleanedUnits_sold]]*Sheet1[[#This Row],[Cleaned_Unit_Price]],2)</f>
        <v>2229.75</v>
      </c>
      <c r="L469">
        <v>2229.75</v>
      </c>
      <c r="M469" s="1" t="s">
        <v>915</v>
      </c>
      <c r="N469" s="1" t="s">
        <v>26</v>
      </c>
      <c r="O469" s="1" t="s">
        <v>915</v>
      </c>
    </row>
    <row r="470" spans="1:15" x14ac:dyDescent="0.35">
      <c r="A470" s="1" t="s">
        <v>916</v>
      </c>
      <c r="B470" s="2">
        <v>45215</v>
      </c>
      <c r="C470" s="1" t="s">
        <v>23</v>
      </c>
      <c r="D470" s="1" t="s">
        <v>12</v>
      </c>
      <c r="E470" s="1" t="str">
        <f>TRIM(CLEAN(Sheet1[[#This Row],[Category]]))</f>
        <v>Office Supplies</v>
      </c>
      <c r="G470" t="str">
        <f t="shared" si="7"/>
        <v>2. Mid-Market (4-7 Units)</v>
      </c>
      <c r="H470">
        <v>5</v>
      </c>
      <c r="I470">
        <v>-54.61</v>
      </c>
      <c r="J470">
        <f>IF(ISBLANK(I470), ROUND(I470/ABS(VALUE(_xlfn.TEXTBEFORE(F470&amp;" ", " "))), 2), ABS(VALUE(SUBSTITUTE(I470, "$", ""))))</f>
        <v>54.61</v>
      </c>
      <c r="K470">
        <f>ROUND(Sheet1[[#This Row],[CleanedUnits_sold]]*Sheet1[[#This Row],[Cleaned_Unit_Price]],2)</f>
        <v>273.05</v>
      </c>
      <c r="L470">
        <v>2281.88</v>
      </c>
      <c r="M470" s="1" t="s">
        <v>917</v>
      </c>
      <c r="N470" s="1" t="s">
        <v>50</v>
      </c>
      <c r="O470" s="1" t="s">
        <v>917</v>
      </c>
    </row>
    <row r="471" spans="1:15" x14ac:dyDescent="0.35">
      <c r="A471" s="1" t="s">
        <v>918</v>
      </c>
      <c r="B471" s="2">
        <v>45216</v>
      </c>
      <c r="C471" s="1" t="s">
        <v>23</v>
      </c>
      <c r="D471" s="1" t="s">
        <v>32</v>
      </c>
      <c r="E471" s="1" t="str">
        <f>TRIM(CLEAN(Sheet1[[#This Row],[Category]]))</f>
        <v>Furniture</v>
      </c>
      <c r="F471">
        <v>4</v>
      </c>
      <c r="G471" t="str">
        <f t="shared" si="7"/>
        <v>2. Mid-Market (4-7 Units)</v>
      </c>
      <c r="H471">
        <v>4</v>
      </c>
      <c r="I471">
        <v>-60.56</v>
      </c>
      <c r="J471">
        <f>IF(ISBLANK(I471), ROUND(I471/ABS(VALUE(_xlfn.TEXTBEFORE(F471&amp;" ", " "))), 2), ABS(VALUE(SUBSTITUTE(I471, "$", ""))))</f>
        <v>60.56</v>
      </c>
      <c r="K471">
        <f>ROUND(Sheet1[[#This Row],[CleanedUnits_sold]]*Sheet1[[#This Row],[Cleaned_Unit_Price]],2)</f>
        <v>242.24</v>
      </c>
      <c r="L471">
        <v>1806.32</v>
      </c>
      <c r="M471" s="1" t="s">
        <v>919</v>
      </c>
      <c r="N471" s="1" t="s">
        <v>38</v>
      </c>
      <c r="O471" s="1" t="s">
        <v>919</v>
      </c>
    </row>
    <row r="472" spans="1:15" x14ac:dyDescent="0.35">
      <c r="A472" s="1" t="s">
        <v>920</v>
      </c>
      <c r="B472" s="2">
        <v>45248</v>
      </c>
      <c r="C472" s="1" t="s">
        <v>16</v>
      </c>
      <c r="D472" s="1" t="s">
        <v>32</v>
      </c>
      <c r="E472" s="1" t="str">
        <f>TRIM(CLEAN(Sheet1[[#This Row],[Category]]))</f>
        <v>Furniture</v>
      </c>
      <c r="F472">
        <v>2</v>
      </c>
      <c r="G472" t="str">
        <f t="shared" si="7"/>
        <v>1. Retail (1-3 Units)</v>
      </c>
      <c r="H472">
        <v>2</v>
      </c>
      <c r="I472">
        <v>377.83</v>
      </c>
      <c r="J472">
        <f>IF(ISBLANK(I472), ROUND(I472/ABS(VALUE(_xlfn.TEXTBEFORE(F472&amp;" ", " "))), 2), ABS(VALUE(SUBSTITUTE(I472, "$", ""))))</f>
        <v>377.83</v>
      </c>
      <c r="K472">
        <f>ROUND(Sheet1[[#This Row],[CleanedUnits_sold]]*Sheet1[[#This Row],[Cleaned_Unit_Price]],2)</f>
        <v>755.66</v>
      </c>
      <c r="M472" s="1" t="s">
        <v>921</v>
      </c>
      <c r="N472" s="1" t="s">
        <v>21</v>
      </c>
      <c r="O472" s="1" t="s">
        <v>921</v>
      </c>
    </row>
    <row r="473" spans="1:15" x14ac:dyDescent="0.35">
      <c r="A473" s="1" t="s">
        <v>922</v>
      </c>
      <c r="B473" s="2">
        <v>44961</v>
      </c>
      <c r="C473" s="1" t="s">
        <v>16</v>
      </c>
      <c r="D473" s="1" t="s">
        <v>12</v>
      </c>
      <c r="E473" s="1" t="str">
        <f>TRIM(CLEAN(Sheet1[[#This Row],[Category]]))</f>
        <v>Office Supplies</v>
      </c>
      <c r="F473">
        <v>1</v>
      </c>
      <c r="G473" t="str">
        <f t="shared" si="7"/>
        <v>1. Retail (1-3 Units)</v>
      </c>
      <c r="H473">
        <v>1</v>
      </c>
      <c r="I473">
        <v>249.42</v>
      </c>
      <c r="J473">
        <f>IF(ISBLANK(I473), ROUND(I473/ABS(VALUE(_xlfn.TEXTBEFORE(F473&amp;" ", " "))), 2), ABS(VALUE(SUBSTITUTE(I473, "$", ""))))</f>
        <v>249.42</v>
      </c>
      <c r="K473">
        <f>ROUND(Sheet1[[#This Row],[CleanedUnits_sold]]*Sheet1[[#This Row],[Cleaned_Unit_Price]],2)</f>
        <v>249.42</v>
      </c>
      <c r="L473">
        <v>249.42</v>
      </c>
      <c r="M473" s="1" t="s">
        <v>923</v>
      </c>
      <c r="N473" s="1" t="s">
        <v>38</v>
      </c>
      <c r="O473" s="1" t="s">
        <v>923</v>
      </c>
    </row>
    <row r="474" spans="1:15" x14ac:dyDescent="0.35">
      <c r="A474" s="1" t="s">
        <v>924</v>
      </c>
      <c r="B474" s="2">
        <v>45082</v>
      </c>
      <c r="C474" s="1" t="s">
        <v>23</v>
      </c>
      <c r="D474" s="1" t="s">
        <v>12</v>
      </c>
      <c r="E474" s="1" t="str">
        <f>TRIM(CLEAN(Sheet1[[#This Row],[Category]]))</f>
        <v>Office Supplies</v>
      </c>
      <c r="F474">
        <v>8</v>
      </c>
      <c r="G474" t="str">
        <f t="shared" si="7"/>
        <v>3. Wholesale / Bulk (8+ Units)</v>
      </c>
      <c r="H474">
        <v>8</v>
      </c>
      <c r="I474">
        <v>305.58</v>
      </c>
      <c r="J474">
        <f>IF(ISBLANK(I474), ROUND(I474/ABS(VALUE(_xlfn.TEXTBEFORE(F474&amp;" ", " "))), 2), ABS(VALUE(SUBSTITUTE(I474, "$", ""))))</f>
        <v>305.58</v>
      </c>
      <c r="K474">
        <f>ROUND(Sheet1[[#This Row],[CleanedUnits_sold]]*Sheet1[[#This Row],[Cleaned_Unit_Price]],2)</f>
        <v>2444.64</v>
      </c>
      <c r="L474">
        <v>2444.64</v>
      </c>
      <c r="M474" s="1" t="s">
        <v>925</v>
      </c>
      <c r="N474" s="1" t="s">
        <v>14</v>
      </c>
      <c r="O474" s="1" t="s">
        <v>925</v>
      </c>
    </row>
    <row r="475" spans="1:15" x14ac:dyDescent="0.35">
      <c r="A475" s="1" t="s">
        <v>926</v>
      </c>
      <c r="B475" s="2">
        <v>45107</v>
      </c>
      <c r="C475" s="1" t="s">
        <v>23</v>
      </c>
      <c r="D475" s="1" t="s">
        <v>24</v>
      </c>
      <c r="E475" s="1" t="str">
        <f>TRIM(CLEAN(Sheet1[[#This Row],[Category]]))</f>
        <v>Electronics</v>
      </c>
      <c r="F475">
        <v>8</v>
      </c>
      <c r="G475" t="str">
        <f t="shared" si="7"/>
        <v>3. Wholesale / Bulk (8+ Units)</v>
      </c>
      <c r="H475">
        <v>8</v>
      </c>
      <c r="I475">
        <v>169.53</v>
      </c>
      <c r="J475">
        <f>IF(ISBLANK(I475), ROUND(I475/ABS(VALUE(_xlfn.TEXTBEFORE(F475&amp;" ", " "))), 2), ABS(VALUE(SUBSTITUTE(I475, "$", ""))))</f>
        <v>169.53</v>
      </c>
      <c r="K475">
        <f>ROUND(Sheet1[[#This Row],[CleanedUnits_sold]]*Sheet1[[#This Row],[Cleaned_Unit_Price]],2)</f>
        <v>1356.24</v>
      </c>
      <c r="L475">
        <v>1356.24</v>
      </c>
      <c r="M475" s="1" t="s">
        <v>927</v>
      </c>
      <c r="N475" s="1" t="s">
        <v>50</v>
      </c>
      <c r="O475" s="1" t="s">
        <v>927</v>
      </c>
    </row>
    <row r="476" spans="1:15" x14ac:dyDescent="0.35">
      <c r="A476" s="1" t="s">
        <v>928</v>
      </c>
      <c r="B476" s="2">
        <v>45158</v>
      </c>
      <c r="C476" s="1" t="s">
        <v>19</v>
      </c>
      <c r="D476" s="1" t="s">
        <v>12</v>
      </c>
      <c r="E476" s="1" t="str">
        <f>TRIM(CLEAN(Sheet1[[#This Row],[Category]]))</f>
        <v>Office Supplies</v>
      </c>
      <c r="F476">
        <v>4</v>
      </c>
      <c r="G476" t="str">
        <f t="shared" si="7"/>
        <v>2. Mid-Market (4-7 Units)</v>
      </c>
      <c r="H476">
        <v>4</v>
      </c>
      <c r="I476">
        <v>491.96</v>
      </c>
      <c r="J476">
        <f>IF(ISBLANK(I476), ROUND(I476/ABS(VALUE(_xlfn.TEXTBEFORE(F476&amp;" ", " "))), 2), ABS(VALUE(SUBSTITUTE(I476, "$", ""))))</f>
        <v>491.96</v>
      </c>
      <c r="K476">
        <f>ROUND(Sheet1[[#This Row],[CleanedUnits_sold]]*Sheet1[[#This Row],[Cleaned_Unit_Price]],2)</f>
        <v>1967.84</v>
      </c>
      <c r="L476">
        <v>1967.84</v>
      </c>
      <c r="M476" s="1" t="s">
        <v>929</v>
      </c>
      <c r="N476" s="1" t="s">
        <v>21</v>
      </c>
      <c r="O476" s="1" t="s">
        <v>929</v>
      </c>
    </row>
    <row r="477" spans="1:15" x14ac:dyDescent="0.35">
      <c r="A477" s="1" t="s">
        <v>930</v>
      </c>
      <c r="B477" s="2">
        <v>1</v>
      </c>
      <c r="C477" s="1" t="s">
        <v>11</v>
      </c>
      <c r="D477" s="1" t="s">
        <v>24</v>
      </c>
      <c r="E477" s="1" t="str">
        <f>TRIM(CLEAN(Sheet1[[#This Row],[Category]]))</f>
        <v>Electronics</v>
      </c>
      <c r="F477">
        <v>1</v>
      </c>
      <c r="G477" t="str">
        <f t="shared" si="7"/>
        <v>1. Retail (1-3 Units)</v>
      </c>
      <c r="H477">
        <v>1</v>
      </c>
      <c r="I477">
        <v>337</v>
      </c>
      <c r="J477">
        <f>IF(ISBLANK(I477), ROUND(I477/ABS(VALUE(_xlfn.TEXTBEFORE(F477&amp;" ", " "))), 2), ABS(VALUE(SUBSTITUTE(I477, "$", ""))))</f>
        <v>337</v>
      </c>
      <c r="K477">
        <f>ROUND(Sheet1[[#This Row],[CleanedUnits_sold]]*Sheet1[[#This Row],[Cleaned_Unit_Price]],2)</f>
        <v>337</v>
      </c>
      <c r="L477">
        <v>337</v>
      </c>
      <c r="M477" s="1" t="s">
        <v>931</v>
      </c>
      <c r="N477" s="1" t="s">
        <v>26</v>
      </c>
      <c r="O477" s="1" t="s">
        <v>931</v>
      </c>
    </row>
    <row r="478" spans="1:15" x14ac:dyDescent="0.35">
      <c r="A478" s="1" t="s">
        <v>932</v>
      </c>
      <c r="B478" s="2">
        <v>44966</v>
      </c>
      <c r="C478" s="1" t="s">
        <v>23</v>
      </c>
      <c r="D478" s="1" t="s">
        <v>24</v>
      </c>
      <c r="E478" s="1" t="str">
        <f>TRIM(CLEAN(Sheet1[[#This Row],[Category]]))</f>
        <v>Electronics</v>
      </c>
      <c r="F478">
        <v>9</v>
      </c>
      <c r="G478" t="str">
        <f t="shared" si="7"/>
        <v>3. Wholesale / Bulk (8+ Units)</v>
      </c>
      <c r="H478">
        <v>9</v>
      </c>
      <c r="I478">
        <v>31.48</v>
      </c>
      <c r="J478">
        <f>IF(ISBLANK(I478), ROUND(I478/ABS(VALUE(_xlfn.TEXTBEFORE(F478&amp;" ", " "))), 2), ABS(VALUE(SUBSTITUTE(I478, "$", ""))))</f>
        <v>31.48</v>
      </c>
      <c r="K478">
        <f>ROUND(Sheet1[[#This Row],[CleanedUnits_sold]]*Sheet1[[#This Row],[Cleaned_Unit_Price]],2)</f>
        <v>283.32</v>
      </c>
      <c r="L478">
        <v>283.32</v>
      </c>
      <c r="M478" s="1" t="s">
        <v>84</v>
      </c>
      <c r="N478" s="1" t="s">
        <v>14</v>
      </c>
      <c r="O478" s="1" t="s">
        <v>85</v>
      </c>
    </row>
    <row r="479" spans="1:15" x14ac:dyDescent="0.35">
      <c r="A479" s="1" t="s">
        <v>933</v>
      </c>
      <c r="B479" s="2">
        <v>45186</v>
      </c>
      <c r="C479" s="1" t="s">
        <v>19</v>
      </c>
      <c r="D479" s="1" t="s">
        <v>12</v>
      </c>
      <c r="E479" s="1" t="str">
        <f>TRIM(CLEAN(Sheet1[[#This Row],[Category]]))</f>
        <v>Office Supplies</v>
      </c>
      <c r="F479">
        <v>4</v>
      </c>
      <c r="G479" t="str">
        <f t="shared" si="7"/>
        <v>2. Mid-Market (4-7 Units)</v>
      </c>
      <c r="H479">
        <v>4</v>
      </c>
      <c r="I479">
        <v>170.04</v>
      </c>
      <c r="J479">
        <f>IF(ISBLANK(I479), ROUND(I479/ABS(VALUE(_xlfn.TEXTBEFORE(F479&amp;" ", " "))), 2), ABS(VALUE(SUBSTITUTE(I479, "$", ""))))</f>
        <v>170.04</v>
      </c>
      <c r="K479">
        <f>ROUND(Sheet1[[#This Row],[CleanedUnits_sold]]*Sheet1[[#This Row],[Cleaned_Unit_Price]],2)</f>
        <v>680.16</v>
      </c>
      <c r="M479" s="1" t="s">
        <v>934</v>
      </c>
      <c r="N479" s="1" t="s">
        <v>50</v>
      </c>
      <c r="O479" s="1" t="s">
        <v>934</v>
      </c>
    </row>
    <row r="480" spans="1:15" x14ac:dyDescent="0.35">
      <c r="A480" s="1" t="s">
        <v>935</v>
      </c>
      <c r="B480" s="2">
        <v>45210</v>
      </c>
      <c r="C480" s="1" t="s">
        <v>23</v>
      </c>
      <c r="D480" s="1" t="s">
        <v>46</v>
      </c>
      <c r="E480" s="1" t="str">
        <f>TRIM(CLEAN(Sheet1[[#This Row],[Category]]))</f>
        <v>Furniture</v>
      </c>
      <c r="F480">
        <v>2</v>
      </c>
      <c r="G480" t="str">
        <f t="shared" si="7"/>
        <v>1. Retail (1-3 Units)</v>
      </c>
      <c r="H480">
        <v>2</v>
      </c>
      <c r="I480">
        <v>315.42</v>
      </c>
      <c r="J480">
        <f>IF(ISBLANK(I480), ROUND(I480/ABS(VALUE(_xlfn.TEXTBEFORE(F480&amp;" ", " "))), 2), ABS(VALUE(SUBSTITUTE(I480, "$", ""))))</f>
        <v>315.42</v>
      </c>
      <c r="K480">
        <f>ROUND(Sheet1[[#This Row],[CleanedUnits_sold]]*Sheet1[[#This Row],[Cleaned_Unit_Price]],2)</f>
        <v>630.84</v>
      </c>
      <c r="L480">
        <v>630.84</v>
      </c>
      <c r="M480" s="1" t="s">
        <v>936</v>
      </c>
      <c r="N480" s="1" t="s">
        <v>50</v>
      </c>
      <c r="O480" s="1" t="s">
        <v>936</v>
      </c>
    </row>
    <row r="481" spans="1:15" x14ac:dyDescent="0.35">
      <c r="A481" s="1" t="s">
        <v>937</v>
      </c>
      <c r="B481" s="2">
        <v>1</v>
      </c>
      <c r="C481" s="1" t="s">
        <v>16</v>
      </c>
      <c r="D481" s="1" t="s">
        <v>12</v>
      </c>
      <c r="E481" s="1" t="str">
        <f>TRIM(CLEAN(Sheet1[[#This Row],[Category]]))</f>
        <v>Office Supplies</v>
      </c>
      <c r="F481">
        <v>4</v>
      </c>
      <c r="G481" t="str">
        <f t="shared" si="7"/>
        <v>2. Mid-Market (4-7 Units)</v>
      </c>
      <c r="H481">
        <v>4</v>
      </c>
      <c r="I481">
        <v>-33.35</v>
      </c>
      <c r="J481">
        <f>IF(ISBLANK(I481), ROUND(I481/ABS(VALUE(_xlfn.TEXTBEFORE(F481&amp;" ", " "))), 2), ABS(VALUE(SUBSTITUTE(I481, "$", ""))))</f>
        <v>33.35</v>
      </c>
      <c r="K481">
        <f>ROUND(Sheet1[[#This Row],[CleanedUnits_sold]]*Sheet1[[#This Row],[Cleaned_Unit_Price]],2)</f>
        <v>133.4</v>
      </c>
      <c r="L481">
        <v>150.4</v>
      </c>
      <c r="M481" s="1" t="s">
        <v>938</v>
      </c>
      <c r="N481" s="1" t="s">
        <v>14</v>
      </c>
      <c r="O481" s="1" t="s">
        <v>938</v>
      </c>
    </row>
    <row r="482" spans="1:15" x14ac:dyDescent="0.35">
      <c r="A482" s="1" t="s">
        <v>939</v>
      </c>
      <c r="B482" s="2">
        <v>44935</v>
      </c>
      <c r="C482" s="1" t="s">
        <v>16</v>
      </c>
      <c r="D482" s="1" t="s">
        <v>24</v>
      </c>
      <c r="E482" s="1" t="str">
        <f>TRIM(CLEAN(Sheet1[[#This Row],[Category]]))</f>
        <v>Electronics</v>
      </c>
      <c r="F482">
        <v>3</v>
      </c>
      <c r="G482" t="str">
        <f t="shared" si="7"/>
        <v>1. Retail (1-3 Units)</v>
      </c>
      <c r="H482">
        <v>3</v>
      </c>
      <c r="I482">
        <v>21.7</v>
      </c>
      <c r="J482">
        <f>IF(ISBLANK(I482), ROUND(I482/ABS(VALUE(_xlfn.TEXTBEFORE(F482&amp;" ", " "))), 2), ABS(VALUE(SUBSTITUTE(I482, "$", ""))))</f>
        <v>21.7</v>
      </c>
      <c r="K482">
        <f>ROUND(Sheet1[[#This Row],[CleanedUnits_sold]]*Sheet1[[#This Row],[Cleaned_Unit_Price]],2)</f>
        <v>65.099999999999994</v>
      </c>
      <c r="L482">
        <v>65.099999999999994</v>
      </c>
      <c r="M482" s="1" t="s">
        <v>940</v>
      </c>
      <c r="N482" s="1" t="s">
        <v>21</v>
      </c>
      <c r="O482" s="1" t="s">
        <v>940</v>
      </c>
    </row>
    <row r="483" spans="1:15" x14ac:dyDescent="0.35">
      <c r="A483" s="1" t="s">
        <v>941</v>
      </c>
      <c r="B483" s="2">
        <v>45157</v>
      </c>
      <c r="C483" s="1" t="s">
        <v>16</v>
      </c>
      <c r="D483" s="1" t="s">
        <v>12</v>
      </c>
      <c r="E483" s="1" t="str">
        <f>TRIM(CLEAN(Sheet1[[#This Row],[Category]]))</f>
        <v>Office Supplies</v>
      </c>
      <c r="F483">
        <v>8</v>
      </c>
      <c r="G483" t="str">
        <f t="shared" si="7"/>
        <v>3. Wholesale / Bulk (8+ Units)</v>
      </c>
      <c r="H483">
        <v>8</v>
      </c>
      <c r="I483">
        <v>230.51</v>
      </c>
      <c r="J483">
        <f>IF(ISBLANK(I483), ROUND(I483/ABS(VALUE(_xlfn.TEXTBEFORE(F483&amp;" ", " "))), 2), ABS(VALUE(SUBSTITUTE(I483, "$", ""))))</f>
        <v>230.51</v>
      </c>
      <c r="K483">
        <f>ROUND(Sheet1[[#This Row],[CleanedUnits_sold]]*Sheet1[[#This Row],[Cleaned_Unit_Price]],2)</f>
        <v>1844.08</v>
      </c>
      <c r="L483">
        <v>1844.08</v>
      </c>
      <c r="M483" s="1"/>
      <c r="N483" s="1" t="s">
        <v>14</v>
      </c>
      <c r="O483" s="1" t="s">
        <v>131</v>
      </c>
    </row>
    <row r="484" spans="1:15" x14ac:dyDescent="0.35">
      <c r="A484" s="1" t="s">
        <v>942</v>
      </c>
      <c r="B484" s="2">
        <v>45102</v>
      </c>
      <c r="C484" s="1" t="s">
        <v>16</v>
      </c>
      <c r="D484" s="1" t="s">
        <v>46</v>
      </c>
      <c r="E484" s="1" t="str">
        <f>TRIM(CLEAN(Sheet1[[#This Row],[Category]]))</f>
        <v>Furniture</v>
      </c>
      <c r="F484">
        <v>9</v>
      </c>
      <c r="G484" t="str">
        <f t="shared" si="7"/>
        <v>3. Wholesale / Bulk (8+ Units)</v>
      </c>
      <c r="H484">
        <v>9</v>
      </c>
      <c r="I484">
        <v>173.02</v>
      </c>
      <c r="J484">
        <f>IF(ISBLANK(I484), ROUND(I484/ABS(VALUE(_xlfn.TEXTBEFORE(F484&amp;" ", " "))), 2), ABS(VALUE(SUBSTITUTE(I484, "$", ""))))</f>
        <v>173.02</v>
      </c>
      <c r="K484">
        <f>ROUND(Sheet1[[#This Row],[CleanedUnits_sold]]*Sheet1[[#This Row],[Cleaned_Unit_Price]],2)</f>
        <v>1557.18</v>
      </c>
      <c r="M484" s="1" t="s">
        <v>943</v>
      </c>
      <c r="N484" s="1" t="s">
        <v>14</v>
      </c>
      <c r="O484" s="1" t="s">
        <v>943</v>
      </c>
    </row>
    <row r="485" spans="1:15" x14ac:dyDescent="0.35">
      <c r="A485" s="1" t="s">
        <v>944</v>
      </c>
      <c r="B485" s="2">
        <v>45015</v>
      </c>
      <c r="C485" s="1" t="s">
        <v>16</v>
      </c>
      <c r="D485" s="1" t="s">
        <v>12</v>
      </c>
      <c r="E485" s="1" t="str">
        <f>TRIM(CLEAN(Sheet1[[#This Row],[Category]]))</f>
        <v>Office Supplies</v>
      </c>
      <c r="F485">
        <v>4</v>
      </c>
      <c r="G485" t="str">
        <f t="shared" si="7"/>
        <v>2. Mid-Market (4-7 Units)</v>
      </c>
      <c r="H485">
        <v>4</v>
      </c>
      <c r="I485">
        <v>224.77</v>
      </c>
      <c r="J485">
        <f>IF(ISBLANK(I485), ROUND(I485/ABS(VALUE(_xlfn.TEXTBEFORE(F485&amp;" ", " "))), 2), ABS(VALUE(SUBSTITUTE(I485, "$", ""))))</f>
        <v>224.77</v>
      </c>
      <c r="K485">
        <f>ROUND(Sheet1[[#This Row],[CleanedUnits_sold]]*Sheet1[[#This Row],[Cleaned_Unit_Price]],2)</f>
        <v>899.08</v>
      </c>
      <c r="L485">
        <v>899.08</v>
      </c>
      <c r="M485" s="1" t="s">
        <v>945</v>
      </c>
      <c r="N485" s="1" t="s">
        <v>26</v>
      </c>
      <c r="O485" s="1" t="s">
        <v>945</v>
      </c>
    </row>
    <row r="486" spans="1:15" x14ac:dyDescent="0.35">
      <c r="A486" s="1" t="s">
        <v>946</v>
      </c>
      <c r="B486" s="2">
        <v>45151</v>
      </c>
      <c r="C486" s="1" t="s">
        <v>16</v>
      </c>
      <c r="D486" s="1" t="s">
        <v>24</v>
      </c>
      <c r="E486" s="1" t="str">
        <f>TRIM(CLEAN(Sheet1[[#This Row],[Category]]))</f>
        <v>Electronics</v>
      </c>
      <c r="F486">
        <v>4</v>
      </c>
      <c r="G486" t="str">
        <f t="shared" si="7"/>
        <v>2. Mid-Market (4-7 Units)</v>
      </c>
      <c r="H486">
        <v>4</v>
      </c>
      <c r="I486">
        <v>138.72</v>
      </c>
      <c r="J486">
        <f>IF(ISBLANK(I486), ROUND(I486/ABS(VALUE(_xlfn.TEXTBEFORE(F486&amp;" ", " "))), 2), ABS(VALUE(SUBSTITUTE(I486, "$", ""))))</f>
        <v>138.72</v>
      </c>
      <c r="K486">
        <f>ROUND(Sheet1[[#This Row],[CleanedUnits_sold]]*Sheet1[[#This Row],[Cleaned_Unit_Price]],2)</f>
        <v>554.88</v>
      </c>
      <c r="L486">
        <v>554.88</v>
      </c>
      <c r="M486" s="1" t="s">
        <v>947</v>
      </c>
      <c r="N486" s="1" t="s">
        <v>38</v>
      </c>
      <c r="O486" s="1" t="s">
        <v>947</v>
      </c>
    </row>
    <row r="487" spans="1:15" x14ac:dyDescent="0.35">
      <c r="A487" s="1" t="s">
        <v>948</v>
      </c>
      <c r="B487" s="2">
        <v>45180</v>
      </c>
      <c r="C487" s="1" t="s">
        <v>23</v>
      </c>
      <c r="D487" s="1" t="s">
        <v>32</v>
      </c>
      <c r="E487" s="1" t="str">
        <f>TRIM(CLEAN(Sheet1[[#This Row],[Category]]))</f>
        <v>Furniture</v>
      </c>
      <c r="F487">
        <v>5</v>
      </c>
      <c r="G487" t="str">
        <f t="shared" si="7"/>
        <v>2. Mid-Market (4-7 Units)</v>
      </c>
      <c r="H487">
        <v>5</v>
      </c>
      <c r="I487">
        <v>90.71</v>
      </c>
      <c r="J487">
        <f>IF(ISBLANK(I487), ROUND(I487/ABS(VALUE(_xlfn.TEXTBEFORE(F487&amp;" ", " "))), 2), ABS(VALUE(SUBSTITUTE(I487, "$", ""))))</f>
        <v>90.71</v>
      </c>
      <c r="K487">
        <f>ROUND(Sheet1[[#This Row],[CleanedUnits_sold]]*Sheet1[[#This Row],[Cleaned_Unit_Price]],2)</f>
        <v>453.55</v>
      </c>
      <c r="L487">
        <v>453.55</v>
      </c>
      <c r="M487" s="1" t="s">
        <v>949</v>
      </c>
      <c r="N487" s="1" t="s">
        <v>14</v>
      </c>
      <c r="O487" s="1" t="s">
        <v>949</v>
      </c>
    </row>
    <row r="488" spans="1:15" x14ac:dyDescent="0.35">
      <c r="A488" s="1" t="s">
        <v>950</v>
      </c>
      <c r="B488" s="2">
        <v>45071</v>
      </c>
      <c r="C488" s="1" t="s">
        <v>58</v>
      </c>
      <c r="D488" s="1" t="s">
        <v>12</v>
      </c>
      <c r="E488" s="1" t="str">
        <f>TRIM(CLEAN(Sheet1[[#This Row],[Category]]))</f>
        <v>Office Supplies</v>
      </c>
      <c r="F488">
        <v>11</v>
      </c>
      <c r="G488" t="str">
        <f t="shared" si="7"/>
        <v>3. Wholesale / Bulk (8+ Units)</v>
      </c>
      <c r="H488">
        <v>11</v>
      </c>
      <c r="I488">
        <v>347.68</v>
      </c>
      <c r="J488">
        <f>IF(ISBLANK(I488), ROUND(I488/ABS(VALUE(_xlfn.TEXTBEFORE(F488&amp;" ", " "))), 2), ABS(VALUE(SUBSTITUTE(I488, "$", ""))))</f>
        <v>347.68</v>
      </c>
      <c r="K488">
        <f>ROUND(Sheet1[[#This Row],[CleanedUnits_sold]]*Sheet1[[#This Row],[Cleaned_Unit_Price]],2)</f>
        <v>3824.48</v>
      </c>
      <c r="L488">
        <v>3824.48</v>
      </c>
      <c r="M488" s="1" t="s">
        <v>951</v>
      </c>
      <c r="N488" s="1" t="s">
        <v>14</v>
      </c>
      <c r="O488" s="1" t="s">
        <v>951</v>
      </c>
    </row>
    <row r="489" spans="1:15" x14ac:dyDescent="0.35">
      <c r="A489" s="1" t="s">
        <v>952</v>
      </c>
      <c r="B489" s="2">
        <v>45100</v>
      </c>
      <c r="C489" s="1" t="s">
        <v>19</v>
      </c>
      <c r="D489" s="1" t="s">
        <v>12</v>
      </c>
      <c r="E489" s="1" t="str">
        <f>TRIM(CLEAN(Sheet1[[#This Row],[Category]]))</f>
        <v>Office Supplies</v>
      </c>
      <c r="F489">
        <v>8</v>
      </c>
      <c r="G489" t="str">
        <f t="shared" si="7"/>
        <v>3. Wholesale / Bulk (8+ Units)</v>
      </c>
      <c r="H489">
        <v>8</v>
      </c>
      <c r="I489">
        <v>262.14</v>
      </c>
      <c r="J489">
        <f>IF(ISBLANK(I489), ROUND(I489/ABS(VALUE(_xlfn.TEXTBEFORE(F489&amp;" ", " "))), 2), ABS(VALUE(SUBSTITUTE(I489, "$", ""))))</f>
        <v>262.14</v>
      </c>
      <c r="K489">
        <f>ROUND(Sheet1[[#This Row],[CleanedUnits_sold]]*Sheet1[[#This Row],[Cleaned_Unit_Price]],2)</f>
        <v>2097.12</v>
      </c>
      <c r="L489">
        <v>2097.12</v>
      </c>
      <c r="M489" s="1" t="s">
        <v>953</v>
      </c>
      <c r="N489" s="1" t="s">
        <v>21</v>
      </c>
      <c r="O489" s="1" t="s">
        <v>953</v>
      </c>
    </row>
    <row r="490" spans="1:15" x14ac:dyDescent="0.35">
      <c r="A490" s="1" t="s">
        <v>954</v>
      </c>
      <c r="B490" s="2">
        <v>45258</v>
      </c>
      <c r="C490" s="1" t="s">
        <v>58</v>
      </c>
      <c r="D490" s="1" t="s">
        <v>12</v>
      </c>
      <c r="E490" s="1" t="str">
        <f>TRIM(CLEAN(Sheet1[[#This Row],[Category]]))</f>
        <v>Office Supplies</v>
      </c>
      <c r="F490">
        <v>6</v>
      </c>
      <c r="G490" t="str">
        <f t="shared" si="7"/>
        <v>2. Mid-Market (4-7 Units)</v>
      </c>
      <c r="H490">
        <v>6</v>
      </c>
      <c r="I490">
        <v>108.08</v>
      </c>
      <c r="J490">
        <f>IF(ISBLANK(I490), ROUND(I490/ABS(VALUE(_xlfn.TEXTBEFORE(F490&amp;" ", " "))), 2), ABS(VALUE(SUBSTITUTE(I490, "$", ""))))</f>
        <v>108.08</v>
      </c>
      <c r="K490">
        <f>ROUND(Sheet1[[#This Row],[CleanedUnits_sold]]*Sheet1[[#This Row],[Cleaned_Unit_Price]],2)</f>
        <v>648.48</v>
      </c>
      <c r="L490">
        <v>648.48</v>
      </c>
      <c r="M490" s="1" t="s">
        <v>955</v>
      </c>
      <c r="N490" s="1" t="s">
        <v>26</v>
      </c>
      <c r="O490" s="1" t="s">
        <v>955</v>
      </c>
    </row>
    <row r="491" spans="1:15" x14ac:dyDescent="0.35">
      <c r="A491" s="1" t="s">
        <v>956</v>
      </c>
      <c r="B491" s="2">
        <v>1</v>
      </c>
      <c r="C491" s="1" t="s">
        <v>19</v>
      </c>
      <c r="D491" s="1" t="s">
        <v>24</v>
      </c>
      <c r="E491" s="1" t="str">
        <f>TRIM(CLEAN(Sheet1[[#This Row],[Category]]))</f>
        <v>Electronics</v>
      </c>
      <c r="F491">
        <v>2</v>
      </c>
      <c r="G491" t="str">
        <f t="shared" si="7"/>
        <v>1. Retail (1-3 Units)</v>
      </c>
      <c r="H491">
        <v>2</v>
      </c>
      <c r="I491">
        <v>166.6</v>
      </c>
      <c r="J491">
        <f>IF(ISBLANK(I491), ROUND(I491/ABS(VALUE(_xlfn.TEXTBEFORE(F491&amp;" ", " "))), 2), ABS(VALUE(SUBSTITUTE(I491, "$", ""))))</f>
        <v>166.6</v>
      </c>
      <c r="K491">
        <f>ROUND(Sheet1[[#This Row],[CleanedUnits_sold]]*Sheet1[[#This Row],[Cleaned_Unit_Price]],2)</f>
        <v>333.2</v>
      </c>
      <c r="L491">
        <v>333.2</v>
      </c>
      <c r="M491" s="1" t="s">
        <v>957</v>
      </c>
      <c r="N491" s="1" t="s">
        <v>14</v>
      </c>
      <c r="O491" s="1" t="s">
        <v>957</v>
      </c>
    </row>
    <row r="492" spans="1:15" x14ac:dyDescent="0.35">
      <c r="A492" s="1" t="s">
        <v>958</v>
      </c>
      <c r="B492" s="2">
        <v>1</v>
      </c>
      <c r="C492" s="1" t="s">
        <v>16</v>
      </c>
      <c r="D492" s="1" t="s">
        <v>24</v>
      </c>
      <c r="E492" s="1" t="str">
        <f>TRIM(CLEAN(Sheet1[[#This Row],[Category]]))</f>
        <v>Electronics</v>
      </c>
      <c r="F492">
        <v>8</v>
      </c>
      <c r="G492" t="str">
        <f t="shared" si="7"/>
        <v>3. Wholesale / Bulk (8+ Units)</v>
      </c>
      <c r="H492">
        <v>8</v>
      </c>
      <c r="I492">
        <v>299.99</v>
      </c>
      <c r="J492">
        <f>IF(ISBLANK(I492), ROUND(I492/ABS(VALUE(_xlfn.TEXTBEFORE(F492&amp;" ", " "))), 2), ABS(VALUE(SUBSTITUTE(I492, "$", ""))))</f>
        <v>299.99</v>
      </c>
      <c r="K492">
        <f>ROUND(Sheet1[[#This Row],[CleanedUnits_sold]]*Sheet1[[#This Row],[Cleaned_Unit_Price]],2)</f>
        <v>2399.92</v>
      </c>
      <c r="L492">
        <v>2399.92</v>
      </c>
      <c r="M492" s="1" t="s">
        <v>959</v>
      </c>
      <c r="N492" s="1" t="s">
        <v>50</v>
      </c>
      <c r="O492" s="1" t="s">
        <v>959</v>
      </c>
    </row>
    <row r="493" spans="1:15" x14ac:dyDescent="0.35">
      <c r="A493" s="1" t="s">
        <v>960</v>
      </c>
      <c r="B493" s="2">
        <v>45072</v>
      </c>
      <c r="C493" s="1" t="s">
        <v>58</v>
      </c>
      <c r="D493" s="1" t="s">
        <v>24</v>
      </c>
      <c r="E493" s="1" t="str">
        <f>TRIM(CLEAN(Sheet1[[#This Row],[Category]]))</f>
        <v>Electronics</v>
      </c>
      <c r="F493">
        <v>7</v>
      </c>
      <c r="G493" t="str">
        <f t="shared" si="7"/>
        <v>2. Mid-Market (4-7 Units)</v>
      </c>
      <c r="H493">
        <v>7</v>
      </c>
      <c r="I493">
        <v>45.39</v>
      </c>
      <c r="J493">
        <f>IF(ISBLANK(I493), ROUND(I493/ABS(VALUE(_xlfn.TEXTBEFORE(F493&amp;" ", " "))), 2), ABS(VALUE(SUBSTITUTE(I493, "$", ""))))</f>
        <v>45.39</v>
      </c>
      <c r="K493">
        <f>ROUND(Sheet1[[#This Row],[CleanedUnits_sold]]*Sheet1[[#This Row],[Cleaned_Unit_Price]],2)</f>
        <v>317.73</v>
      </c>
      <c r="M493" s="1" t="s">
        <v>961</v>
      </c>
      <c r="N493" s="1" t="s">
        <v>26</v>
      </c>
      <c r="O493" s="1" t="s">
        <v>961</v>
      </c>
    </row>
    <row r="494" spans="1:15" x14ac:dyDescent="0.35">
      <c r="A494" s="1" t="s">
        <v>962</v>
      </c>
      <c r="B494" s="2">
        <v>44997</v>
      </c>
      <c r="C494" s="1" t="s">
        <v>23</v>
      </c>
      <c r="D494" s="1" t="s">
        <v>24</v>
      </c>
      <c r="E494" s="1" t="str">
        <f>TRIM(CLEAN(Sheet1[[#This Row],[Category]]))</f>
        <v>Electronics</v>
      </c>
      <c r="F494">
        <v>6</v>
      </c>
      <c r="G494" t="str">
        <f t="shared" si="7"/>
        <v>2. Mid-Market (4-7 Units)</v>
      </c>
      <c r="H494">
        <v>6</v>
      </c>
      <c r="I494">
        <v>82.25</v>
      </c>
      <c r="J494">
        <f>IF(ISBLANK(I494), ROUND(I494/ABS(VALUE(_xlfn.TEXTBEFORE(F494&amp;" ", " "))), 2), ABS(VALUE(SUBSTITUTE(I494, "$", ""))))</f>
        <v>82.25</v>
      </c>
      <c r="K494">
        <f>ROUND(Sheet1[[#This Row],[CleanedUnits_sold]]*Sheet1[[#This Row],[Cleaned_Unit_Price]],2)</f>
        <v>493.5</v>
      </c>
      <c r="L494">
        <v>493.5</v>
      </c>
      <c r="M494" s="1" t="s">
        <v>963</v>
      </c>
      <c r="N494" s="1" t="s">
        <v>38</v>
      </c>
      <c r="O494" s="1" t="s">
        <v>963</v>
      </c>
    </row>
    <row r="495" spans="1:15" x14ac:dyDescent="0.35">
      <c r="A495" s="1" t="s">
        <v>964</v>
      </c>
      <c r="B495" s="2">
        <v>1</v>
      </c>
      <c r="C495" s="1" t="s">
        <v>23</v>
      </c>
      <c r="D495" s="1" t="s">
        <v>24</v>
      </c>
      <c r="E495" s="1" t="str">
        <f>TRIM(CLEAN(Sheet1[[#This Row],[Category]]))</f>
        <v>Electronics</v>
      </c>
      <c r="F495">
        <v>5</v>
      </c>
      <c r="G495" t="str">
        <f t="shared" si="7"/>
        <v>2. Mid-Market (4-7 Units)</v>
      </c>
      <c r="H495">
        <v>5</v>
      </c>
      <c r="I495">
        <v>45.89</v>
      </c>
      <c r="J495">
        <f>IF(ISBLANK(I495), ROUND(I495/ABS(VALUE(_xlfn.TEXTBEFORE(F495&amp;" ", " "))), 2), ABS(VALUE(SUBSTITUTE(I495, "$", ""))))</f>
        <v>45.89</v>
      </c>
      <c r="K495">
        <f>ROUND(Sheet1[[#This Row],[CleanedUnits_sold]]*Sheet1[[#This Row],[Cleaned_Unit_Price]],2)</f>
        <v>229.45</v>
      </c>
      <c r="L495">
        <v>434.8</v>
      </c>
      <c r="M495" s="1" t="s">
        <v>965</v>
      </c>
      <c r="N495" s="1" t="s">
        <v>50</v>
      </c>
      <c r="O495" s="1" t="s">
        <v>965</v>
      </c>
    </row>
    <row r="496" spans="1:15" x14ac:dyDescent="0.35">
      <c r="A496" s="1" t="s">
        <v>966</v>
      </c>
      <c r="B496" s="2">
        <v>45085</v>
      </c>
      <c r="C496" s="1" t="s">
        <v>58</v>
      </c>
      <c r="D496" s="1" t="s">
        <v>24</v>
      </c>
      <c r="E496" s="1" t="str">
        <f>TRIM(CLEAN(Sheet1[[#This Row],[Category]]))</f>
        <v>Electronics</v>
      </c>
      <c r="F496">
        <v>3</v>
      </c>
      <c r="G496" t="str">
        <f t="shared" si="7"/>
        <v>1. Retail (1-3 Units)</v>
      </c>
      <c r="H496">
        <v>3</v>
      </c>
      <c r="I496">
        <v>408.04</v>
      </c>
      <c r="J496">
        <f>IF(ISBLANK(I496), ROUND(I496/ABS(VALUE(_xlfn.TEXTBEFORE(F496&amp;" ", " "))), 2), ABS(VALUE(SUBSTITUTE(I496, "$", ""))))</f>
        <v>408.04</v>
      </c>
      <c r="K496">
        <f>ROUND(Sheet1[[#This Row],[CleanedUnits_sold]]*Sheet1[[#This Row],[Cleaned_Unit_Price]],2)</f>
        <v>1224.1199999999999</v>
      </c>
      <c r="L496">
        <v>1224.1199999999999</v>
      </c>
      <c r="M496" s="1" t="s">
        <v>967</v>
      </c>
      <c r="N496" s="1" t="s">
        <v>21</v>
      </c>
      <c r="O496" s="1" t="s">
        <v>967</v>
      </c>
    </row>
    <row r="497" spans="1:15" x14ac:dyDescent="0.35">
      <c r="A497" s="1" t="s">
        <v>968</v>
      </c>
      <c r="B497" s="2">
        <v>45289</v>
      </c>
      <c r="C497" s="1" t="s">
        <v>16</v>
      </c>
      <c r="D497" s="1" t="s">
        <v>24</v>
      </c>
      <c r="E497" s="1" t="str">
        <f>TRIM(CLEAN(Sheet1[[#This Row],[Category]]))</f>
        <v>Electronics</v>
      </c>
      <c r="F497">
        <v>5</v>
      </c>
      <c r="G497" t="str">
        <f t="shared" si="7"/>
        <v>2. Mid-Market (4-7 Units)</v>
      </c>
      <c r="H497">
        <v>5</v>
      </c>
      <c r="I497">
        <v>378.68</v>
      </c>
      <c r="J497">
        <f>IF(ISBLANK(I497), ROUND(I497/ABS(VALUE(_xlfn.TEXTBEFORE(F497&amp;" ", " "))), 2), ABS(VALUE(SUBSTITUTE(I497, "$", ""))))</f>
        <v>378.68</v>
      </c>
      <c r="K497">
        <f>ROUND(Sheet1[[#This Row],[CleanedUnits_sold]]*Sheet1[[#This Row],[Cleaned_Unit_Price]],2)</f>
        <v>1893.4</v>
      </c>
      <c r="L497">
        <v>1893.4</v>
      </c>
      <c r="M497" s="1" t="s">
        <v>969</v>
      </c>
      <c r="N497" s="1" t="s">
        <v>14</v>
      </c>
      <c r="O497" s="1" t="s">
        <v>969</v>
      </c>
    </row>
    <row r="498" spans="1:15" x14ac:dyDescent="0.35">
      <c r="A498" s="1" t="s">
        <v>970</v>
      </c>
      <c r="B498" s="2">
        <v>45119</v>
      </c>
      <c r="C498" s="1" t="s">
        <v>16</v>
      </c>
      <c r="D498" s="1" t="s">
        <v>46</v>
      </c>
      <c r="E498" s="1" t="str">
        <f>TRIM(CLEAN(Sheet1[[#This Row],[Category]]))</f>
        <v>Furniture</v>
      </c>
      <c r="F498">
        <v>3</v>
      </c>
      <c r="G498" t="str">
        <f t="shared" si="7"/>
        <v>1. Retail (1-3 Units)</v>
      </c>
      <c r="H498">
        <v>3</v>
      </c>
      <c r="I498">
        <v>379.12</v>
      </c>
      <c r="J498">
        <f>IF(ISBLANK(I498), ROUND(I498/ABS(VALUE(_xlfn.TEXTBEFORE(F498&amp;" ", " "))), 2), ABS(VALUE(SUBSTITUTE(I498, "$", ""))))</f>
        <v>379.12</v>
      </c>
      <c r="K498">
        <f>ROUND(Sheet1[[#This Row],[CleanedUnits_sold]]*Sheet1[[#This Row],[Cleaned_Unit_Price]],2)</f>
        <v>1137.3599999999999</v>
      </c>
      <c r="L498">
        <v>1137.3599999999999</v>
      </c>
      <c r="M498" s="1"/>
      <c r="N498" s="1" t="s">
        <v>21</v>
      </c>
      <c r="O498" s="1" t="s">
        <v>131</v>
      </c>
    </row>
    <row r="499" spans="1:15" x14ac:dyDescent="0.35">
      <c r="A499" s="1" t="s">
        <v>971</v>
      </c>
      <c r="B499" s="2">
        <v>45270</v>
      </c>
      <c r="C499" s="1" t="s">
        <v>19</v>
      </c>
      <c r="D499" s="1" t="s">
        <v>24</v>
      </c>
      <c r="E499" s="1" t="str">
        <f>TRIM(CLEAN(Sheet1[[#This Row],[Category]]))</f>
        <v>Electronics</v>
      </c>
      <c r="F499">
        <v>3</v>
      </c>
      <c r="G499" t="str">
        <f t="shared" si="7"/>
        <v>1. Retail (1-3 Units)</v>
      </c>
      <c r="H499">
        <v>3</v>
      </c>
      <c r="I499">
        <v>-186.51</v>
      </c>
      <c r="J499">
        <f>IF(ISBLANK(I499), ROUND(I499/ABS(VALUE(_xlfn.TEXTBEFORE(F499&amp;" ", " "))), 2), ABS(VALUE(SUBSTITUTE(I499, "$", ""))))</f>
        <v>186.51</v>
      </c>
      <c r="K499">
        <f>ROUND(Sheet1[[#This Row],[CleanedUnits_sold]]*Sheet1[[#This Row],[Cleaned_Unit_Price]],2)</f>
        <v>559.53</v>
      </c>
      <c r="L499">
        <v>1083</v>
      </c>
      <c r="M499" s="1" t="s">
        <v>972</v>
      </c>
      <c r="N499" s="1" t="s">
        <v>14</v>
      </c>
      <c r="O499" s="1" t="s">
        <v>972</v>
      </c>
    </row>
    <row r="500" spans="1:15" x14ac:dyDescent="0.35">
      <c r="A500" s="1" t="s">
        <v>973</v>
      </c>
      <c r="B500" s="2">
        <v>1</v>
      </c>
      <c r="C500" s="1" t="s">
        <v>16</v>
      </c>
      <c r="D500" s="1" t="s">
        <v>46</v>
      </c>
      <c r="E500" s="1" t="str">
        <f>TRIM(CLEAN(Sheet1[[#This Row],[Category]]))</f>
        <v>Furniture</v>
      </c>
      <c r="F500">
        <v>4</v>
      </c>
      <c r="G500" t="str">
        <f t="shared" si="7"/>
        <v>2. Mid-Market (4-7 Units)</v>
      </c>
      <c r="H500">
        <v>4</v>
      </c>
      <c r="I500">
        <v>243.73</v>
      </c>
      <c r="J500">
        <f>IF(ISBLANK(I500), ROUND(I500/ABS(VALUE(_xlfn.TEXTBEFORE(F500&amp;" ", " "))), 2), ABS(VALUE(SUBSTITUTE(I500, "$", ""))))</f>
        <v>243.73</v>
      </c>
      <c r="K500">
        <f>ROUND(Sheet1[[#This Row],[CleanedUnits_sold]]*Sheet1[[#This Row],[Cleaned_Unit_Price]],2)</f>
        <v>974.92</v>
      </c>
      <c r="L500">
        <v>974.92</v>
      </c>
      <c r="M500" s="1" t="s">
        <v>974</v>
      </c>
      <c r="N500" s="1" t="s">
        <v>21</v>
      </c>
      <c r="O500" s="1" t="s">
        <v>974</v>
      </c>
    </row>
    <row r="501" spans="1:15" x14ac:dyDescent="0.35">
      <c r="A501" s="1" t="s">
        <v>975</v>
      </c>
      <c r="B501" s="2">
        <v>45036</v>
      </c>
      <c r="C501" s="1" t="s">
        <v>23</v>
      </c>
      <c r="D501" s="1" t="s">
        <v>24</v>
      </c>
      <c r="E501" s="1" t="str">
        <f>TRIM(CLEAN(Sheet1[[#This Row],[Category]]))</f>
        <v>Electronics</v>
      </c>
      <c r="F501">
        <v>4</v>
      </c>
      <c r="G501" t="str">
        <f t="shared" si="7"/>
        <v>2. Mid-Market (4-7 Units)</v>
      </c>
      <c r="H501">
        <v>4</v>
      </c>
      <c r="I501">
        <v>324.72000000000003</v>
      </c>
      <c r="J501">
        <f>IF(ISBLANK(I501), ROUND(I501/ABS(VALUE(_xlfn.TEXTBEFORE(F501&amp;" ", " "))), 2), ABS(VALUE(SUBSTITUTE(I501, "$", ""))))</f>
        <v>324.72000000000003</v>
      </c>
      <c r="K501">
        <f>ROUND(Sheet1[[#This Row],[CleanedUnits_sold]]*Sheet1[[#This Row],[Cleaned_Unit_Price]],2)</f>
        <v>1298.8800000000001</v>
      </c>
      <c r="L501">
        <v>1298.8800000000001</v>
      </c>
      <c r="M501" s="1" t="s">
        <v>976</v>
      </c>
      <c r="N501" s="1" t="s">
        <v>26</v>
      </c>
      <c r="O501" s="1" t="s">
        <v>976</v>
      </c>
    </row>
    <row r="502" spans="1:15" x14ac:dyDescent="0.35">
      <c r="A502" s="1" t="s">
        <v>977</v>
      </c>
      <c r="B502" s="2">
        <v>45086</v>
      </c>
      <c r="C502" s="1" t="s">
        <v>19</v>
      </c>
      <c r="D502" s="1" t="s">
        <v>24</v>
      </c>
      <c r="E502" s="1" t="str">
        <f>TRIM(CLEAN(Sheet1[[#This Row],[Category]]))</f>
        <v>Electronics</v>
      </c>
      <c r="F502">
        <v>6</v>
      </c>
      <c r="G502" t="str">
        <f t="shared" si="7"/>
        <v>2. Mid-Market (4-7 Units)</v>
      </c>
      <c r="H502">
        <v>6</v>
      </c>
      <c r="I502">
        <v>28.8</v>
      </c>
      <c r="J502">
        <f>IF(ISBLANK(I502), ROUND(I502/ABS(VALUE(_xlfn.TEXTBEFORE(F502&amp;" ", " "))), 2), ABS(VALUE(SUBSTITUTE(I502, "$", ""))))</f>
        <v>28.8</v>
      </c>
      <c r="K502">
        <f>ROUND(Sheet1[[#This Row],[CleanedUnits_sold]]*Sheet1[[#This Row],[Cleaned_Unit_Price]],2)</f>
        <v>172.8</v>
      </c>
      <c r="L502">
        <v>172.8</v>
      </c>
      <c r="M502" s="1" t="s">
        <v>978</v>
      </c>
      <c r="N502" s="1" t="s">
        <v>14</v>
      </c>
      <c r="O502" s="1" t="s">
        <v>978</v>
      </c>
    </row>
    <row r="503" spans="1:15" x14ac:dyDescent="0.35">
      <c r="A503" s="1" t="s">
        <v>979</v>
      </c>
      <c r="B503" s="2">
        <v>45263</v>
      </c>
      <c r="C503" s="1" t="s">
        <v>16</v>
      </c>
      <c r="D503" s="1" t="s">
        <v>12</v>
      </c>
      <c r="E503" s="1" t="str">
        <f>TRIM(CLEAN(Sheet1[[#This Row],[Category]]))</f>
        <v>Office Supplies</v>
      </c>
      <c r="F503">
        <v>6</v>
      </c>
      <c r="G503" t="str">
        <f t="shared" si="7"/>
        <v>2. Mid-Market (4-7 Units)</v>
      </c>
      <c r="H503">
        <v>6</v>
      </c>
      <c r="I503">
        <v>314.52</v>
      </c>
      <c r="J503">
        <f>IF(ISBLANK(I503), ROUND(I503/ABS(VALUE(_xlfn.TEXTBEFORE(F503&amp;" ", " "))), 2), ABS(VALUE(SUBSTITUTE(I503, "$", ""))))</f>
        <v>314.52</v>
      </c>
      <c r="K503">
        <f>ROUND(Sheet1[[#This Row],[CleanedUnits_sold]]*Sheet1[[#This Row],[Cleaned_Unit_Price]],2)</f>
        <v>1887.12</v>
      </c>
      <c r="L503">
        <v>1887.12</v>
      </c>
      <c r="M503" s="1" t="s">
        <v>980</v>
      </c>
      <c r="N503" s="1" t="s">
        <v>26</v>
      </c>
      <c r="O503" s="1" t="s">
        <v>980</v>
      </c>
    </row>
    <row r="504" spans="1:15" x14ac:dyDescent="0.35">
      <c r="A504" s="1" t="s">
        <v>981</v>
      </c>
      <c r="B504" s="2">
        <v>1</v>
      </c>
      <c r="C504" s="1" t="s">
        <v>16</v>
      </c>
      <c r="D504" s="1" t="s">
        <v>12</v>
      </c>
      <c r="E504" s="1" t="str">
        <f>TRIM(CLEAN(Sheet1[[#This Row],[Category]]))</f>
        <v>Office Supplies</v>
      </c>
      <c r="G504" t="str">
        <f t="shared" si="7"/>
        <v>1. Retail (1-3 Units)</v>
      </c>
      <c r="H504">
        <v>3</v>
      </c>
      <c r="I504">
        <v>391.16</v>
      </c>
      <c r="J504">
        <f>IF(ISBLANK(I504), ROUND(I504/ABS(VALUE(_xlfn.TEXTBEFORE(F504&amp;" ", " "))), 2), ABS(VALUE(SUBSTITUTE(I504, "$", ""))))</f>
        <v>391.16</v>
      </c>
      <c r="K504">
        <f>ROUND(Sheet1[[#This Row],[CleanedUnits_sold]]*Sheet1[[#This Row],[Cleaned_Unit_Price]],2)</f>
        <v>1173.48</v>
      </c>
      <c r="L504">
        <v>1173.48</v>
      </c>
      <c r="M504" s="1" t="s">
        <v>84</v>
      </c>
      <c r="N504" s="1" t="s">
        <v>14</v>
      </c>
      <c r="O504" s="1" t="s">
        <v>85</v>
      </c>
    </row>
    <row r="505" spans="1:15" x14ac:dyDescent="0.35">
      <c r="A505" s="1" t="s">
        <v>982</v>
      </c>
      <c r="B505" s="2">
        <v>44978</v>
      </c>
      <c r="C505" s="1" t="s">
        <v>11</v>
      </c>
      <c r="D505" s="1" t="s">
        <v>32</v>
      </c>
      <c r="E505" s="1" t="str">
        <f>TRIM(CLEAN(Sheet1[[#This Row],[Category]]))</f>
        <v>Furniture</v>
      </c>
      <c r="F505">
        <v>4</v>
      </c>
      <c r="G505" t="str">
        <f t="shared" si="7"/>
        <v>2. Mid-Market (4-7 Units)</v>
      </c>
      <c r="H505">
        <v>4</v>
      </c>
      <c r="I505">
        <v>255.18</v>
      </c>
      <c r="J505">
        <f>IF(ISBLANK(I505), ROUND(I505/ABS(VALUE(_xlfn.TEXTBEFORE(F505&amp;" ", " "))), 2), ABS(VALUE(SUBSTITUTE(I505, "$", ""))))</f>
        <v>255.18</v>
      </c>
      <c r="K505">
        <f>ROUND(Sheet1[[#This Row],[CleanedUnits_sold]]*Sheet1[[#This Row],[Cleaned_Unit_Price]],2)</f>
        <v>1020.72</v>
      </c>
      <c r="L505">
        <v>1020.72</v>
      </c>
      <c r="M505" s="1" t="s">
        <v>983</v>
      </c>
      <c r="N505" s="1" t="s">
        <v>26</v>
      </c>
      <c r="O505" s="1" t="s">
        <v>983</v>
      </c>
    </row>
    <row r="506" spans="1:15" x14ac:dyDescent="0.35">
      <c r="A506" s="1" t="s">
        <v>984</v>
      </c>
      <c r="B506" s="2">
        <v>1</v>
      </c>
      <c r="C506" s="1" t="s">
        <v>23</v>
      </c>
      <c r="D506" s="1" t="s">
        <v>24</v>
      </c>
      <c r="E506" s="1" t="str">
        <f>TRIM(CLEAN(Sheet1[[#This Row],[Category]]))</f>
        <v>Electronics</v>
      </c>
      <c r="F506">
        <v>6</v>
      </c>
      <c r="G506" t="str">
        <f t="shared" si="7"/>
        <v>2. Mid-Market (4-7 Units)</v>
      </c>
      <c r="H506">
        <v>6</v>
      </c>
      <c r="I506">
        <v>185.18</v>
      </c>
      <c r="J506">
        <f>IF(ISBLANK(I506), ROUND(I506/ABS(VALUE(_xlfn.TEXTBEFORE(F506&amp;" ", " "))), 2), ABS(VALUE(SUBSTITUTE(I506, "$", ""))))</f>
        <v>185.18</v>
      </c>
      <c r="K506">
        <f>ROUND(Sheet1[[#This Row],[CleanedUnits_sold]]*Sheet1[[#This Row],[Cleaned_Unit_Price]],2)</f>
        <v>1111.08</v>
      </c>
      <c r="L506">
        <v>1111.08</v>
      </c>
      <c r="M506" s="1" t="s">
        <v>985</v>
      </c>
      <c r="N506" s="1" t="s">
        <v>50</v>
      </c>
      <c r="O506" s="1" t="s">
        <v>985</v>
      </c>
    </row>
    <row r="507" spans="1:15" x14ac:dyDescent="0.35">
      <c r="A507" s="1" t="s">
        <v>986</v>
      </c>
      <c r="B507" s="2">
        <v>1</v>
      </c>
      <c r="C507" s="1" t="s">
        <v>16</v>
      </c>
      <c r="D507" s="1" t="s">
        <v>12</v>
      </c>
      <c r="E507" s="1" t="str">
        <f>TRIM(CLEAN(Sheet1[[#This Row],[Category]]))</f>
        <v>Office Supplies</v>
      </c>
      <c r="F507">
        <v>6</v>
      </c>
      <c r="G507" t="str">
        <f t="shared" si="7"/>
        <v>2. Mid-Market (4-7 Units)</v>
      </c>
      <c r="H507">
        <v>6</v>
      </c>
      <c r="I507">
        <v>145.94</v>
      </c>
      <c r="J507">
        <f>IF(ISBLANK(I507), ROUND(I507/ABS(VALUE(_xlfn.TEXTBEFORE(F507&amp;" ", " "))), 2), ABS(VALUE(SUBSTITUTE(I507, "$", ""))))</f>
        <v>145.94</v>
      </c>
      <c r="K507">
        <f>ROUND(Sheet1[[#This Row],[CleanedUnits_sold]]*Sheet1[[#This Row],[Cleaned_Unit_Price]],2)</f>
        <v>875.64</v>
      </c>
      <c r="L507">
        <v>1327</v>
      </c>
      <c r="M507" s="1" t="s">
        <v>987</v>
      </c>
      <c r="N507" s="1" t="s">
        <v>21</v>
      </c>
      <c r="O507" s="1" t="s">
        <v>987</v>
      </c>
    </row>
    <row r="508" spans="1:15" x14ac:dyDescent="0.35">
      <c r="A508" s="1" t="s">
        <v>988</v>
      </c>
      <c r="B508" s="2">
        <v>1</v>
      </c>
      <c r="C508" s="1" t="s">
        <v>19</v>
      </c>
      <c r="D508" s="1" t="s">
        <v>46</v>
      </c>
      <c r="E508" s="1" t="str">
        <f>TRIM(CLEAN(Sheet1[[#This Row],[Category]]))</f>
        <v>Furniture</v>
      </c>
      <c r="F508">
        <v>6</v>
      </c>
      <c r="G508" t="str">
        <f t="shared" si="7"/>
        <v>2. Mid-Market (4-7 Units)</v>
      </c>
      <c r="H508">
        <v>6</v>
      </c>
      <c r="I508">
        <v>324.97000000000003</v>
      </c>
      <c r="J508">
        <f>IF(ISBLANK(I508), ROUND(I508/ABS(VALUE(_xlfn.TEXTBEFORE(F508&amp;" ", " "))), 2), ABS(VALUE(SUBSTITUTE(I508, "$", ""))))</f>
        <v>324.97000000000003</v>
      </c>
      <c r="K508">
        <f>ROUND(Sheet1[[#This Row],[CleanedUnits_sold]]*Sheet1[[#This Row],[Cleaned_Unit_Price]],2)</f>
        <v>1949.82</v>
      </c>
      <c r="L508">
        <v>1949.82</v>
      </c>
      <c r="M508" s="1" t="s">
        <v>989</v>
      </c>
      <c r="N508" s="1" t="s">
        <v>14</v>
      </c>
      <c r="O508" s="1" t="s">
        <v>989</v>
      </c>
    </row>
    <row r="509" spans="1:15" x14ac:dyDescent="0.35">
      <c r="A509" s="1" t="s">
        <v>990</v>
      </c>
      <c r="B509" s="2">
        <v>44949</v>
      </c>
      <c r="C509" s="1" t="s">
        <v>58</v>
      </c>
      <c r="D509" s="1" t="s">
        <v>24</v>
      </c>
      <c r="E509" s="1" t="str">
        <f>TRIM(CLEAN(Sheet1[[#This Row],[Category]]))</f>
        <v>Electronics</v>
      </c>
      <c r="F509">
        <v>6</v>
      </c>
      <c r="G509" t="str">
        <f t="shared" si="7"/>
        <v>2. Mid-Market (4-7 Units)</v>
      </c>
      <c r="H509">
        <v>6</v>
      </c>
      <c r="I509">
        <v>349.47</v>
      </c>
      <c r="J509">
        <f>IF(ISBLANK(I509), ROUND(I509/ABS(VALUE(_xlfn.TEXTBEFORE(F509&amp;" ", " "))), 2), ABS(VALUE(SUBSTITUTE(I509, "$", ""))))</f>
        <v>349.47</v>
      </c>
      <c r="K509">
        <f>ROUND(Sheet1[[#This Row],[CleanedUnits_sold]]*Sheet1[[#This Row],[Cleaned_Unit_Price]],2)</f>
        <v>2096.8200000000002</v>
      </c>
      <c r="L509">
        <v>2550.9</v>
      </c>
      <c r="M509" s="1" t="s">
        <v>991</v>
      </c>
      <c r="N509" s="1" t="s">
        <v>21</v>
      </c>
      <c r="O509" s="1" t="s">
        <v>991</v>
      </c>
    </row>
    <row r="510" spans="1:15" x14ac:dyDescent="0.35">
      <c r="A510" s="1" t="s">
        <v>992</v>
      </c>
      <c r="B510" s="2">
        <v>45048</v>
      </c>
      <c r="C510" s="1" t="s">
        <v>58</v>
      </c>
      <c r="D510" s="1" t="s">
        <v>24</v>
      </c>
      <c r="E510" s="1" t="str">
        <f>TRIM(CLEAN(Sheet1[[#This Row],[Category]]))</f>
        <v>Electronics</v>
      </c>
      <c r="F510">
        <v>3</v>
      </c>
      <c r="G510" t="str">
        <f t="shared" si="7"/>
        <v>1. Retail (1-3 Units)</v>
      </c>
      <c r="H510">
        <v>3</v>
      </c>
      <c r="I510">
        <v>436.77</v>
      </c>
      <c r="J510">
        <f>IF(ISBLANK(I510), ROUND(I510/ABS(VALUE(_xlfn.TEXTBEFORE(F510&amp;" ", " "))), 2), ABS(VALUE(SUBSTITUTE(I510, "$", ""))))</f>
        <v>436.77</v>
      </c>
      <c r="K510">
        <f>ROUND(Sheet1[[#This Row],[CleanedUnits_sold]]*Sheet1[[#This Row],[Cleaned_Unit_Price]],2)</f>
        <v>1310.31</v>
      </c>
      <c r="L510">
        <v>1310.31</v>
      </c>
      <c r="M510" s="1"/>
      <c r="N510" s="1" t="s">
        <v>21</v>
      </c>
      <c r="O510" s="1" t="s">
        <v>131</v>
      </c>
    </row>
    <row r="511" spans="1:15" x14ac:dyDescent="0.35">
      <c r="A511" s="1" t="s">
        <v>993</v>
      </c>
      <c r="B511" s="2">
        <v>1</v>
      </c>
      <c r="C511" s="1" t="s">
        <v>11</v>
      </c>
      <c r="D511" s="1" t="s">
        <v>46</v>
      </c>
      <c r="E511" s="1" t="str">
        <f>TRIM(CLEAN(Sheet1[[#This Row],[Category]]))</f>
        <v>Furniture</v>
      </c>
      <c r="F511">
        <v>5</v>
      </c>
      <c r="G511" t="str">
        <f t="shared" si="7"/>
        <v>2. Mid-Market (4-7 Units)</v>
      </c>
      <c r="H511">
        <v>5</v>
      </c>
      <c r="I511">
        <v>177.74</v>
      </c>
      <c r="J511">
        <f>IF(ISBLANK(I511), ROUND(I511/ABS(VALUE(_xlfn.TEXTBEFORE(F511&amp;" ", " "))), 2), ABS(VALUE(SUBSTITUTE(I511, "$", ""))))</f>
        <v>177.74</v>
      </c>
      <c r="K511">
        <f>ROUND(Sheet1[[#This Row],[CleanedUnits_sold]]*Sheet1[[#This Row],[Cleaned_Unit_Price]],2)</f>
        <v>888.7</v>
      </c>
      <c r="L511">
        <v>888.7</v>
      </c>
      <c r="M511" s="1" t="s">
        <v>994</v>
      </c>
      <c r="N511" s="1" t="s">
        <v>14</v>
      </c>
      <c r="O511" s="1" t="s">
        <v>994</v>
      </c>
    </row>
    <row r="512" spans="1:15" x14ac:dyDescent="0.35">
      <c r="A512" s="1" t="s">
        <v>995</v>
      </c>
      <c r="B512" s="2">
        <v>45085</v>
      </c>
      <c r="C512" s="1" t="s">
        <v>23</v>
      </c>
      <c r="D512" s="1" t="s">
        <v>12</v>
      </c>
      <c r="E512" s="1" t="str">
        <f>TRIM(CLEAN(Sheet1[[#This Row],[Category]]))</f>
        <v>Office Supplies</v>
      </c>
      <c r="F512">
        <v>2</v>
      </c>
      <c r="G512" t="str">
        <f t="shared" si="7"/>
        <v>1. Retail (1-3 Units)</v>
      </c>
      <c r="H512">
        <v>2</v>
      </c>
      <c r="I512">
        <v>387.19</v>
      </c>
      <c r="J512">
        <f>IF(ISBLANK(I512), ROUND(I512/ABS(VALUE(_xlfn.TEXTBEFORE(F512&amp;" ", " "))), 2), ABS(VALUE(SUBSTITUTE(I512, "$", ""))))</f>
        <v>387.19</v>
      </c>
      <c r="K512">
        <f>ROUND(Sheet1[[#This Row],[CleanedUnits_sold]]*Sheet1[[#This Row],[Cleaned_Unit_Price]],2)</f>
        <v>774.38</v>
      </c>
      <c r="L512">
        <v>774.38</v>
      </c>
      <c r="M512" s="1" t="s">
        <v>996</v>
      </c>
      <c r="N512" s="1" t="s">
        <v>21</v>
      </c>
      <c r="O512" s="1" t="s">
        <v>996</v>
      </c>
    </row>
    <row r="513" spans="1:15" x14ac:dyDescent="0.35">
      <c r="A513" s="1" t="s">
        <v>997</v>
      </c>
      <c r="B513" s="2">
        <v>45026</v>
      </c>
      <c r="C513" s="1" t="s">
        <v>19</v>
      </c>
      <c r="D513" s="1" t="s">
        <v>24</v>
      </c>
      <c r="E513" s="1" t="str">
        <f>TRIM(CLEAN(Sheet1[[#This Row],[Category]]))</f>
        <v>Electronics</v>
      </c>
      <c r="F513">
        <v>5</v>
      </c>
      <c r="G513" t="str">
        <f t="shared" si="7"/>
        <v>2. Mid-Market (4-7 Units)</v>
      </c>
      <c r="H513">
        <v>5</v>
      </c>
      <c r="I513">
        <v>285.06</v>
      </c>
      <c r="J513">
        <f>IF(ISBLANK(I513), ROUND(I513/ABS(VALUE(_xlfn.TEXTBEFORE(F513&amp;" ", " "))), 2), ABS(VALUE(SUBSTITUTE(I513, "$", ""))))</f>
        <v>285.06</v>
      </c>
      <c r="K513">
        <f>ROUND(Sheet1[[#This Row],[CleanedUnits_sold]]*Sheet1[[#This Row],[Cleaned_Unit_Price]],2)</f>
        <v>1425.3</v>
      </c>
      <c r="L513">
        <v>1425.3</v>
      </c>
      <c r="M513" s="1" t="s">
        <v>998</v>
      </c>
      <c r="N513" s="1" t="s">
        <v>50</v>
      </c>
      <c r="O513" s="1" t="s">
        <v>998</v>
      </c>
    </row>
    <row r="514" spans="1:15" x14ac:dyDescent="0.35">
      <c r="A514" s="1" t="s">
        <v>999</v>
      </c>
      <c r="B514" s="2">
        <v>45219</v>
      </c>
      <c r="C514" s="1" t="s">
        <v>19</v>
      </c>
      <c r="D514" s="1" t="s">
        <v>12</v>
      </c>
      <c r="E514" s="1" t="str">
        <f>TRIM(CLEAN(Sheet1[[#This Row],[Category]]))</f>
        <v>Office Supplies</v>
      </c>
      <c r="F514">
        <v>3</v>
      </c>
      <c r="G514" t="str">
        <f t="shared" ref="G514:G577" si="8">IF(H514=0, "Non-Billable / Zero", IF(H514&lt;=3, "1. Retail (1-3 Units)", IF(H514&lt;=7, "2. Mid-Market (4-7 Units)", "3. Wholesale / Bulk (8+ Units)")))</f>
        <v>1. Retail (1-3 Units)</v>
      </c>
      <c r="H514">
        <v>3</v>
      </c>
      <c r="I514">
        <v>442.59</v>
      </c>
      <c r="J514">
        <f>IF(ISBLANK(I514), ROUND(I514/ABS(VALUE(_xlfn.TEXTBEFORE(F514&amp;" ", " "))), 2), ABS(VALUE(SUBSTITUTE(I514, "$", ""))))</f>
        <v>442.59</v>
      </c>
      <c r="K514">
        <f>ROUND(Sheet1[[#This Row],[CleanedUnits_sold]]*Sheet1[[#This Row],[Cleaned_Unit_Price]],2)</f>
        <v>1327.77</v>
      </c>
      <c r="L514">
        <v>1327.77</v>
      </c>
      <c r="M514" s="1" t="s">
        <v>1000</v>
      </c>
      <c r="N514" s="1" t="s">
        <v>21</v>
      </c>
      <c r="O514" s="1" t="s">
        <v>1000</v>
      </c>
    </row>
    <row r="515" spans="1:15" x14ac:dyDescent="0.35">
      <c r="A515" s="1" t="s">
        <v>1001</v>
      </c>
      <c r="B515" s="2">
        <v>45071</v>
      </c>
      <c r="C515" s="1" t="s">
        <v>58</v>
      </c>
      <c r="D515" s="1" t="s">
        <v>24</v>
      </c>
      <c r="E515" s="1" t="str">
        <f>TRIM(CLEAN(Sheet1[[#This Row],[Category]]))</f>
        <v>Electronics</v>
      </c>
      <c r="F515">
        <v>3</v>
      </c>
      <c r="G515" t="str">
        <f t="shared" si="8"/>
        <v>1. Retail (1-3 Units)</v>
      </c>
      <c r="H515">
        <v>3</v>
      </c>
      <c r="I515">
        <v>-171.95</v>
      </c>
      <c r="J515">
        <f>IF(ISBLANK(I515), ROUND(I515/ABS(VALUE(_xlfn.TEXTBEFORE(F515&amp;" ", " "))), 2), ABS(VALUE(SUBSTITUTE(I515, "$", ""))))</f>
        <v>171.95</v>
      </c>
      <c r="K515">
        <f>ROUND(Sheet1[[#This Row],[CleanedUnits_sold]]*Sheet1[[#This Row],[Cleaned_Unit_Price]],2)</f>
        <v>515.85</v>
      </c>
      <c r="L515">
        <v>805.89</v>
      </c>
      <c r="M515" s="1" t="s">
        <v>1002</v>
      </c>
      <c r="N515" s="1" t="s">
        <v>26</v>
      </c>
      <c r="O515" s="1" t="s">
        <v>1002</v>
      </c>
    </row>
    <row r="516" spans="1:15" x14ac:dyDescent="0.35">
      <c r="A516" s="1" t="s">
        <v>1003</v>
      </c>
      <c r="B516" s="2">
        <v>44993</v>
      </c>
      <c r="C516" s="1" t="s">
        <v>16</v>
      </c>
      <c r="D516" s="1" t="s">
        <v>12</v>
      </c>
      <c r="E516" s="1" t="str">
        <f>TRIM(CLEAN(Sheet1[[#This Row],[Category]]))</f>
        <v>Office Supplies</v>
      </c>
      <c r="F516">
        <v>5</v>
      </c>
      <c r="G516" t="str">
        <f t="shared" si="8"/>
        <v>2. Mid-Market (4-7 Units)</v>
      </c>
      <c r="H516">
        <v>5</v>
      </c>
      <c r="I516">
        <v>263.64</v>
      </c>
      <c r="J516">
        <f>IF(ISBLANK(I516), ROUND(I516/ABS(VALUE(_xlfn.TEXTBEFORE(F516&amp;" ", " "))), 2), ABS(VALUE(SUBSTITUTE(I516, "$", ""))))</f>
        <v>263.64</v>
      </c>
      <c r="K516">
        <f>ROUND(Sheet1[[#This Row],[CleanedUnits_sold]]*Sheet1[[#This Row],[Cleaned_Unit_Price]],2)</f>
        <v>1318.2</v>
      </c>
      <c r="L516">
        <v>1318.2</v>
      </c>
      <c r="M516" s="1" t="s">
        <v>1004</v>
      </c>
      <c r="N516" s="1" t="s">
        <v>21</v>
      </c>
      <c r="O516" s="1" t="s">
        <v>1004</v>
      </c>
    </row>
    <row r="517" spans="1:15" x14ac:dyDescent="0.35">
      <c r="A517" s="1" t="s">
        <v>1005</v>
      </c>
      <c r="B517" s="2">
        <v>45088</v>
      </c>
      <c r="C517" s="1" t="s">
        <v>23</v>
      </c>
      <c r="D517" s="1" t="s">
        <v>12</v>
      </c>
      <c r="E517" s="1" t="str">
        <f>TRIM(CLEAN(Sheet1[[#This Row],[Category]]))</f>
        <v>Office Supplies</v>
      </c>
      <c r="F517">
        <v>11</v>
      </c>
      <c r="G517" t="str">
        <f t="shared" si="8"/>
        <v>3. Wholesale / Bulk (8+ Units)</v>
      </c>
      <c r="H517">
        <v>11</v>
      </c>
      <c r="I517">
        <v>293.16000000000003</v>
      </c>
      <c r="J517">
        <f>IF(ISBLANK(I517), ROUND(I517/ABS(VALUE(_xlfn.TEXTBEFORE(F517&amp;" ", " "))), 2), ABS(VALUE(SUBSTITUTE(I517, "$", ""))))</f>
        <v>293.16000000000003</v>
      </c>
      <c r="K517">
        <f>ROUND(Sheet1[[#This Row],[CleanedUnits_sold]]*Sheet1[[#This Row],[Cleaned_Unit_Price]],2)</f>
        <v>3224.76</v>
      </c>
      <c r="L517">
        <v>3224.76</v>
      </c>
      <c r="M517" s="1" t="s">
        <v>1006</v>
      </c>
      <c r="N517" s="1" t="s">
        <v>14</v>
      </c>
      <c r="O517" s="1" t="s">
        <v>1006</v>
      </c>
    </row>
    <row r="518" spans="1:15" x14ac:dyDescent="0.35">
      <c r="A518" s="1" t="s">
        <v>1007</v>
      </c>
      <c r="B518" s="2">
        <v>44953</v>
      </c>
      <c r="C518" s="1" t="s">
        <v>11</v>
      </c>
      <c r="D518" s="1" t="s">
        <v>12</v>
      </c>
      <c r="E518" s="1" t="str">
        <f>TRIM(CLEAN(Sheet1[[#This Row],[Category]]))</f>
        <v>Office Supplies</v>
      </c>
      <c r="F518">
        <v>7</v>
      </c>
      <c r="G518" t="str">
        <f t="shared" si="8"/>
        <v>2. Mid-Market (4-7 Units)</v>
      </c>
      <c r="H518">
        <v>7</v>
      </c>
      <c r="I518">
        <v>377.16</v>
      </c>
      <c r="J518">
        <f>IF(ISBLANK(I518), ROUND(I518/ABS(VALUE(_xlfn.TEXTBEFORE(F518&amp;" ", " "))), 2), ABS(VALUE(SUBSTITUTE(I518, "$", ""))))</f>
        <v>377.16</v>
      </c>
      <c r="K518">
        <f>ROUND(Sheet1[[#This Row],[CleanedUnits_sold]]*Sheet1[[#This Row],[Cleaned_Unit_Price]],2)</f>
        <v>2640.12</v>
      </c>
      <c r="L518">
        <v>2640.12</v>
      </c>
      <c r="M518" s="1" t="s">
        <v>1008</v>
      </c>
      <c r="N518" s="1" t="s">
        <v>50</v>
      </c>
      <c r="O518" s="1" t="s">
        <v>1008</v>
      </c>
    </row>
    <row r="519" spans="1:15" x14ac:dyDescent="0.35">
      <c r="A519" s="1" t="s">
        <v>1009</v>
      </c>
      <c r="B519" s="2">
        <v>45210</v>
      </c>
      <c r="C519" s="1" t="s">
        <v>19</v>
      </c>
      <c r="D519" s="1" t="s">
        <v>24</v>
      </c>
      <c r="E519" s="1" t="str">
        <f>TRIM(CLEAN(Sheet1[[#This Row],[Category]]))</f>
        <v>Electronics</v>
      </c>
      <c r="F519">
        <v>9999</v>
      </c>
      <c r="G519" t="str">
        <f t="shared" si="8"/>
        <v>2. Mid-Market (4-7 Units)</v>
      </c>
      <c r="H519">
        <v>5</v>
      </c>
      <c r="I519">
        <v>482.7</v>
      </c>
      <c r="J519">
        <f>IF(ISBLANK(I519), ROUND(I519/ABS(VALUE(_xlfn.TEXTBEFORE(F519&amp;" ", " "))), 2), ABS(VALUE(SUBSTITUTE(I519, "$", ""))))</f>
        <v>482.7</v>
      </c>
      <c r="K519">
        <f>ROUND(Sheet1[[#This Row],[CleanedUnits_sold]]*Sheet1[[#This Row],[Cleaned_Unit_Price]],2)</f>
        <v>2413.5</v>
      </c>
      <c r="L519">
        <v>3378.9</v>
      </c>
      <c r="M519" s="1" t="s">
        <v>1010</v>
      </c>
      <c r="N519" s="1" t="s">
        <v>14</v>
      </c>
      <c r="O519" s="1" t="s">
        <v>1010</v>
      </c>
    </row>
    <row r="520" spans="1:15" x14ac:dyDescent="0.35">
      <c r="A520" s="1" t="s">
        <v>1011</v>
      </c>
      <c r="B520" s="2">
        <v>45191</v>
      </c>
      <c r="C520" s="1" t="s">
        <v>23</v>
      </c>
      <c r="D520" s="1" t="s">
        <v>32</v>
      </c>
      <c r="E520" s="1" t="str">
        <f>TRIM(CLEAN(Sheet1[[#This Row],[Category]]))</f>
        <v>Furniture</v>
      </c>
      <c r="F520">
        <v>4</v>
      </c>
      <c r="G520" t="str">
        <f t="shared" si="8"/>
        <v>2. Mid-Market (4-7 Units)</v>
      </c>
      <c r="H520">
        <v>4</v>
      </c>
      <c r="I520">
        <v>46.05</v>
      </c>
      <c r="J520">
        <f>IF(ISBLANK(I520), ROUND(I520/ABS(VALUE(_xlfn.TEXTBEFORE(F520&amp;" ", " "))), 2), ABS(VALUE(SUBSTITUTE(I520, "$", ""))))</f>
        <v>46.05</v>
      </c>
      <c r="K520">
        <f>ROUND(Sheet1[[#This Row],[CleanedUnits_sold]]*Sheet1[[#This Row],[Cleaned_Unit_Price]],2)</f>
        <v>184.2</v>
      </c>
      <c r="L520">
        <v>184.2</v>
      </c>
      <c r="M520" s="1" t="s">
        <v>1012</v>
      </c>
      <c r="N520" s="1" t="s">
        <v>14</v>
      </c>
      <c r="O520" s="1" t="s">
        <v>1012</v>
      </c>
    </row>
    <row r="521" spans="1:15" x14ac:dyDescent="0.35">
      <c r="A521" s="1" t="s">
        <v>1013</v>
      </c>
      <c r="B521" s="2">
        <v>45009</v>
      </c>
      <c r="C521" s="1" t="s">
        <v>23</v>
      </c>
      <c r="D521" s="1" t="s">
        <v>24</v>
      </c>
      <c r="E521" s="1" t="str">
        <f>TRIM(CLEAN(Sheet1[[#This Row],[Category]]))</f>
        <v>Electronics</v>
      </c>
      <c r="F521">
        <v>1</v>
      </c>
      <c r="G521" t="str">
        <f t="shared" si="8"/>
        <v>1. Retail (1-3 Units)</v>
      </c>
      <c r="H521">
        <v>1</v>
      </c>
      <c r="I521">
        <v>36.18</v>
      </c>
      <c r="J521">
        <f>IF(ISBLANK(I521), ROUND(I521/ABS(VALUE(_xlfn.TEXTBEFORE(F521&amp;" ", " "))), 2), ABS(VALUE(SUBSTITUTE(I521, "$", ""))))</f>
        <v>36.18</v>
      </c>
      <c r="K521">
        <f>ROUND(Sheet1[[#This Row],[CleanedUnits_sold]]*Sheet1[[#This Row],[Cleaned_Unit_Price]],2)</f>
        <v>36.18</v>
      </c>
      <c r="L521">
        <v>36.18</v>
      </c>
      <c r="M521" s="1" t="s">
        <v>1014</v>
      </c>
      <c r="N521" s="1" t="s">
        <v>14</v>
      </c>
      <c r="O521" s="1" t="s">
        <v>1014</v>
      </c>
    </row>
    <row r="522" spans="1:15" x14ac:dyDescent="0.35">
      <c r="A522" s="1" t="s">
        <v>1015</v>
      </c>
      <c r="B522" s="2">
        <v>1</v>
      </c>
      <c r="C522" s="1" t="s">
        <v>16</v>
      </c>
      <c r="D522" s="1" t="s">
        <v>24</v>
      </c>
      <c r="E522" s="1" t="str">
        <f>TRIM(CLEAN(Sheet1[[#This Row],[Category]]))</f>
        <v>Electronics</v>
      </c>
      <c r="F522">
        <v>4</v>
      </c>
      <c r="G522" t="str">
        <f t="shared" si="8"/>
        <v>2. Mid-Market (4-7 Units)</v>
      </c>
      <c r="H522">
        <v>4</v>
      </c>
      <c r="I522">
        <v>469.4</v>
      </c>
      <c r="J522">
        <f>IF(ISBLANK(I522), ROUND(I522/ABS(VALUE(_xlfn.TEXTBEFORE(F522&amp;" ", " "))), 2), ABS(VALUE(SUBSTITUTE(I522, "$", ""))))</f>
        <v>469.4</v>
      </c>
      <c r="K522">
        <f>ROUND(Sheet1[[#This Row],[CleanedUnits_sold]]*Sheet1[[#This Row],[Cleaned_Unit_Price]],2)</f>
        <v>1877.6</v>
      </c>
      <c r="M522" s="1" t="s">
        <v>1016</v>
      </c>
      <c r="N522" s="1" t="s">
        <v>26</v>
      </c>
      <c r="O522" s="1" t="s">
        <v>1016</v>
      </c>
    </row>
    <row r="523" spans="1:15" x14ac:dyDescent="0.35">
      <c r="A523" s="1" t="s">
        <v>1017</v>
      </c>
      <c r="B523" s="2">
        <v>1</v>
      </c>
      <c r="C523" s="1" t="s">
        <v>19</v>
      </c>
      <c r="D523" s="1" t="s">
        <v>32</v>
      </c>
      <c r="E523" s="1" t="str">
        <f>TRIM(CLEAN(Sheet1[[#This Row],[Category]]))</f>
        <v>Furniture</v>
      </c>
      <c r="F523">
        <v>5</v>
      </c>
      <c r="G523" t="str">
        <f t="shared" si="8"/>
        <v>2. Mid-Market (4-7 Units)</v>
      </c>
      <c r="H523">
        <v>5</v>
      </c>
      <c r="I523">
        <v>269.64</v>
      </c>
      <c r="J523">
        <f>IF(ISBLANK(I523), ROUND(I523/ABS(VALUE(_xlfn.TEXTBEFORE(F523&amp;" ", " "))), 2), ABS(VALUE(SUBSTITUTE(I523, "$", ""))))</f>
        <v>269.64</v>
      </c>
      <c r="K523">
        <f>ROUND(Sheet1[[#This Row],[CleanedUnits_sold]]*Sheet1[[#This Row],[Cleaned_Unit_Price]],2)</f>
        <v>1348.2</v>
      </c>
      <c r="L523">
        <v>1348.2</v>
      </c>
      <c r="M523" s="1" t="s">
        <v>1018</v>
      </c>
      <c r="N523" s="1" t="s">
        <v>14</v>
      </c>
      <c r="O523" s="1" t="s">
        <v>1018</v>
      </c>
    </row>
    <row r="524" spans="1:15" x14ac:dyDescent="0.35">
      <c r="A524" s="1" t="s">
        <v>1019</v>
      </c>
      <c r="B524" s="2">
        <v>45105</v>
      </c>
      <c r="C524" s="1" t="s">
        <v>58</v>
      </c>
      <c r="D524" s="1" t="s">
        <v>24</v>
      </c>
      <c r="E524" s="1" t="str">
        <f>TRIM(CLEAN(Sheet1[[#This Row],[Category]]))</f>
        <v>Electronics</v>
      </c>
      <c r="F524">
        <v>4</v>
      </c>
      <c r="G524" t="str">
        <f t="shared" si="8"/>
        <v>2. Mid-Market (4-7 Units)</v>
      </c>
      <c r="H524">
        <v>4</v>
      </c>
      <c r="I524">
        <v>311.3</v>
      </c>
      <c r="J524">
        <f>IF(ISBLANK(I524), ROUND(I524/ABS(VALUE(_xlfn.TEXTBEFORE(F524&amp;" ", " "))), 2), ABS(VALUE(SUBSTITUTE(I524, "$", ""))))</f>
        <v>311.3</v>
      </c>
      <c r="K524">
        <f>ROUND(Sheet1[[#This Row],[CleanedUnits_sold]]*Sheet1[[#This Row],[Cleaned_Unit_Price]],2)</f>
        <v>1245.2</v>
      </c>
      <c r="L524">
        <v>1245.2</v>
      </c>
      <c r="M524" s="1" t="s">
        <v>1020</v>
      </c>
      <c r="N524" s="1" t="s">
        <v>21</v>
      </c>
      <c r="O524" s="1" t="s">
        <v>1020</v>
      </c>
    </row>
    <row r="525" spans="1:15" x14ac:dyDescent="0.35">
      <c r="A525" s="1" t="s">
        <v>1021</v>
      </c>
      <c r="B525" s="2">
        <v>45129</v>
      </c>
      <c r="C525" s="1" t="s">
        <v>16</v>
      </c>
      <c r="D525" s="1" t="s">
        <v>46</v>
      </c>
      <c r="E525" s="1" t="str">
        <f>TRIM(CLEAN(Sheet1[[#This Row],[Category]]))</f>
        <v>Furniture</v>
      </c>
      <c r="F525">
        <v>4</v>
      </c>
      <c r="G525" t="str">
        <f t="shared" si="8"/>
        <v>2. Mid-Market (4-7 Units)</v>
      </c>
      <c r="H525">
        <v>4</v>
      </c>
      <c r="I525">
        <v>246.39</v>
      </c>
      <c r="J525">
        <f>IF(ISBLANK(I525), ROUND(I525/ABS(VALUE(_xlfn.TEXTBEFORE(F525&amp;" ", " "))), 2), ABS(VALUE(SUBSTITUTE(I525, "$", ""))))</f>
        <v>246.39</v>
      </c>
      <c r="K525">
        <f>ROUND(Sheet1[[#This Row],[CleanedUnits_sold]]*Sheet1[[#This Row],[Cleaned_Unit_Price]],2)</f>
        <v>985.56</v>
      </c>
      <c r="L525">
        <v>985.56</v>
      </c>
      <c r="M525" s="1" t="s">
        <v>1022</v>
      </c>
      <c r="N525" s="1" t="s">
        <v>50</v>
      </c>
      <c r="O525" s="1" t="s">
        <v>1022</v>
      </c>
    </row>
    <row r="526" spans="1:15" x14ac:dyDescent="0.35">
      <c r="A526" s="1" t="s">
        <v>1023</v>
      </c>
      <c r="B526" s="2">
        <v>44968</v>
      </c>
      <c r="C526" s="1" t="s">
        <v>16</v>
      </c>
      <c r="D526" s="1" t="s">
        <v>24</v>
      </c>
      <c r="E526" s="1" t="str">
        <f>TRIM(CLEAN(Sheet1[[#This Row],[Category]]))</f>
        <v>Electronics</v>
      </c>
      <c r="F526">
        <v>7</v>
      </c>
      <c r="G526" t="str">
        <f t="shared" si="8"/>
        <v>2. Mid-Market (4-7 Units)</v>
      </c>
      <c r="H526">
        <v>7</v>
      </c>
      <c r="I526">
        <v>55.89</v>
      </c>
      <c r="J526">
        <f>IF(ISBLANK(I526), ROUND(I526/ABS(VALUE(_xlfn.TEXTBEFORE(F526&amp;" ", " "))), 2), ABS(VALUE(SUBSTITUTE(I526, "$", ""))))</f>
        <v>55.89</v>
      </c>
      <c r="K526">
        <f>ROUND(Sheet1[[#This Row],[CleanedUnits_sold]]*Sheet1[[#This Row],[Cleaned_Unit_Price]],2)</f>
        <v>391.23</v>
      </c>
      <c r="L526">
        <v>391.23</v>
      </c>
      <c r="M526" s="1" t="s">
        <v>1024</v>
      </c>
      <c r="N526" s="1" t="s">
        <v>26</v>
      </c>
      <c r="O526" s="1" t="s">
        <v>1024</v>
      </c>
    </row>
    <row r="527" spans="1:15" x14ac:dyDescent="0.35">
      <c r="A527" s="1" t="s">
        <v>1025</v>
      </c>
      <c r="B527" s="2">
        <v>45090</v>
      </c>
      <c r="C527" s="1" t="s">
        <v>16</v>
      </c>
      <c r="D527" s="1" t="s">
        <v>24</v>
      </c>
      <c r="E527" s="1" t="str">
        <f>TRIM(CLEAN(Sheet1[[#This Row],[Category]]))</f>
        <v>Electronics</v>
      </c>
      <c r="F527">
        <v>6</v>
      </c>
      <c r="G527" t="str">
        <f t="shared" si="8"/>
        <v>2. Mid-Market (4-7 Units)</v>
      </c>
      <c r="H527">
        <v>6</v>
      </c>
      <c r="I527">
        <v>386.36</v>
      </c>
      <c r="J527">
        <f>IF(ISBLANK(I527), ROUND(I527/ABS(VALUE(_xlfn.TEXTBEFORE(F527&amp;" ", " "))), 2), ABS(VALUE(SUBSTITUTE(I527, "$", ""))))</f>
        <v>386.36</v>
      </c>
      <c r="K527">
        <f>ROUND(Sheet1[[#This Row],[CleanedUnits_sold]]*Sheet1[[#This Row],[Cleaned_Unit_Price]],2)</f>
        <v>2318.16</v>
      </c>
      <c r="L527">
        <v>2760.47</v>
      </c>
      <c r="M527" s="1" t="s">
        <v>1026</v>
      </c>
      <c r="N527" s="1" t="s">
        <v>26</v>
      </c>
      <c r="O527" s="1" t="s">
        <v>1026</v>
      </c>
    </row>
    <row r="528" spans="1:15" x14ac:dyDescent="0.35">
      <c r="A528" s="1" t="s">
        <v>1027</v>
      </c>
      <c r="B528" s="2">
        <v>45259</v>
      </c>
      <c r="C528" s="1" t="s">
        <v>19</v>
      </c>
      <c r="D528" s="1" t="s">
        <v>46</v>
      </c>
      <c r="E528" s="1" t="str">
        <f>TRIM(CLEAN(Sheet1[[#This Row],[Category]]))</f>
        <v>Furniture</v>
      </c>
      <c r="F528">
        <v>9999</v>
      </c>
      <c r="G528" t="str">
        <f t="shared" si="8"/>
        <v>2. Mid-Market (4-7 Units)</v>
      </c>
      <c r="H528">
        <v>5</v>
      </c>
      <c r="I528">
        <v>376.14</v>
      </c>
      <c r="J528">
        <f>IF(ISBLANK(I528), ROUND(I528/ABS(VALUE(_xlfn.TEXTBEFORE(F528&amp;" ", " "))), 2), ABS(VALUE(SUBSTITUTE(I528, "$", ""))))</f>
        <v>376.14</v>
      </c>
      <c r="K528">
        <f>ROUND(Sheet1[[#This Row],[CleanedUnits_sold]]*Sheet1[[#This Row],[Cleaned_Unit_Price]],2)</f>
        <v>1880.7</v>
      </c>
      <c r="L528">
        <v>3009.12</v>
      </c>
      <c r="M528" s="1" t="s">
        <v>1028</v>
      </c>
      <c r="N528" s="1" t="s">
        <v>14</v>
      </c>
      <c r="O528" s="1" t="s">
        <v>1028</v>
      </c>
    </row>
    <row r="529" spans="1:15" x14ac:dyDescent="0.35">
      <c r="A529" s="1" t="s">
        <v>1029</v>
      </c>
      <c r="B529" s="2">
        <v>44997</v>
      </c>
      <c r="C529" s="1" t="s">
        <v>19</v>
      </c>
      <c r="D529" s="1" t="s">
        <v>12</v>
      </c>
      <c r="E529" s="1" t="str">
        <f>TRIM(CLEAN(Sheet1[[#This Row],[Category]]))</f>
        <v>Office Supplies</v>
      </c>
      <c r="F529">
        <v>4</v>
      </c>
      <c r="G529" t="str">
        <f t="shared" si="8"/>
        <v>2. Mid-Market (4-7 Units)</v>
      </c>
      <c r="H529">
        <v>4</v>
      </c>
      <c r="I529">
        <v>162.72999999999999</v>
      </c>
      <c r="J529">
        <f>IF(ISBLANK(I529), ROUND(I529/ABS(VALUE(_xlfn.TEXTBEFORE(F529&amp;" ", " "))), 2), ABS(VALUE(SUBSTITUTE(I529, "$", ""))))</f>
        <v>162.72999999999999</v>
      </c>
      <c r="K529">
        <f>ROUND(Sheet1[[#This Row],[CleanedUnits_sold]]*Sheet1[[#This Row],[Cleaned_Unit_Price]],2)</f>
        <v>650.91999999999996</v>
      </c>
      <c r="L529">
        <v>650.91999999999996</v>
      </c>
      <c r="M529" s="1" t="s">
        <v>1030</v>
      </c>
      <c r="N529" s="1" t="s">
        <v>50</v>
      </c>
      <c r="O529" s="1" t="s">
        <v>1030</v>
      </c>
    </row>
    <row r="530" spans="1:15" x14ac:dyDescent="0.35">
      <c r="A530" s="1" t="s">
        <v>1031</v>
      </c>
      <c r="B530" s="2">
        <v>1</v>
      </c>
      <c r="C530" s="1" t="s">
        <v>19</v>
      </c>
      <c r="D530" s="1" t="s">
        <v>46</v>
      </c>
      <c r="E530" s="1" t="str">
        <f>TRIM(CLEAN(Sheet1[[#This Row],[Category]]))</f>
        <v>Furniture</v>
      </c>
      <c r="G530" t="str">
        <f t="shared" si="8"/>
        <v>1. Retail (1-3 Units)</v>
      </c>
      <c r="H530">
        <v>3</v>
      </c>
      <c r="I530">
        <v>160.06</v>
      </c>
      <c r="J530">
        <f>IF(ISBLANK(I530), ROUND(I530/ABS(VALUE(_xlfn.TEXTBEFORE(F530&amp;" ", " "))), 2), ABS(VALUE(SUBSTITUTE(I530, "$", ""))))</f>
        <v>160.06</v>
      </c>
      <c r="K530">
        <f>ROUND(Sheet1[[#This Row],[CleanedUnits_sold]]*Sheet1[[#This Row],[Cleaned_Unit_Price]],2)</f>
        <v>480.18</v>
      </c>
      <c r="L530">
        <v>480.18</v>
      </c>
      <c r="M530" s="1" t="s">
        <v>1032</v>
      </c>
      <c r="N530" s="1" t="s">
        <v>26</v>
      </c>
      <c r="O530" s="1" t="s">
        <v>1032</v>
      </c>
    </row>
    <row r="531" spans="1:15" x14ac:dyDescent="0.35">
      <c r="A531" s="1" t="s">
        <v>1033</v>
      </c>
      <c r="B531" s="2">
        <v>45167</v>
      </c>
      <c r="C531" s="1" t="s">
        <v>16</v>
      </c>
      <c r="D531" s="1" t="s">
        <v>46</v>
      </c>
      <c r="E531" s="1" t="str">
        <f>TRIM(CLEAN(Sheet1[[#This Row],[Category]]))</f>
        <v>Furniture</v>
      </c>
      <c r="F531">
        <v>0</v>
      </c>
      <c r="G531" t="str">
        <f t="shared" si="8"/>
        <v>Non-Billable / Zero</v>
      </c>
      <c r="H531">
        <v>0</v>
      </c>
      <c r="I531">
        <v>420.54</v>
      </c>
      <c r="J531">
        <f>IF(ISBLANK(I531), ROUND(I531/ABS(VALUE(_xlfn.TEXTBEFORE(F531&amp;" ", " "))), 2), ABS(VALUE(SUBSTITUTE(I531, "$", ""))))</f>
        <v>420.54</v>
      </c>
      <c r="K531">
        <f>ROUND(Sheet1[[#This Row],[CleanedUnits_sold]]*Sheet1[[#This Row],[Cleaned_Unit_Price]],2)</f>
        <v>0</v>
      </c>
      <c r="L531">
        <v>0</v>
      </c>
      <c r="M531" s="1" t="s">
        <v>1034</v>
      </c>
      <c r="N531" s="1" t="s">
        <v>50</v>
      </c>
      <c r="O531" s="1" t="s">
        <v>1034</v>
      </c>
    </row>
    <row r="532" spans="1:15" x14ac:dyDescent="0.35">
      <c r="A532" s="1" t="s">
        <v>1035</v>
      </c>
      <c r="B532" s="2">
        <v>45003</v>
      </c>
      <c r="C532" s="1" t="s">
        <v>19</v>
      </c>
      <c r="D532" s="1" t="s">
        <v>24</v>
      </c>
      <c r="E532" s="1" t="str">
        <f>TRIM(CLEAN(Sheet1[[#This Row],[Category]]))</f>
        <v>Electronics</v>
      </c>
      <c r="F532">
        <v>1</v>
      </c>
      <c r="G532" t="str">
        <f t="shared" si="8"/>
        <v>1. Retail (1-3 Units)</v>
      </c>
      <c r="H532">
        <v>1</v>
      </c>
      <c r="J532">
        <f>IF(ISBLANK(I532), ROUND(I532/ABS(VALUE(_xlfn.TEXTBEFORE(F532&amp;" ", " "))), 2), ABS(VALUE(SUBSTITUTE(I532, "$", ""))))</f>
        <v>0</v>
      </c>
      <c r="K532">
        <f>ROUND(Sheet1[[#This Row],[CleanedUnits_sold]]*Sheet1[[#This Row],[Cleaned_Unit_Price]],2)</f>
        <v>0</v>
      </c>
      <c r="L532">
        <v>441.74</v>
      </c>
      <c r="M532" s="1" t="s">
        <v>1036</v>
      </c>
      <c r="N532" s="1" t="s">
        <v>50</v>
      </c>
      <c r="O532" s="1" t="s">
        <v>1036</v>
      </c>
    </row>
    <row r="533" spans="1:15" x14ac:dyDescent="0.35">
      <c r="A533" s="1" t="s">
        <v>1037</v>
      </c>
      <c r="B533" s="2">
        <v>1</v>
      </c>
      <c r="C533" s="1" t="s">
        <v>23</v>
      </c>
      <c r="D533" s="1" t="s">
        <v>12</v>
      </c>
      <c r="E533" s="1" t="str">
        <f>TRIM(CLEAN(Sheet1[[#This Row],[Category]]))</f>
        <v>Office Supplies</v>
      </c>
      <c r="F533">
        <v>4</v>
      </c>
      <c r="G533" t="str">
        <f t="shared" si="8"/>
        <v>2. Mid-Market (4-7 Units)</v>
      </c>
      <c r="H533">
        <v>4</v>
      </c>
      <c r="I533">
        <v>135.76</v>
      </c>
      <c r="J533">
        <f>IF(ISBLANK(I533), ROUND(I533/ABS(VALUE(_xlfn.TEXTBEFORE(F533&amp;" ", " "))), 2), ABS(VALUE(SUBSTITUTE(I533, "$", ""))))</f>
        <v>135.76</v>
      </c>
      <c r="K533">
        <f>ROUND(Sheet1[[#This Row],[CleanedUnits_sold]]*Sheet1[[#This Row],[Cleaned_Unit_Price]],2)</f>
        <v>543.04</v>
      </c>
      <c r="L533">
        <v>543.04</v>
      </c>
      <c r="M533" s="1" t="s">
        <v>1038</v>
      </c>
      <c r="N533" s="1" t="s">
        <v>38</v>
      </c>
      <c r="O533" s="1" t="s">
        <v>1038</v>
      </c>
    </row>
    <row r="534" spans="1:15" x14ac:dyDescent="0.35">
      <c r="A534" s="1" t="s">
        <v>1039</v>
      </c>
      <c r="B534" s="2">
        <v>1</v>
      </c>
      <c r="C534" s="1" t="s">
        <v>11</v>
      </c>
      <c r="D534" s="1" t="s">
        <v>24</v>
      </c>
      <c r="E534" s="1" t="str">
        <f>TRIM(CLEAN(Sheet1[[#This Row],[Category]]))</f>
        <v>Electronics</v>
      </c>
      <c r="F534">
        <v>3</v>
      </c>
      <c r="G534" t="str">
        <f t="shared" si="8"/>
        <v>1. Retail (1-3 Units)</v>
      </c>
      <c r="H534">
        <v>3</v>
      </c>
      <c r="I534">
        <v>300.56</v>
      </c>
      <c r="J534">
        <f>IF(ISBLANK(I534), ROUND(I534/ABS(VALUE(_xlfn.TEXTBEFORE(F534&amp;" ", " "))), 2), ABS(VALUE(SUBSTITUTE(I534, "$", ""))))</f>
        <v>300.56</v>
      </c>
      <c r="K534">
        <f>ROUND(Sheet1[[#This Row],[CleanedUnits_sold]]*Sheet1[[#This Row],[Cleaned_Unit_Price]],2)</f>
        <v>901.68</v>
      </c>
      <c r="L534">
        <v>901.68</v>
      </c>
      <c r="M534" s="1" t="s">
        <v>1040</v>
      </c>
      <c r="N534" s="1" t="s">
        <v>38</v>
      </c>
      <c r="O534" s="1" t="s">
        <v>1040</v>
      </c>
    </row>
    <row r="535" spans="1:15" x14ac:dyDescent="0.35">
      <c r="A535" s="1" t="s">
        <v>1041</v>
      </c>
      <c r="B535" s="2">
        <v>45245</v>
      </c>
      <c r="C535" s="1" t="s">
        <v>23</v>
      </c>
      <c r="D535" s="1" t="s">
        <v>12</v>
      </c>
      <c r="E535" s="1" t="str">
        <f>TRIM(CLEAN(Sheet1[[#This Row],[Category]]))</f>
        <v>Office Supplies</v>
      </c>
      <c r="F535">
        <v>5</v>
      </c>
      <c r="G535" t="str">
        <f t="shared" si="8"/>
        <v>2. Mid-Market (4-7 Units)</v>
      </c>
      <c r="H535">
        <v>5</v>
      </c>
      <c r="I535">
        <v>468.64</v>
      </c>
      <c r="J535">
        <f>IF(ISBLANK(I535), ROUND(I535/ABS(VALUE(_xlfn.TEXTBEFORE(F535&amp;" ", " "))), 2), ABS(VALUE(SUBSTITUTE(I535, "$", ""))))</f>
        <v>468.64</v>
      </c>
      <c r="K535">
        <f>ROUND(Sheet1[[#This Row],[CleanedUnits_sold]]*Sheet1[[#This Row],[Cleaned_Unit_Price]],2)</f>
        <v>2343.1999999999998</v>
      </c>
      <c r="L535">
        <v>2343.1999999999998</v>
      </c>
      <c r="M535" s="1" t="s">
        <v>1042</v>
      </c>
      <c r="N535" s="1" t="s">
        <v>50</v>
      </c>
      <c r="O535" s="1" t="s">
        <v>1042</v>
      </c>
    </row>
    <row r="536" spans="1:15" x14ac:dyDescent="0.35">
      <c r="A536" s="1" t="s">
        <v>1043</v>
      </c>
      <c r="B536" s="2">
        <v>1</v>
      </c>
      <c r="C536" s="1" t="s">
        <v>11</v>
      </c>
      <c r="D536" s="1" t="s">
        <v>12</v>
      </c>
      <c r="E536" s="1" t="str">
        <f>TRIM(CLEAN(Sheet1[[#This Row],[Category]]))</f>
        <v>Office Supplies</v>
      </c>
      <c r="F536">
        <v>6</v>
      </c>
      <c r="G536" t="str">
        <f t="shared" si="8"/>
        <v>2. Mid-Market (4-7 Units)</v>
      </c>
      <c r="H536">
        <v>6</v>
      </c>
      <c r="I536">
        <v>342.28</v>
      </c>
      <c r="J536">
        <f>IF(ISBLANK(I536), ROUND(I536/ABS(VALUE(_xlfn.TEXTBEFORE(F536&amp;" ", " "))), 2), ABS(VALUE(SUBSTITUTE(I536, "$", ""))))</f>
        <v>342.28</v>
      </c>
      <c r="K536">
        <f>ROUND(Sheet1[[#This Row],[CleanedUnits_sold]]*Sheet1[[#This Row],[Cleaned_Unit_Price]],2)</f>
        <v>2053.6799999999998</v>
      </c>
      <c r="L536">
        <v>2053.6799999999998</v>
      </c>
      <c r="M536" s="1" t="s">
        <v>1044</v>
      </c>
      <c r="N536" s="1" t="s">
        <v>14</v>
      </c>
      <c r="O536" s="1" t="s">
        <v>1044</v>
      </c>
    </row>
    <row r="537" spans="1:15" x14ac:dyDescent="0.35">
      <c r="A537" s="1" t="s">
        <v>1045</v>
      </c>
      <c r="B537" s="2">
        <v>45182</v>
      </c>
      <c r="C537" s="1" t="s">
        <v>16</v>
      </c>
      <c r="D537" s="1" t="s">
        <v>12</v>
      </c>
      <c r="E537" s="1" t="str">
        <f>TRIM(CLEAN(Sheet1[[#This Row],[Category]]))</f>
        <v>Office Supplies</v>
      </c>
      <c r="F537">
        <v>6</v>
      </c>
      <c r="G537" t="str">
        <f t="shared" si="8"/>
        <v>2. Mid-Market (4-7 Units)</v>
      </c>
      <c r="H537">
        <v>6</v>
      </c>
      <c r="I537">
        <v>213.07</v>
      </c>
      <c r="J537">
        <f>IF(ISBLANK(I537), ROUND(I537/ABS(VALUE(_xlfn.TEXTBEFORE(F537&amp;" ", " "))), 2), ABS(VALUE(SUBSTITUTE(I537, "$", ""))))</f>
        <v>213.07</v>
      </c>
      <c r="K537">
        <f>ROUND(Sheet1[[#This Row],[CleanedUnits_sold]]*Sheet1[[#This Row],[Cleaned_Unit_Price]],2)</f>
        <v>1278.42</v>
      </c>
      <c r="L537">
        <v>1278.42</v>
      </c>
      <c r="M537" s="1" t="s">
        <v>1046</v>
      </c>
      <c r="N537" s="1" t="s">
        <v>26</v>
      </c>
      <c r="O537" s="1" t="s">
        <v>1046</v>
      </c>
    </row>
    <row r="538" spans="1:15" x14ac:dyDescent="0.35">
      <c r="A538" s="1" t="s">
        <v>1047</v>
      </c>
      <c r="B538" s="2">
        <v>45076</v>
      </c>
      <c r="C538" s="1" t="s">
        <v>11</v>
      </c>
      <c r="D538" s="1" t="s">
        <v>24</v>
      </c>
      <c r="E538" s="1" t="str">
        <f>TRIM(CLEAN(Sheet1[[#This Row],[Category]]))</f>
        <v>Electronics</v>
      </c>
      <c r="F538">
        <v>4</v>
      </c>
      <c r="G538" t="str">
        <f t="shared" si="8"/>
        <v>2. Mid-Market (4-7 Units)</v>
      </c>
      <c r="H538">
        <v>4</v>
      </c>
      <c r="J538">
        <f>IF(ISBLANK(I538), ROUND(I538/ABS(VALUE(_xlfn.TEXTBEFORE(F538&amp;" ", " "))), 2), ABS(VALUE(SUBSTITUTE(I538, "$", ""))))</f>
        <v>0</v>
      </c>
      <c r="K538">
        <f>ROUND(Sheet1[[#This Row],[CleanedUnits_sold]]*Sheet1[[#This Row],[Cleaned_Unit_Price]],2)</f>
        <v>0</v>
      </c>
      <c r="L538">
        <v>714.2</v>
      </c>
      <c r="M538" s="1" t="s">
        <v>1048</v>
      </c>
      <c r="N538" s="1" t="s">
        <v>14</v>
      </c>
      <c r="O538" s="1" t="s">
        <v>1048</v>
      </c>
    </row>
    <row r="539" spans="1:15" x14ac:dyDescent="0.35">
      <c r="A539" s="1" t="s">
        <v>1049</v>
      </c>
      <c r="B539" s="2">
        <v>1</v>
      </c>
      <c r="C539" s="1" t="s">
        <v>19</v>
      </c>
      <c r="D539" s="1" t="s">
        <v>24</v>
      </c>
      <c r="E539" s="1" t="str">
        <f>TRIM(CLEAN(Sheet1[[#This Row],[Category]]))</f>
        <v>Electronics</v>
      </c>
      <c r="F539">
        <v>5</v>
      </c>
      <c r="G539" t="str">
        <f t="shared" si="8"/>
        <v>2. Mid-Market (4-7 Units)</v>
      </c>
      <c r="H539">
        <v>5</v>
      </c>
      <c r="I539">
        <v>145.86000000000001</v>
      </c>
      <c r="J539">
        <f>IF(ISBLANK(I539), ROUND(I539/ABS(VALUE(_xlfn.TEXTBEFORE(F539&amp;" ", " "))), 2), ABS(VALUE(SUBSTITUTE(I539, "$", ""))))</f>
        <v>145.86000000000001</v>
      </c>
      <c r="K539">
        <f>ROUND(Sheet1[[#This Row],[CleanedUnits_sold]]*Sheet1[[#This Row],[Cleaned_Unit_Price]],2)</f>
        <v>729.3</v>
      </c>
      <c r="L539">
        <v>729.3</v>
      </c>
      <c r="M539" s="1" t="s">
        <v>1050</v>
      </c>
      <c r="N539" s="1" t="s">
        <v>26</v>
      </c>
      <c r="O539" s="1" t="s">
        <v>1050</v>
      </c>
    </row>
    <row r="540" spans="1:15" x14ac:dyDescent="0.35">
      <c r="A540" s="1" t="s">
        <v>1051</v>
      </c>
      <c r="B540" s="2">
        <v>45219</v>
      </c>
      <c r="C540" s="1" t="s">
        <v>23</v>
      </c>
      <c r="D540" s="1" t="s">
        <v>12</v>
      </c>
      <c r="E540" s="1" t="str">
        <f>TRIM(CLEAN(Sheet1[[#This Row],[Category]]))</f>
        <v>Office Supplies</v>
      </c>
      <c r="F540">
        <v>1</v>
      </c>
      <c r="G540" t="str">
        <f t="shared" si="8"/>
        <v>1. Retail (1-3 Units)</v>
      </c>
      <c r="H540">
        <v>1</v>
      </c>
      <c r="I540">
        <v>498.37</v>
      </c>
      <c r="J540">
        <f>IF(ISBLANK(I540), ROUND(I540/ABS(VALUE(_xlfn.TEXTBEFORE(F540&amp;" ", " "))), 2), ABS(VALUE(SUBSTITUTE(I540, "$", ""))))</f>
        <v>498.37</v>
      </c>
      <c r="K540">
        <f>ROUND(Sheet1[[#This Row],[CleanedUnits_sold]]*Sheet1[[#This Row],[Cleaned_Unit_Price]],2)</f>
        <v>498.37</v>
      </c>
      <c r="L540">
        <v>498.37</v>
      </c>
      <c r="M540" s="1" t="s">
        <v>1052</v>
      </c>
      <c r="N540" s="1" t="s">
        <v>21</v>
      </c>
      <c r="O540" s="1" t="s">
        <v>1052</v>
      </c>
    </row>
    <row r="541" spans="1:15" x14ac:dyDescent="0.35">
      <c r="A541" s="1" t="s">
        <v>1053</v>
      </c>
      <c r="B541" s="2">
        <v>45269</v>
      </c>
      <c r="C541" s="1" t="s">
        <v>23</v>
      </c>
      <c r="D541" s="1" t="s">
        <v>12</v>
      </c>
      <c r="E541" s="1" t="str">
        <f>TRIM(CLEAN(Sheet1[[#This Row],[Category]]))</f>
        <v>Office Supplies</v>
      </c>
      <c r="F541">
        <v>9</v>
      </c>
      <c r="G541" t="str">
        <f t="shared" si="8"/>
        <v>3. Wholesale / Bulk (8+ Units)</v>
      </c>
      <c r="H541">
        <v>9</v>
      </c>
      <c r="I541">
        <v>377.89</v>
      </c>
      <c r="J541">
        <f>IF(ISBLANK(I541), ROUND(I541/ABS(VALUE(_xlfn.TEXTBEFORE(F541&amp;" ", " "))), 2), ABS(VALUE(SUBSTITUTE(I541, "$", ""))))</f>
        <v>377.89</v>
      </c>
      <c r="K541">
        <f>ROUND(Sheet1[[#This Row],[CleanedUnits_sold]]*Sheet1[[#This Row],[Cleaned_Unit_Price]],2)</f>
        <v>3401.01</v>
      </c>
      <c r="L541">
        <v>3401.01</v>
      </c>
      <c r="M541" s="1" t="s">
        <v>1054</v>
      </c>
      <c r="N541" s="1" t="s">
        <v>26</v>
      </c>
      <c r="O541" s="1" t="s">
        <v>1054</v>
      </c>
    </row>
    <row r="542" spans="1:15" x14ac:dyDescent="0.35">
      <c r="A542" s="1" t="s">
        <v>1055</v>
      </c>
      <c r="B542" s="2">
        <v>45111</v>
      </c>
      <c r="C542" s="1" t="s">
        <v>11</v>
      </c>
      <c r="D542" s="1" t="s">
        <v>24</v>
      </c>
      <c r="E542" s="1" t="str">
        <f>TRIM(CLEAN(Sheet1[[#This Row],[Category]]))</f>
        <v>Electronics</v>
      </c>
      <c r="F542">
        <v>7</v>
      </c>
      <c r="G542" t="str">
        <f t="shared" si="8"/>
        <v>2. Mid-Market (4-7 Units)</v>
      </c>
      <c r="H542">
        <v>7</v>
      </c>
      <c r="I542">
        <v>325.91000000000003</v>
      </c>
      <c r="J542">
        <f>IF(ISBLANK(I542), ROUND(I542/ABS(VALUE(_xlfn.TEXTBEFORE(F542&amp;" ", " "))), 2), ABS(VALUE(SUBSTITUTE(I542, "$", ""))))</f>
        <v>325.91000000000003</v>
      </c>
      <c r="K542">
        <f>ROUND(Sheet1[[#This Row],[CleanedUnits_sold]]*Sheet1[[#This Row],[Cleaned_Unit_Price]],2)</f>
        <v>2281.37</v>
      </c>
      <c r="L542">
        <v>2281.37</v>
      </c>
      <c r="M542" s="1" t="s">
        <v>49</v>
      </c>
      <c r="N542" s="1" t="s">
        <v>26</v>
      </c>
      <c r="O542" s="1" t="s">
        <v>51</v>
      </c>
    </row>
    <row r="543" spans="1:15" x14ac:dyDescent="0.35">
      <c r="A543" s="1" t="s">
        <v>1056</v>
      </c>
      <c r="B543" s="2">
        <v>45205</v>
      </c>
      <c r="C543" s="1" t="s">
        <v>16</v>
      </c>
      <c r="D543" s="1" t="s">
        <v>12</v>
      </c>
      <c r="E543" s="1" t="str">
        <f>TRIM(CLEAN(Sheet1[[#This Row],[Category]]))</f>
        <v>Office Supplies</v>
      </c>
      <c r="F543">
        <v>5</v>
      </c>
      <c r="G543" t="str">
        <f t="shared" si="8"/>
        <v>2. Mid-Market (4-7 Units)</v>
      </c>
      <c r="H543">
        <v>5</v>
      </c>
      <c r="I543">
        <v>184.09</v>
      </c>
      <c r="J543">
        <f>IF(ISBLANK(I543), ROUND(I543/ABS(VALUE(_xlfn.TEXTBEFORE(F543&amp;" ", " "))), 2), ABS(VALUE(SUBSTITUTE(I543, "$", ""))))</f>
        <v>184.09</v>
      </c>
      <c r="K543">
        <f>ROUND(Sheet1[[#This Row],[CleanedUnits_sold]]*Sheet1[[#This Row],[Cleaned_Unit_Price]],2)</f>
        <v>920.45</v>
      </c>
      <c r="L543">
        <v>920.45</v>
      </c>
      <c r="M543" s="1" t="s">
        <v>1057</v>
      </c>
      <c r="N543" s="1" t="s">
        <v>14</v>
      </c>
      <c r="O543" s="1" t="s">
        <v>1057</v>
      </c>
    </row>
    <row r="544" spans="1:15" x14ac:dyDescent="0.35">
      <c r="A544" s="1" t="s">
        <v>1058</v>
      </c>
      <c r="B544" s="2">
        <v>45167</v>
      </c>
      <c r="C544" s="1" t="s">
        <v>19</v>
      </c>
      <c r="D544" s="1" t="s">
        <v>12</v>
      </c>
      <c r="E544" s="1" t="str">
        <f>TRIM(CLEAN(Sheet1[[#This Row],[Category]]))</f>
        <v>Office Supplies</v>
      </c>
      <c r="F544">
        <v>4</v>
      </c>
      <c r="G544" t="str">
        <f t="shared" si="8"/>
        <v>2. Mid-Market (4-7 Units)</v>
      </c>
      <c r="H544">
        <v>4</v>
      </c>
      <c r="I544">
        <v>34.090000000000003</v>
      </c>
      <c r="J544">
        <f>IF(ISBLANK(I544), ROUND(I544/ABS(VALUE(_xlfn.TEXTBEFORE(F544&amp;" ", " "))), 2), ABS(VALUE(SUBSTITUTE(I544, "$", ""))))</f>
        <v>34.090000000000003</v>
      </c>
      <c r="K544">
        <f>ROUND(Sheet1[[#This Row],[CleanedUnits_sold]]*Sheet1[[#This Row],[Cleaned_Unit_Price]],2)</f>
        <v>136.36000000000001</v>
      </c>
      <c r="L544">
        <v>136.36000000000001</v>
      </c>
      <c r="M544" s="1" t="s">
        <v>1059</v>
      </c>
      <c r="N544" s="1" t="s">
        <v>14</v>
      </c>
      <c r="O544" s="1" t="s">
        <v>1059</v>
      </c>
    </row>
    <row r="545" spans="1:15" x14ac:dyDescent="0.35">
      <c r="A545" s="1" t="s">
        <v>1060</v>
      </c>
      <c r="B545" s="2">
        <v>45118</v>
      </c>
      <c r="C545" s="1" t="s">
        <v>19</v>
      </c>
      <c r="D545" s="1" t="s">
        <v>12</v>
      </c>
      <c r="E545" s="1" t="str">
        <f>TRIM(CLEAN(Sheet1[[#This Row],[Category]]))</f>
        <v>Office Supplies</v>
      </c>
      <c r="F545">
        <v>5</v>
      </c>
      <c r="G545" t="str">
        <f t="shared" si="8"/>
        <v>2. Mid-Market (4-7 Units)</v>
      </c>
      <c r="H545">
        <v>5</v>
      </c>
      <c r="I545">
        <v>25.22</v>
      </c>
      <c r="J545">
        <f>IF(ISBLANK(I545), ROUND(I545/ABS(VALUE(_xlfn.TEXTBEFORE(F545&amp;" ", " "))), 2), ABS(VALUE(SUBSTITUTE(I545, "$", ""))))</f>
        <v>25.22</v>
      </c>
      <c r="K545">
        <f>ROUND(Sheet1[[#This Row],[CleanedUnits_sold]]*Sheet1[[#This Row],[Cleaned_Unit_Price]],2)</f>
        <v>126.1</v>
      </c>
      <c r="L545">
        <v>335</v>
      </c>
      <c r="M545" s="1" t="s">
        <v>49</v>
      </c>
      <c r="N545" s="1" t="s">
        <v>50</v>
      </c>
      <c r="O545" s="1" t="s">
        <v>51</v>
      </c>
    </row>
    <row r="546" spans="1:15" x14ac:dyDescent="0.35">
      <c r="A546" s="1" t="s">
        <v>1061</v>
      </c>
      <c r="B546" s="2">
        <v>45109</v>
      </c>
      <c r="C546" s="1" t="s">
        <v>58</v>
      </c>
      <c r="D546" s="1" t="s">
        <v>12</v>
      </c>
      <c r="E546" s="1" t="str">
        <f>TRIM(CLEAN(Sheet1[[#This Row],[Category]]))</f>
        <v>Office Supplies</v>
      </c>
      <c r="F546">
        <v>4</v>
      </c>
      <c r="G546" t="str">
        <f t="shared" si="8"/>
        <v>2. Mid-Market (4-7 Units)</v>
      </c>
      <c r="H546">
        <v>4</v>
      </c>
      <c r="I546">
        <v>281.55</v>
      </c>
      <c r="J546">
        <f>IF(ISBLANK(I546), ROUND(I546/ABS(VALUE(_xlfn.TEXTBEFORE(F546&amp;" ", " "))), 2), ABS(VALUE(SUBSTITUTE(I546, "$", ""))))</f>
        <v>281.55</v>
      </c>
      <c r="K546">
        <f>ROUND(Sheet1[[#This Row],[CleanedUnits_sold]]*Sheet1[[#This Row],[Cleaned_Unit_Price]],2)</f>
        <v>1126.2</v>
      </c>
      <c r="L546">
        <v>1126.2</v>
      </c>
      <c r="M546" s="1" t="s">
        <v>1062</v>
      </c>
      <c r="N546" s="1" t="s">
        <v>14</v>
      </c>
      <c r="O546" s="1" t="s">
        <v>1062</v>
      </c>
    </row>
    <row r="547" spans="1:15" x14ac:dyDescent="0.35">
      <c r="A547" s="1" t="s">
        <v>1063</v>
      </c>
      <c r="B547" s="2">
        <v>1</v>
      </c>
      <c r="C547" s="1" t="s">
        <v>16</v>
      </c>
      <c r="D547" s="1" t="s">
        <v>12</v>
      </c>
      <c r="E547" s="1" t="str">
        <f>TRIM(CLEAN(Sheet1[[#This Row],[Category]]))</f>
        <v>Office Supplies</v>
      </c>
      <c r="F547">
        <v>3</v>
      </c>
      <c r="G547" t="str">
        <f t="shared" si="8"/>
        <v>1. Retail (1-3 Units)</v>
      </c>
      <c r="H547">
        <v>3</v>
      </c>
      <c r="I547">
        <v>273.32</v>
      </c>
      <c r="J547">
        <f>IF(ISBLANK(I547), ROUND(I547/ABS(VALUE(_xlfn.TEXTBEFORE(F547&amp;" ", " "))), 2), ABS(VALUE(SUBSTITUTE(I547, "$", ""))))</f>
        <v>273.32</v>
      </c>
      <c r="K547">
        <f>ROUND(Sheet1[[#This Row],[CleanedUnits_sold]]*Sheet1[[#This Row],[Cleaned_Unit_Price]],2)</f>
        <v>819.96</v>
      </c>
      <c r="M547" s="1" t="s">
        <v>1064</v>
      </c>
      <c r="N547" s="1" t="s">
        <v>38</v>
      </c>
      <c r="O547" s="1" t="s">
        <v>1064</v>
      </c>
    </row>
    <row r="548" spans="1:15" x14ac:dyDescent="0.35">
      <c r="A548" s="1" t="s">
        <v>1065</v>
      </c>
      <c r="B548" s="2">
        <v>1</v>
      </c>
      <c r="C548" s="1" t="s">
        <v>19</v>
      </c>
      <c r="D548" s="1" t="s">
        <v>12</v>
      </c>
      <c r="E548" s="1" t="str">
        <f>TRIM(CLEAN(Sheet1[[#This Row],[Category]]))</f>
        <v>Office Supplies</v>
      </c>
      <c r="F548">
        <v>7</v>
      </c>
      <c r="G548" t="str">
        <f t="shared" si="8"/>
        <v>2. Mid-Market (4-7 Units)</v>
      </c>
      <c r="H548">
        <v>7</v>
      </c>
      <c r="I548">
        <v>421.98</v>
      </c>
      <c r="J548">
        <f>IF(ISBLANK(I548), ROUND(I548/ABS(VALUE(_xlfn.TEXTBEFORE(F548&amp;" ", " "))), 2), ABS(VALUE(SUBSTITUTE(I548, "$", ""))))</f>
        <v>421.98</v>
      </c>
      <c r="K548">
        <f>ROUND(Sheet1[[#This Row],[CleanedUnits_sold]]*Sheet1[[#This Row],[Cleaned_Unit_Price]],2)</f>
        <v>2953.86</v>
      </c>
      <c r="L548">
        <v>2953.86</v>
      </c>
      <c r="M548" s="1" t="s">
        <v>1066</v>
      </c>
      <c r="N548" s="1" t="s">
        <v>14</v>
      </c>
      <c r="O548" s="1" t="s">
        <v>1066</v>
      </c>
    </row>
    <row r="549" spans="1:15" x14ac:dyDescent="0.35">
      <c r="A549" s="1" t="s">
        <v>1067</v>
      </c>
      <c r="B549" s="2">
        <v>1</v>
      </c>
      <c r="C549" s="1" t="s">
        <v>19</v>
      </c>
      <c r="D549" s="1" t="s">
        <v>12</v>
      </c>
      <c r="E549" s="1" t="str">
        <f>TRIM(CLEAN(Sheet1[[#This Row],[Category]]))</f>
        <v>Office Supplies</v>
      </c>
      <c r="F549">
        <v>6</v>
      </c>
      <c r="G549" t="str">
        <f t="shared" si="8"/>
        <v>2. Mid-Market (4-7 Units)</v>
      </c>
      <c r="H549">
        <v>6</v>
      </c>
      <c r="I549">
        <v>26.38</v>
      </c>
      <c r="J549">
        <f>IF(ISBLANK(I549), ROUND(I549/ABS(VALUE(_xlfn.TEXTBEFORE(F549&amp;" ", " "))), 2), ABS(VALUE(SUBSTITUTE(I549, "$", ""))))</f>
        <v>26.38</v>
      </c>
      <c r="K549">
        <f>ROUND(Sheet1[[#This Row],[CleanedUnits_sold]]*Sheet1[[#This Row],[Cleaned_Unit_Price]],2)</f>
        <v>158.28</v>
      </c>
      <c r="L549">
        <v>158.28</v>
      </c>
      <c r="M549" s="1" t="s">
        <v>1068</v>
      </c>
      <c r="N549" s="1" t="s">
        <v>26</v>
      </c>
      <c r="O549" s="1" t="s">
        <v>1068</v>
      </c>
    </row>
    <row r="550" spans="1:15" x14ac:dyDescent="0.35">
      <c r="A550" s="1" t="s">
        <v>1069</v>
      </c>
      <c r="B550" s="2">
        <v>45277</v>
      </c>
      <c r="C550" s="1" t="s">
        <v>23</v>
      </c>
      <c r="D550" s="1" t="s">
        <v>46</v>
      </c>
      <c r="E550" s="1" t="str">
        <f>TRIM(CLEAN(Sheet1[[#This Row],[Category]]))</f>
        <v>Furniture</v>
      </c>
      <c r="F550">
        <v>10</v>
      </c>
      <c r="G550" t="str">
        <f t="shared" si="8"/>
        <v>3. Wholesale / Bulk (8+ Units)</v>
      </c>
      <c r="H550">
        <v>10</v>
      </c>
      <c r="I550">
        <v>189.71</v>
      </c>
      <c r="J550">
        <f>IF(ISBLANK(I550), ROUND(I550/ABS(VALUE(_xlfn.TEXTBEFORE(F550&amp;" ", " "))), 2), ABS(VALUE(SUBSTITUTE(I550, "$", ""))))</f>
        <v>189.71</v>
      </c>
      <c r="K550">
        <f>ROUND(Sheet1[[#This Row],[CleanedUnits_sold]]*Sheet1[[#This Row],[Cleaned_Unit_Price]],2)</f>
        <v>1897.1</v>
      </c>
      <c r="L550">
        <v>1897.1</v>
      </c>
      <c r="M550" s="1" t="s">
        <v>1070</v>
      </c>
      <c r="N550" s="1" t="s">
        <v>50</v>
      </c>
      <c r="O550" s="1" t="s">
        <v>1070</v>
      </c>
    </row>
    <row r="551" spans="1:15" x14ac:dyDescent="0.35">
      <c r="A551" s="1" t="s">
        <v>1071</v>
      </c>
      <c r="B551" s="2">
        <v>44994</v>
      </c>
      <c r="C551" s="1" t="s">
        <v>16</v>
      </c>
      <c r="D551" s="1" t="s">
        <v>46</v>
      </c>
      <c r="E551" s="1" t="str">
        <f>TRIM(CLEAN(Sheet1[[#This Row],[Category]]))</f>
        <v>Furniture</v>
      </c>
      <c r="F551">
        <v>4</v>
      </c>
      <c r="G551" t="str">
        <f t="shared" si="8"/>
        <v>2. Mid-Market (4-7 Units)</v>
      </c>
      <c r="H551">
        <v>4</v>
      </c>
      <c r="I551">
        <v>126.16</v>
      </c>
      <c r="J551">
        <f>IF(ISBLANK(I551), ROUND(I551/ABS(VALUE(_xlfn.TEXTBEFORE(F551&amp;" ", " "))), 2), ABS(VALUE(SUBSTITUTE(I551, "$", ""))))</f>
        <v>126.16</v>
      </c>
      <c r="K551">
        <f>ROUND(Sheet1[[#This Row],[CleanedUnits_sold]]*Sheet1[[#This Row],[Cleaned_Unit_Price]],2)</f>
        <v>504.64</v>
      </c>
      <c r="L551">
        <v>504.64</v>
      </c>
      <c r="M551" s="1" t="s">
        <v>49</v>
      </c>
      <c r="N551" s="1" t="s">
        <v>14</v>
      </c>
      <c r="O551" s="1" t="s">
        <v>51</v>
      </c>
    </row>
    <row r="552" spans="1:15" x14ac:dyDescent="0.35">
      <c r="A552" s="1" t="s">
        <v>1072</v>
      </c>
      <c r="B552" s="2">
        <v>44959</v>
      </c>
      <c r="C552" s="1" t="s">
        <v>19</v>
      </c>
      <c r="D552" s="1" t="s">
        <v>12</v>
      </c>
      <c r="E552" s="1" t="str">
        <f>TRIM(CLEAN(Sheet1[[#This Row],[Category]]))</f>
        <v>Office Supplies</v>
      </c>
      <c r="F552">
        <v>5</v>
      </c>
      <c r="G552" t="str">
        <f t="shared" si="8"/>
        <v>2. Mid-Market (4-7 Units)</v>
      </c>
      <c r="H552">
        <v>5</v>
      </c>
      <c r="I552">
        <v>229.16</v>
      </c>
      <c r="J552">
        <f>IF(ISBLANK(I552), ROUND(I552/ABS(VALUE(_xlfn.TEXTBEFORE(F552&amp;" ", " "))), 2), ABS(VALUE(SUBSTITUTE(I552, "$", ""))))</f>
        <v>229.16</v>
      </c>
      <c r="K552">
        <f>ROUND(Sheet1[[#This Row],[CleanedUnits_sold]]*Sheet1[[#This Row],[Cleaned_Unit_Price]],2)</f>
        <v>1145.8</v>
      </c>
      <c r="L552">
        <v>1145.8</v>
      </c>
      <c r="M552" s="1" t="s">
        <v>1073</v>
      </c>
      <c r="N552" s="1" t="s">
        <v>50</v>
      </c>
      <c r="O552" s="1" t="s">
        <v>1073</v>
      </c>
    </row>
    <row r="553" spans="1:15" x14ac:dyDescent="0.35">
      <c r="A553" s="1" t="s">
        <v>1074</v>
      </c>
      <c r="B553" s="2">
        <v>1</v>
      </c>
      <c r="C553" s="1" t="s">
        <v>16</v>
      </c>
      <c r="D553" s="1" t="s">
        <v>32</v>
      </c>
      <c r="E553" s="1" t="str">
        <f>TRIM(CLEAN(Sheet1[[#This Row],[Category]]))</f>
        <v>Furniture</v>
      </c>
      <c r="F553">
        <v>6</v>
      </c>
      <c r="G553" t="str">
        <f t="shared" si="8"/>
        <v>2. Mid-Market (4-7 Units)</v>
      </c>
      <c r="H553">
        <v>6</v>
      </c>
      <c r="I553">
        <v>-115.65</v>
      </c>
      <c r="J553">
        <f>IF(ISBLANK(I553), ROUND(I553/ABS(VALUE(_xlfn.TEXTBEFORE(F553&amp;" ", " "))), 2), ABS(VALUE(SUBSTITUTE(I553, "$", ""))))</f>
        <v>115.65</v>
      </c>
      <c r="K553">
        <f>ROUND(Sheet1[[#This Row],[CleanedUnits_sold]]*Sheet1[[#This Row],[Cleaned_Unit_Price]],2)</f>
        <v>693.9</v>
      </c>
      <c r="L553">
        <v>272.76</v>
      </c>
      <c r="M553" s="1" t="s">
        <v>1075</v>
      </c>
      <c r="N553" s="1" t="s">
        <v>50</v>
      </c>
      <c r="O553" s="1" t="s">
        <v>1075</v>
      </c>
    </row>
    <row r="554" spans="1:15" x14ac:dyDescent="0.35">
      <c r="A554" s="1" t="s">
        <v>1076</v>
      </c>
      <c r="B554" s="2">
        <v>45029</v>
      </c>
      <c r="C554" s="1" t="s">
        <v>16</v>
      </c>
      <c r="D554" s="1" t="s">
        <v>12</v>
      </c>
      <c r="E554" s="1" t="str">
        <f>TRIM(CLEAN(Sheet1[[#This Row],[Category]]))</f>
        <v>Office Supplies</v>
      </c>
      <c r="F554">
        <v>6</v>
      </c>
      <c r="G554" t="str">
        <f t="shared" si="8"/>
        <v>2. Mid-Market (4-7 Units)</v>
      </c>
      <c r="H554">
        <v>6</v>
      </c>
      <c r="I554">
        <v>477.52</v>
      </c>
      <c r="J554">
        <f>IF(ISBLANK(I554), ROUND(I554/ABS(VALUE(_xlfn.TEXTBEFORE(F554&amp;" ", " "))), 2), ABS(VALUE(SUBSTITUTE(I554, "$", ""))))</f>
        <v>477.52</v>
      </c>
      <c r="K554">
        <f>ROUND(Sheet1[[#This Row],[CleanedUnits_sold]]*Sheet1[[#This Row],[Cleaned_Unit_Price]],2)</f>
        <v>2865.12</v>
      </c>
      <c r="L554">
        <v>2865.12</v>
      </c>
      <c r="M554" s="1" t="s">
        <v>49</v>
      </c>
      <c r="N554" s="1" t="s">
        <v>26</v>
      </c>
      <c r="O554" s="1" t="s">
        <v>51</v>
      </c>
    </row>
    <row r="555" spans="1:15" x14ac:dyDescent="0.35">
      <c r="A555" s="1" t="s">
        <v>1077</v>
      </c>
      <c r="B555" s="2">
        <v>45085</v>
      </c>
      <c r="C555" s="1" t="s">
        <v>23</v>
      </c>
      <c r="D555" s="1" t="s">
        <v>12</v>
      </c>
      <c r="E555" s="1" t="str">
        <f>TRIM(CLEAN(Sheet1[[#This Row],[Category]]))</f>
        <v>Office Supplies</v>
      </c>
      <c r="F555">
        <v>8</v>
      </c>
      <c r="G555" t="str">
        <f t="shared" si="8"/>
        <v>3. Wholesale / Bulk (8+ Units)</v>
      </c>
      <c r="H555">
        <v>8</v>
      </c>
      <c r="I555">
        <v>119.4</v>
      </c>
      <c r="J555">
        <f>IF(ISBLANK(I555), ROUND(I555/ABS(VALUE(_xlfn.TEXTBEFORE(F555&amp;" ", " "))), 2), ABS(VALUE(SUBSTITUTE(I555, "$", ""))))</f>
        <v>119.4</v>
      </c>
      <c r="K555">
        <f>ROUND(Sheet1[[#This Row],[CleanedUnits_sold]]*Sheet1[[#This Row],[Cleaned_Unit_Price]],2)</f>
        <v>955.2</v>
      </c>
      <c r="L555">
        <v>955.2</v>
      </c>
      <c r="M555" s="1" t="s">
        <v>1078</v>
      </c>
      <c r="N555" s="1" t="s">
        <v>26</v>
      </c>
      <c r="O555" s="1" t="s">
        <v>1078</v>
      </c>
    </row>
    <row r="556" spans="1:15" x14ac:dyDescent="0.35">
      <c r="A556" s="1" t="s">
        <v>1079</v>
      </c>
      <c r="B556" s="2">
        <v>45205</v>
      </c>
      <c r="C556" s="1" t="s">
        <v>23</v>
      </c>
      <c r="D556" s="1" t="s">
        <v>12</v>
      </c>
      <c r="E556" s="1" t="str">
        <f>TRIM(CLEAN(Sheet1[[#This Row],[Category]]))</f>
        <v>Office Supplies</v>
      </c>
      <c r="F556">
        <v>4</v>
      </c>
      <c r="G556" t="str">
        <f t="shared" si="8"/>
        <v>2. Mid-Market (4-7 Units)</v>
      </c>
      <c r="H556">
        <v>4</v>
      </c>
      <c r="I556">
        <v>461.93</v>
      </c>
      <c r="J556">
        <f>IF(ISBLANK(I556), ROUND(I556/ABS(VALUE(_xlfn.TEXTBEFORE(F556&amp;" ", " "))), 2), ABS(VALUE(SUBSTITUTE(I556, "$", ""))))</f>
        <v>461.93</v>
      </c>
      <c r="K556">
        <f>ROUND(Sheet1[[#This Row],[CleanedUnits_sold]]*Sheet1[[#This Row],[Cleaned_Unit_Price]],2)</f>
        <v>1847.72</v>
      </c>
      <c r="L556">
        <v>2040.2</v>
      </c>
      <c r="M556" s="1" t="s">
        <v>1080</v>
      </c>
      <c r="N556" s="1" t="s">
        <v>50</v>
      </c>
      <c r="O556" s="1" t="s">
        <v>1080</v>
      </c>
    </row>
    <row r="557" spans="1:15" x14ac:dyDescent="0.35">
      <c r="A557" s="1" t="s">
        <v>1081</v>
      </c>
      <c r="B557" s="2">
        <v>1</v>
      </c>
      <c r="C557" s="1" t="s">
        <v>16</v>
      </c>
      <c r="D557" s="1" t="s">
        <v>12</v>
      </c>
      <c r="E557" s="1" t="str">
        <f>TRIM(CLEAN(Sheet1[[#This Row],[Category]]))</f>
        <v>Office Supplies</v>
      </c>
      <c r="F557">
        <v>3</v>
      </c>
      <c r="G557" t="str">
        <f t="shared" si="8"/>
        <v>1. Retail (1-3 Units)</v>
      </c>
      <c r="H557">
        <v>3</v>
      </c>
      <c r="I557">
        <v>218.69</v>
      </c>
      <c r="J557">
        <f>IF(ISBLANK(I557), ROUND(I557/ABS(VALUE(_xlfn.TEXTBEFORE(F557&amp;" ", " "))), 2), ABS(VALUE(SUBSTITUTE(I557, "$", ""))))</f>
        <v>218.69</v>
      </c>
      <c r="K557">
        <f>ROUND(Sheet1[[#This Row],[CleanedUnits_sold]]*Sheet1[[#This Row],[Cleaned_Unit_Price]],2)</f>
        <v>656.07</v>
      </c>
      <c r="L557">
        <v>656.07</v>
      </c>
      <c r="M557" s="1" t="s">
        <v>1082</v>
      </c>
      <c r="N557" s="1" t="s">
        <v>14</v>
      </c>
      <c r="O557" s="1" t="s">
        <v>1082</v>
      </c>
    </row>
    <row r="558" spans="1:15" x14ac:dyDescent="0.35">
      <c r="A558" s="1" t="s">
        <v>1083</v>
      </c>
      <c r="B558" s="2">
        <v>44951</v>
      </c>
      <c r="C558" s="1" t="s">
        <v>19</v>
      </c>
      <c r="D558" s="1" t="s">
        <v>24</v>
      </c>
      <c r="E558" s="1" t="str">
        <f>TRIM(CLEAN(Sheet1[[#This Row],[Category]]))</f>
        <v>Electronics</v>
      </c>
      <c r="F558">
        <v>3</v>
      </c>
      <c r="G558" t="str">
        <f t="shared" si="8"/>
        <v>1. Retail (1-3 Units)</v>
      </c>
      <c r="H558">
        <v>3</v>
      </c>
      <c r="I558">
        <v>492.91</v>
      </c>
      <c r="J558">
        <f>IF(ISBLANK(I558), ROUND(I558/ABS(VALUE(_xlfn.TEXTBEFORE(F558&amp;" ", " "))), 2), ABS(VALUE(SUBSTITUTE(I558, "$", ""))))</f>
        <v>492.91</v>
      </c>
      <c r="K558">
        <f>ROUND(Sheet1[[#This Row],[CleanedUnits_sold]]*Sheet1[[#This Row],[Cleaned_Unit_Price]],2)</f>
        <v>1478.73</v>
      </c>
      <c r="L558">
        <v>1478.73</v>
      </c>
      <c r="M558" s="1" t="s">
        <v>1084</v>
      </c>
      <c r="N558" s="1" t="s">
        <v>26</v>
      </c>
      <c r="O558" s="1" t="s">
        <v>1084</v>
      </c>
    </row>
    <row r="559" spans="1:15" x14ac:dyDescent="0.35">
      <c r="A559" s="1" t="s">
        <v>1085</v>
      </c>
      <c r="B559" s="2">
        <v>45115</v>
      </c>
      <c r="C559" s="1" t="s">
        <v>19</v>
      </c>
      <c r="D559" s="1" t="s">
        <v>24</v>
      </c>
      <c r="E559" s="1" t="str">
        <f>TRIM(CLEAN(Sheet1[[#This Row],[Category]]))</f>
        <v>Electronics</v>
      </c>
      <c r="F559">
        <v>9</v>
      </c>
      <c r="G559" t="str">
        <f t="shared" si="8"/>
        <v>3. Wholesale / Bulk (8+ Units)</v>
      </c>
      <c r="H559">
        <v>9</v>
      </c>
      <c r="I559">
        <v>281.49</v>
      </c>
      <c r="J559">
        <f>IF(ISBLANK(I559), ROUND(I559/ABS(VALUE(_xlfn.TEXTBEFORE(F559&amp;" ", " "))), 2), ABS(VALUE(SUBSTITUTE(I559, "$", ""))))</f>
        <v>281.49</v>
      </c>
      <c r="K559">
        <f>ROUND(Sheet1[[#This Row],[CleanedUnits_sold]]*Sheet1[[#This Row],[Cleaned_Unit_Price]],2)</f>
        <v>2533.41</v>
      </c>
      <c r="L559">
        <v>2533.41</v>
      </c>
      <c r="M559" s="1" t="s">
        <v>1086</v>
      </c>
      <c r="N559" s="1" t="s">
        <v>26</v>
      </c>
      <c r="O559" s="1" t="s">
        <v>1086</v>
      </c>
    </row>
    <row r="560" spans="1:15" x14ac:dyDescent="0.35">
      <c r="A560" s="1" t="s">
        <v>1087</v>
      </c>
      <c r="B560" s="2">
        <v>45152</v>
      </c>
      <c r="C560" s="1" t="s">
        <v>16</v>
      </c>
      <c r="D560" s="1" t="s">
        <v>32</v>
      </c>
      <c r="E560" s="1" t="str">
        <f>TRIM(CLEAN(Sheet1[[#This Row],[Category]]))</f>
        <v>Furniture</v>
      </c>
      <c r="F560">
        <v>7</v>
      </c>
      <c r="G560" t="str">
        <f t="shared" si="8"/>
        <v>2. Mid-Market (4-7 Units)</v>
      </c>
      <c r="H560">
        <v>7</v>
      </c>
      <c r="I560">
        <v>466.11</v>
      </c>
      <c r="J560">
        <f>IF(ISBLANK(I560), ROUND(I560/ABS(VALUE(_xlfn.TEXTBEFORE(F560&amp;" ", " "))), 2), ABS(VALUE(SUBSTITUTE(I560, "$", ""))))</f>
        <v>466.11</v>
      </c>
      <c r="K560">
        <f>ROUND(Sheet1[[#This Row],[CleanedUnits_sold]]*Sheet1[[#This Row],[Cleaned_Unit_Price]],2)</f>
        <v>3262.77</v>
      </c>
      <c r="L560">
        <v>3262.77</v>
      </c>
      <c r="M560" s="1" t="s">
        <v>1088</v>
      </c>
      <c r="N560" s="1" t="s">
        <v>14</v>
      </c>
      <c r="O560" s="1" t="s">
        <v>1088</v>
      </c>
    </row>
    <row r="561" spans="1:15" x14ac:dyDescent="0.35">
      <c r="A561" s="1" t="s">
        <v>1089</v>
      </c>
      <c r="B561" s="2">
        <v>45022</v>
      </c>
      <c r="C561" s="1" t="s">
        <v>16</v>
      </c>
      <c r="D561" s="1" t="s">
        <v>24</v>
      </c>
      <c r="E561" s="1" t="str">
        <f>TRIM(CLEAN(Sheet1[[#This Row],[Category]]))</f>
        <v>Electronics</v>
      </c>
      <c r="F561">
        <v>9999</v>
      </c>
      <c r="G561" t="str">
        <f t="shared" si="8"/>
        <v>2. Mid-Market (4-7 Units)</v>
      </c>
      <c r="H561">
        <v>5</v>
      </c>
      <c r="I561">
        <v>12.62</v>
      </c>
      <c r="J561">
        <f>IF(ISBLANK(I561), ROUND(I561/ABS(VALUE(_xlfn.TEXTBEFORE(F561&amp;" ", " "))), 2), ABS(VALUE(SUBSTITUTE(I561, "$", ""))))</f>
        <v>12.62</v>
      </c>
      <c r="K561">
        <f>ROUND(Sheet1[[#This Row],[CleanedUnits_sold]]*Sheet1[[#This Row],[Cleaned_Unit_Price]],2)</f>
        <v>63.1</v>
      </c>
      <c r="L561">
        <v>217.86</v>
      </c>
      <c r="M561" s="1" t="s">
        <v>1090</v>
      </c>
      <c r="N561" s="1" t="s">
        <v>50</v>
      </c>
      <c r="O561" s="1" t="s">
        <v>1090</v>
      </c>
    </row>
    <row r="562" spans="1:15" x14ac:dyDescent="0.35">
      <c r="A562" s="1" t="s">
        <v>1091</v>
      </c>
      <c r="B562" s="2">
        <v>45115</v>
      </c>
      <c r="C562" s="1" t="s">
        <v>58</v>
      </c>
      <c r="D562" s="1" t="s">
        <v>24</v>
      </c>
      <c r="E562" s="1" t="str">
        <f>TRIM(CLEAN(Sheet1[[#This Row],[Category]]))</f>
        <v>Electronics</v>
      </c>
      <c r="F562">
        <v>2</v>
      </c>
      <c r="G562" t="str">
        <f t="shared" si="8"/>
        <v>1. Retail (1-3 Units)</v>
      </c>
      <c r="H562">
        <v>2</v>
      </c>
      <c r="I562">
        <v>376.64</v>
      </c>
      <c r="J562">
        <f>IF(ISBLANK(I562), ROUND(I562/ABS(VALUE(_xlfn.TEXTBEFORE(F562&amp;" ", " "))), 2), ABS(VALUE(SUBSTITUTE(I562, "$", ""))))</f>
        <v>376.64</v>
      </c>
      <c r="K562">
        <f>ROUND(Sheet1[[#This Row],[CleanedUnits_sold]]*Sheet1[[#This Row],[Cleaned_Unit_Price]],2)</f>
        <v>753.28</v>
      </c>
      <c r="L562">
        <v>753.28</v>
      </c>
      <c r="M562" s="1" t="s">
        <v>1092</v>
      </c>
      <c r="N562" s="1" t="s">
        <v>14</v>
      </c>
      <c r="O562" s="1" t="s">
        <v>1092</v>
      </c>
    </row>
    <row r="563" spans="1:15" x14ac:dyDescent="0.35">
      <c r="A563" s="1" t="s">
        <v>1093</v>
      </c>
      <c r="B563" s="2">
        <v>45144</v>
      </c>
      <c r="C563" s="1" t="s">
        <v>58</v>
      </c>
      <c r="D563" s="1" t="s">
        <v>32</v>
      </c>
      <c r="E563" s="1" t="str">
        <f>TRIM(CLEAN(Sheet1[[#This Row],[Category]]))</f>
        <v>Furniture</v>
      </c>
      <c r="F563">
        <v>4</v>
      </c>
      <c r="G563" t="str">
        <f t="shared" si="8"/>
        <v>2. Mid-Market (4-7 Units)</v>
      </c>
      <c r="H563">
        <v>4</v>
      </c>
      <c r="I563">
        <v>-67.11</v>
      </c>
      <c r="J563">
        <f>IF(ISBLANK(I563), ROUND(I563/ABS(VALUE(_xlfn.TEXTBEFORE(F563&amp;" ", " "))), 2), ABS(VALUE(SUBSTITUTE(I563, "$", ""))))</f>
        <v>67.11</v>
      </c>
      <c r="K563">
        <f>ROUND(Sheet1[[#This Row],[CleanedUnits_sold]]*Sheet1[[#This Row],[Cleaned_Unit_Price]],2)</f>
        <v>268.44</v>
      </c>
      <c r="L563">
        <v>1809.96</v>
      </c>
      <c r="M563" s="1" t="s">
        <v>1094</v>
      </c>
      <c r="N563" s="1" t="s">
        <v>14</v>
      </c>
      <c r="O563" s="1" t="s">
        <v>1094</v>
      </c>
    </row>
    <row r="564" spans="1:15" x14ac:dyDescent="0.35">
      <c r="A564" s="1" t="s">
        <v>1095</v>
      </c>
      <c r="B564" s="2">
        <v>45019</v>
      </c>
      <c r="C564" s="1" t="s">
        <v>11</v>
      </c>
      <c r="D564" s="1" t="s">
        <v>24</v>
      </c>
      <c r="E564" s="1" t="str">
        <f>TRIM(CLEAN(Sheet1[[#This Row],[Category]]))</f>
        <v>Electronics</v>
      </c>
      <c r="F564">
        <v>6</v>
      </c>
      <c r="G564" t="str">
        <f t="shared" si="8"/>
        <v>2. Mid-Market (4-7 Units)</v>
      </c>
      <c r="H564">
        <v>6</v>
      </c>
      <c r="I564">
        <v>78.459999999999994</v>
      </c>
      <c r="J564">
        <f>IF(ISBLANK(I564), ROUND(I564/ABS(VALUE(_xlfn.TEXTBEFORE(F564&amp;" ", " "))), 2), ABS(VALUE(SUBSTITUTE(I564, "$", ""))))</f>
        <v>78.459999999999994</v>
      </c>
      <c r="K564">
        <f>ROUND(Sheet1[[#This Row],[CleanedUnits_sold]]*Sheet1[[#This Row],[Cleaned_Unit_Price]],2)</f>
        <v>470.76</v>
      </c>
      <c r="L564">
        <v>470.76</v>
      </c>
      <c r="M564" s="1" t="s">
        <v>1096</v>
      </c>
      <c r="N564" s="1" t="s">
        <v>26</v>
      </c>
      <c r="O564" s="1" t="s">
        <v>1096</v>
      </c>
    </row>
    <row r="565" spans="1:15" x14ac:dyDescent="0.35">
      <c r="A565" s="1" t="s">
        <v>1097</v>
      </c>
      <c r="B565" s="2">
        <v>44967</v>
      </c>
      <c r="C565" s="1" t="s">
        <v>19</v>
      </c>
      <c r="D565" s="1" t="s">
        <v>32</v>
      </c>
      <c r="E565" s="1" t="str">
        <f>TRIM(CLEAN(Sheet1[[#This Row],[Category]]))</f>
        <v>Furniture</v>
      </c>
      <c r="F565">
        <v>9</v>
      </c>
      <c r="G565" t="str">
        <f t="shared" si="8"/>
        <v>3. Wholesale / Bulk (8+ Units)</v>
      </c>
      <c r="H565">
        <v>9</v>
      </c>
      <c r="I565">
        <v>57.1</v>
      </c>
      <c r="J565">
        <f>IF(ISBLANK(I565), ROUND(I565/ABS(VALUE(_xlfn.TEXTBEFORE(F565&amp;" ", " "))), 2), ABS(VALUE(SUBSTITUTE(I565, "$", ""))))</f>
        <v>57.1</v>
      </c>
      <c r="K565">
        <f>ROUND(Sheet1[[#This Row],[CleanedUnits_sold]]*Sheet1[[#This Row],[Cleaned_Unit_Price]],2)</f>
        <v>513.9</v>
      </c>
      <c r="L565">
        <v>513.9</v>
      </c>
      <c r="M565" s="1" t="s">
        <v>1098</v>
      </c>
      <c r="N565" s="1" t="s">
        <v>38</v>
      </c>
      <c r="O565" s="1" t="s">
        <v>1098</v>
      </c>
    </row>
    <row r="566" spans="1:15" x14ac:dyDescent="0.35">
      <c r="A566" s="1" t="s">
        <v>1099</v>
      </c>
      <c r="B566" s="2">
        <v>45083</v>
      </c>
      <c r="C566" s="1" t="s">
        <v>19</v>
      </c>
      <c r="D566" s="1" t="s">
        <v>46</v>
      </c>
      <c r="E566" s="1" t="str">
        <f>TRIM(CLEAN(Sheet1[[#This Row],[Category]]))</f>
        <v>Furniture</v>
      </c>
      <c r="F566">
        <v>11</v>
      </c>
      <c r="G566" t="str">
        <f t="shared" si="8"/>
        <v>3. Wholesale / Bulk (8+ Units)</v>
      </c>
      <c r="H566">
        <v>11</v>
      </c>
      <c r="I566">
        <v>218.04</v>
      </c>
      <c r="J566">
        <f>IF(ISBLANK(I566), ROUND(I566/ABS(VALUE(_xlfn.TEXTBEFORE(F566&amp;" ", " "))), 2), ABS(VALUE(SUBSTITUTE(I566, "$", ""))))</f>
        <v>218.04</v>
      </c>
      <c r="K566">
        <f>ROUND(Sheet1[[#This Row],[CleanedUnits_sold]]*Sheet1[[#This Row],[Cleaned_Unit_Price]],2)</f>
        <v>2398.44</v>
      </c>
      <c r="L566">
        <v>2398.44</v>
      </c>
      <c r="M566" s="1" t="s">
        <v>1100</v>
      </c>
      <c r="N566" s="1" t="s">
        <v>14</v>
      </c>
      <c r="O566" s="1" t="s">
        <v>1100</v>
      </c>
    </row>
    <row r="567" spans="1:15" x14ac:dyDescent="0.35">
      <c r="A567" s="1" t="s">
        <v>1101</v>
      </c>
      <c r="B567" s="2">
        <v>45115</v>
      </c>
      <c r="C567" s="1" t="s">
        <v>11</v>
      </c>
      <c r="D567" s="1" t="s">
        <v>46</v>
      </c>
      <c r="E567" s="1" t="str">
        <f>TRIM(CLEAN(Sheet1[[#This Row],[Category]]))</f>
        <v>Furniture</v>
      </c>
      <c r="F567">
        <v>4</v>
      </c>
      <c r="G567" t="str">
        <f t="shared" si="8"/>
        <v>2. Mid-Market (4-7 Units)</v>
      </c>
      <c r="H567">
        <v>4</v>
      </c>
      <c r="I567">
        <v>467.5</v>
      </c>
      <c r="J567">
        <f>IF(ISBLANK(I567), ROUND(I567/ABS(VALUE(_xlfn.TEXTBEFORE(F567&amp;" ", " "))), 2), ABS(VALUE(SUBSTITUTE(I567, "$", ""))))</f>
        <v>467.5</v>
      </c>
      <c r="K567">
        <f>ROUND(Sheet1[[#This Row],[CleanedUnits_sold]]*Sheet1[[#This Row],[Cleaned_Unit_Price]],2)</f>
        <v>1870</v>
      </c>
      <c r="L567">
        <v>1870</v>
      </c>
      <c r="M567" s="1" t="s">
        <v>1102</v>
      </c>
      <c r="N567" s="1" t="s">
        <v>26</v>
      </c>
      <c r="O567" s="1" t="s">
        <v>1102</v>
      </c>
    </row>
    <row r="568" spans="1:15" x14ac:dyDescent="0.35">
      <c r="A568" s="1" t="s">
        <v>1103</v>
      </c>
      <c r="B568" s="2">
        <v>45106</v>
      </c>
      <c r="C568" s="1" t="s">
        <v>19</v>
      </c>
      <c r="D568" s="1" t="s">
        <v>12</v>
      </c>
      <c r="E568" s="1" t="str">
        <f>TRIM(CLEAN(Sheet1[[#This Row],[Category]]))</f>
        <v>Office Supplies</v>
      </c>
      <c r="F568">
        <v>7</v>
      </c>
      <c r="G568" t="str">
        <f t="shared" si="8"/>
        <v>2. Mid-Market (4-7 Units)</v>
      </c>
      <c r="H568">
        <v>7</v>
      </c>
      <c r="I568">
        <v>275.77</v>
      </c>
      <c r="J568">
        <f>IF(ISBLANK(I568), ROUND(I568/ABS(VALUE(_xlfn.TEXTBEFORE(F568&amp;" ", " "))), 2), ABS(VALUE(SUBSTITUTE(I568, "$", ""))))</f>
        <v>275.77</v>
      </c>
      <c r="K568">
        <f>ROUND(Sheet1[[#This Row],[CleanedUnits_sold]]*Sheet1[[#This Row],[Cleaned_Unit_Price]],2)</f>
        <v>1930.39</v>
      </c>
      <c r="L568">
        <v>1930.39</v>
      </c>
      <c r="M568" s="1" t="s">
        <v>1104</v>
      </c>
      <c r="N568" s="1" t="s">
        <v>50</v>
      </c>
      <c r="O568" s="1" t="s">
        <v>1104</v>
      </c>
    </row>
    <row r="569" spans="1:15" x14ac:dyDescent="0.35">
      <c r="A569" s="1" t="s">
        <v>1105</v>
      </c>
      <c r="B569" s="2">
        <v>1</v>
      </c>
      <c r="C569" s="1" t="s">
        <v>23</v>
      </c>
      <c r="D569" s="1" t="s">
        <v>24</v>
      </c>
      <c r="E569" s="1" t="str">
        <f>TRIM(CLEAN(Sheet1[[#This Row],[Category]]))</f>
        <v>Electronics</v>
      </c>
      <c r="F569">
        <v>7</v>
      </c>
      <c r="G569" t="str">
        <f t="shared" si="8"/>
        <v>2. Mid-Market (4-7 Units)</v>
      </c>
      <c r="H569">
        <v>7</v>
      </c>
      <c r="I569">
        <v>268.45</v>
      </c>
      <c r="J569">
        <f>IF(ISBLANK(I569), ROUND(I569/ABS(VALUE(_xlfn.TEXTBEFORE(F569&amp;" ", " "))), 2), ABS(VALUE(SUBSTITUTE(I569, "$", ""))))</f>
        <v>268.45</v>
      </c>
      <c r="K569">
        <f>ROUND(Sheet1[[#This Row],[CleanedUnits_sold]]*Sheet1[[#This Row],[Cleaned_Unit_Price]],2)</f>
        <v>1879.15</v>
      </c>
      <c r="L569">
        <v>1879.15</v>
      </c>
      <c r="M569" s="1" t="s">
        <v>49</v>
      </c>
      <c r="N569" s="1" t="s">
        <v>14</v>
      </c>
      <c r="O569" s="1" t="s">
        <v>51</v>
      </c>
    </row>
    <row r="570" spans="1:15" x14ac:dyDescent="0.35">
      <c r="A570" s="1" t="s">
        <v>1106</v>
      </c>
      <c r="B570" s="2">
        <v>45107</v>
      </c>
      <c r="C570" s="1" t="s">
        <v>23</v>
      </c>
      <c r="D570" s="1" t="s">
        <v>32</v>
      </c>
      <c r="E570" s="1" t="str">
        <f>TRIM(CLEAN(Sheet1[[#This Row],[Category]]))</f>
        <v>Furniture</v>
      </c>
      <c r="F570">
        <v>3</v>
      </c>
      <c r="G570" t="str">
        <f t="shared" si="8"/>
        <v>1. Retail (1-3 Units)</v>
      </c>
      <c r="H570">
        <v>3</v>
      </c>
      <c r="I570">
        <v>79.150000000000006</v>
      </c>
      <c r="J570">
        <f>IF(ISBLANK(I570), ROUND(I570/ABS(VALUE(_xlfn.TEXTBEFORE(F570&amp;" ", " "))), 2), ABS(VALUE(SUBSTITUTE(I570, "$", ""))))</f>
        <v>79.150000000000006</v>
      </c>
      <c r="K570">
        <f>ROUND(Sheet1[[#This Row],[CleanedUnits_sold]]*Sheet1[[#This Row],[Cleaned_Unit_Price]],2)</f>
        <v>237.45</v>
      </c>
      <c r="L570">
        <v>237.45</v>
      </c>
      <c r="M570" s="1" t="s">
        <v>49</v>
      </c>
      <c r="N570" s="1" t="s">
        <v>14</v>
      </c>
      <c r="O570" s="1" t="s">
        <v>51</v>
      </c>
    </row>
    <row r="571" spans="1:15" x14ac:dyDescent="0.35">
      <c r="A571" s="1" t="s">
        <v>1107</v>
      </c>
      <c r="B571" s="2">
        <v>44956</v>
      </c>
      <c r="C571" s="1" t="s">
        <v>16</v>
      </c>
      <c r="D571" s="1" t="s">
        <v>24</v>
      </c>
      <c r="E571" s="1" t="str">
        <f>TRIM(CLEAN(Sheet1[[#This Row],[Category]]))</f>
        <v>Electronics</v>
      </c>
      <c r="F571">
        <v>7</v>
      </c>
      <c r="G571" t="str">
        <f t="shared" si="8"/>
        <v>2. Mid-Market (4-7 Units)</v>
      </c>
      <c r="H571">
        <v>7</v>
      </c>
      <c r="I571">
        <v>10.39</v>
      </c>
      <c r="J571">
        <f>IF(ISBLANK(I571), ROUND(I571/ABS(VALUE(_xlfn.TEXTBEFORE(F571&amp;" ", " "))), 2), ABS(VALUE(SUBSTITUTE(I571, "$", ""))))</f>
        <v>10.39</v>
      </c>
      <c r="K571">
        <f>ROUND(Sheet1[[#This Row],[CleanedUnits_sold]]*Sheet1[[#This Row],[Cleaned_Unit_Price]],2)</f>
        <v>72.73</v>
      </c>
      <c r="L571">
        <v>72.73</v>
      </c>
      <c r="M571" s="1" t="s">
        <v>1108</v>
      </c>
      <c r="N571" s="1" t="s">
        <v>21</v>
      </c>
      <c r="O571" s="1" t="s">
        <v>1108</v>
      </c>
    </row>
    <row r="572" spans="1:15" x14ac:dyDescent="0.35">
      <c r="A572" s="1" t="s">
        <v>1109</v>
      </c>
      <c r="B572" s="2">
        <v>45134</v>
      </c>
      <c r="C572" s="1" t="s">
        <v>11</v>
      </c>
      <c r="D572" s="1" t="s">
        <v>24</v>
      </c>
      <c r="E572" s="1" t="str">
        <f>TRIM(CLEAN(Sheet1[[#This Row],[Category]]))</f>
        <v>Electronics</v>
      </c>
      <c r="F572">
        <v>5</v>
      </c>
      <c r="G572" t="str">
        <f t="shared" si="8"/>
        <v>2. Mid-Market (4-7 Units)</v>
      </c>
      <c r="H572">
        <v>5</v>
      </c>
      <c r="I572">
        <v>406.97</v>
      </c>
      <c r="J572">
        <f>IF(ISBLANK(I572), ROUND(I572/ABS(VALUE(_xlfn.TEXTBEFORE(F572&amp;" ", " "))), 2), ABS(VALUE(SUBSTITUTE(I572, "$", ""))))</f>
        <v>406.97</v>
      </c>
      <c r="K572">
        <f>ROUND(Sheet1[[#This Row],[CleanedUnits_sold]]*Sheet1[[#This Row],[Cleaned_Unit_Price]],2)</f>
        <v>2034.85</v>
      </c>
      <c r="L572">
        <v>2034.85</v>
      </c>
      <c r="M572" s="1" t="s">
        <v>1110</v>
      </c>
      <c r="N572" s="1" t="s">
        <v>26</v>
      </c>
      <c r="O572" s="1" t="s">
        <v>1110</v>
      </c>
    </row>
    <row r="573" spans="1:15" x14ac:dyDescent="0.35">
      <c r="A573" s="1" t="s">
        <v>1111</v>
      </c>
      <c r="B573" s="2">
        <v>1</v>
      </c>
      <c r="C573" s="1" t="s">
        <v>19</v>
      </c>
      <c r="D573" s="1" t="s">
        <v>24</v>
      </c>
      <c r="E573" s="1" t="str">
        <f>TRIM(CLEAN(Sheet1[[#This Row],[Category]]))</f>
        <v>Electronics</v>
      </c>
      <c r="F573">
        <v>2</v>
      </c>
      <c r="G573" t="str">
        <f t="shared" si="8"/>
        <v>1. Retail (1-3 Units)</v>
      </c>
      <c r="H573">
        <v>2</v>
      </c>
      <c r="I573">
        <v>52.91</v>
      </c>
      <c r="J573">
        <f>IF(ISBLANK(I573), ROUND(I573/ABS(VALUE(_xlfn.TEXTBEFORE(F573&amp;" ", " "))), 2), ABS(VALUE(SUBSTITUTE(I573, "$", ""))))</f>
        <v>52.91</v>
      </c>
      <c r="K573">
        <f>ROUND(Sheet1[[#This Row],[CleanedUnits_sold]]*Sheet1[[#This Row],[Cleaned_Unit_Price]],2)</f>
        <v>105.82</v>
      </c>
      <c r="L573">
        <v>488.14</v>
      </c>
      <c r="M573" s="1" t="s">
        <v>1112</v>
      </c>
      <c r="N573" s="1" t="s">
        <v>21</v>
      </c>
      <c r="O573" s="1" t="s">
        <v>1112</v>
      </c>
    </row>
    <row r="574" spans="1:15" x14ac:dyDescent="0.35">
      <c r="A574" s="1" t="s">
        <v>1113</v>
      </c>
      <c r="B574" s="2">
        <v>45000</v>
      </c>
      <c r="C574" s="1" t="s">
        <v>23</v>
      </c>
      <c r="D574" s="1" t="s">
        <v>12</v>
      </c>
      <c r="E574" s="1" t="str">
        <f>TRIM(CLEAN(Sheet1[[#This Row],[Category]]))</f>
        <v>Office Supplies</v>
      </c>
      <c r="F574">
        <v>9</v>
      </c>
      <c r="G574" t="str">
        <f t="shared" si="8"/>
        <v>3. Wholesale / Bulk (8+ Units)</v>
      </c>
      <c r="H574">
        <v>9</v>
      </c>
      <c r="I574">
        <v>320.58999999999997</v>
      </c>
      <c r="J574">
        <f>IF(ISBLANK(I574), ROUND(I574/ABS(VALUE(_xlfn.TEXTBEFORE(F574&amp;" ", " "))), 2), ABS(VALUE(SUBSTITUTE(I574, "$", ""))))</f>
        <v>320.58999999999997</v>
      </c>
      <c r="K574">
        <f>ROUND(Sheet1[[#This Row],[CleanedUnits_sold]]*Sheet1[[#This Row],[Cleaned_Unit_Price]],2)</f>
        <v>2885.31</v>
      </c>
      <c r="L574">
        <v>2885.31</v>
      </c>
      <c r="M574" s="1" t="s">
        <v>1114</v>
      </c>
      <c r="N574" s="1" t="s">
        <v>14</v>
      </c>
      <c r="O574" s="1" t="s">
        <v>1114</v>
      </c>
    </row>
    <row r="575" spans="1:15" x14ac:dyDescent="0.35">
      <c r="A575" s="1" t="s">
        <v>1115</v>
      </c>
      <c r="B575" s="2">
        <v>1</v>
      </c>
      <c r="C575" s="1" t="s">
        <v>19</v>
      </c>
      <c r="D575" s="1" t="s">
        <v>12</v>
      </c>
      <c r="E575" s="1" t="str">
        <f>TRIM(CLEAN(Sheet1[[#This Row],[Category]]))</f>
        <v>Office Supplies</v>
      </c>
      <c r="G575" t="str">
        <f t="shared" si="8"/>
        <v>2. Mid-Market (4-7 Units)</v>
      </c>
      <c r="H575">
        <v>6</v>
      </c>
      <c r="I575">
        <v>458.16</v>
      </c>
      <c r="J575">
        <f>IF(ISBLANK(I575), ROUND(I575/ABS(VALUE(_xlfn.TEXTBEFORE(F575&amp;" ", " "))), 2), ABS(VALUE(SUBSTITUTE(I575, "$", ""))))</f>
        <v>458.16</v>
      </c>
      <c r="K575">
        <f>ROUND(Sheet1[[#This Row],[CleanedUnits_sold]]*Sheet1[[#This Row],[Cleaned_Unit_Price]],2)</f>
        <v>2748.96</v>
      </c>
      <c r="L575">
        <v>2748.96</v>
      </c>
      <c r="M575" s="1" t="s">
        <v>1116</v>
      </c>
      <c r="N575" s="1" t="s">
        <v>38</v>
      </c>
      <c r="O575" s="1" t="s">
        <v>1116</v>
      </c>
    </row>
    <row r="576" spans="1:15" x14ac:dyDescent="0.35">
      <c r="A576" s="1" t="s">
        <v>1117</v>
      </c>
      <c r="B576" s="2">
        <v>1</v>
      </c>
      <c r="C576" s="1" t="s">
        <v>58</v>
      </c>
      <c r="D576" s="1" t="s">
        <v>24</v>
      </c>
      <c r="E576" s="1" t="str">
        <f>TRIM(CLEAN(Sheet1[[#This Row],[Category]]))</f>
        <v>Electronics</v>
      </c>
      <c r="F576">
        <v>3</v>
      </c>
      <c r="G576" t="str">
        <f t="shared" si="8"/>
        <v>1. Retail (1-3 Units)</v>
      </c>
      <c r="H576">
        <v>3</v>
      </c>
      <c r="I576">
        <v>112.24</v>
      </c>
      <c r="J576">
        <f>IF(ISBLANK(I576), ROUND(I576/ABS(VALUE(_xlfn.TEXTBEFORE(F576&amp;" ", " "))), 2), ABS(VALUE(SUBSTITUTE(I576, "$", ""))))</f>
        <v>112.24</v>
      </c>
      <c r="K576">
        <f>ROUND(Sheet1[[#This Row],[CleanedUnits_sold]]*Sheet1[[#This Row],[Cleaned_Unit_Price]],2)</f>
        <v>336.72</v>
      </c>
      <c r="L576">
        <v>336.72</v>
      </c>
      <c r="M576" s="1" t="s">
        <v>1118</v>
      </c>
      <c r="N576" s="1" t="s">
        <v>26</v>
      </c>
      <c r="O576" s="1" t="s">
        <v>1118</v>
      </c>
    </row>
    <row r="577" spans="1:15" x14ac:dyDescent="0.35">
      <c r="A577" s="1" t="s">
        <v>1119</v>
      </c>
      <c r="B577" s="2">
        <v>45114</v>
      </c>
      <c r="C577" s="1" t="s">
        <v>58</v>
      </c>
      <c r="D577" s="1" t="s">
        <v>24</v>
      </c>
      <c r="E577" s="1" t="str">
        <f>TRIM(CLEAN(Sheet1[[#This Row],[Category]]))</f>
        <v>Electronics</v>
      </c>
      <c r="F577">
        <v>6</v>
      </c>
      <c r="G577" t="str">
        <f t="shared" si="8"/>
        <v>2. Mid-Market (4-7 Units)</v>
      </c>
      <c r="H577">
        <v>6</v>
      </c>
      <c r="I577">
        <v>335.98</v>
      </c>
      <c r="J577">
        <f>IF(ISBLANK(I577), ROUND(I577/ABS(VALUE(_xlfn.TEXTBEFORE(F577&amp;" ", " "))), 2), ABS(VALUE(SUBSTITUTE(I577, "$", ""))))</f>
        <v>335.98</v>
      </c>
      <c r="K577">
        <f>ROUND(Sheet1[[#This Row],[CleanedUnits_sold]]*Sheet1[[#This Row],[Cleaned_Unit_Price]],2)</f>
        <v>2015.88</v>
      </c>
      <c r="L577">
        <v>2015.88</v>
      </c>
      <c r="M577" s="1" t="s">
        <v>1120</v>
      </c>
      <c r="N577" s="1" t="s">
        <v>38</v>
      </c>
      <c r="O577" s="1" t="s">
        <v>1120</v>
      </c>
    </row>
    <row r="578" spans="1:15" x14ac:dyDescent="0.35">
      <c r="A578" s="1" t="s">
        <v>1121</v>
      </c>
      <c r="B578" s="2">
        <v>45217</v>
      </c>
      <c r="C578" s="1" t="s">
        <v>19</v>
      </c>
      <c r="D578" s="1" t="s">
        <v>32</v>
      </c>
      <c r="E578" s="1" t="str">
        <f>TRIM(CLEAN(Sheet1[[#This Row],[Category]]))</f>
        <v>Furniture</v>
      </c>
      <c r="F578">
        <v>3</v>
      </c>
      <c r="G578" t="str">
        <f t="shared" ref="G578:G641" si="9">IF(H578=0, "Non-Billable / Zero", IF(H578&lt;=3, "1. Retail (1-3 Units)", IF(H578&lt;=7, "2. Mid-Market (4-7 Units)", "3. Wholesale / Bulk (8+ Units)")))</f>
        <v>1. Retail (1-3 Units)</v>
      </c>
      <c r="H578">
        <v>3</v>
      </c>
      <c r="I578">
        <v>48.56</v>
      </c>
      <c r="J578">
        <f>IF(ISBLANK(I578), ROUND(I578/ABS(VALUE(_xlfn.TEXTBEFORE(F578&amp;" ", " "))), 2), ABS(VALUE(SUBSTITUTE(I578, "$", ""))))</f>
        <v>48.56</v>
      </c>
      <c r="K578">
        <f>ROUND(Sheet1[[#This Row],[CleanedUnits_sold]]*Sheet1[[#This Row],[Cleaned_Unit_Price]],2)</f>
        <v>145.68</v>
      </c>
      <c r="L578">
        <v>145.68</v>
      </c>
      <c r="M578" s="1" t="s">
        <v>84</v>
      </c>
      <c r="N578" s="1" t="s">
        <v>26</v>
      </c>
      <c r="O578" s="1" t="s">
        <v>85</v>
      </c>
    </row>
    <row r="579" spans="1:15" x14ac:dyDescent="0.35">
      <c r="A579" s="1" t="s">
        <v>1122</v>
      </c>
      <c r="B579" s="2">
        <v>45274</v>
      </c>
      <c r="C579" s="1" t="s">
        <v>23</v>
      </c>
      <c r="D579" s="1" t="s">
        <v>12</v>
      </c>
      <c r="E579" s="1" t="str">
        <f>TRIM(CLEAN(Sheet1[[#This Row],[Category]]))</f>
        <v>Office Supplies</v>
      </c>
      <c r="F579">
        <v>2</v>
      </c>
      <c r="G579" t="str">
        <f t="shared" si="9"/>
        <v>1. Retail (1-3 Units)</v>
      </c>
      <c r="H579">
        <v>2</v>
      </c>
      <c r="I579">
        <v>-124.69</v>
      </c>
      <c r="J579">
        <f>IF(ISBLANK(I579), ROUND(I579/ABS(VALUE(_xlfn.TEXTBEFORE(F579&amp;" ", " "))), 2), ABS(VALUE(SUBSTITUTE(I579, "$", ""))))</f>
        <v>124.69</v>
      </c>
      <c r="K579">
        <f>ROUND(Sheet1[[#This Row],[CleanedUnits_sold]]*Sheet1[[#This Row],[Cleaned_Unit_Price]],2)</f>
        <v>249.38</v>
      </c>
      <c r="L579">
        <v>611.67999999999995</v>
      </c>
      <c r="M579" s="1" t="s">
        <v>1123</v>
      </c>
      <c r="N579" s="1" t="s">
        <v>14</v>
      </c>
      <c r="O579" s="1" t="s">
        <v>1123</v>
      </c>
    </row>
    <row r="580" spans="1:15" x14ac:dyDescent="0.35">
      <c r="A580" s="1" t="s">
        <v>1124</v>
      </c>
      <c r="B580" s="2">
        <v>45117</v>
      </c>
      <c r="C580" s="1" t="s">
        <v>19</v>
      </c>
      <c r="D580" s="1" t="s">
        <v>46</v>
      </c>
      <c r="E580" s="1" t="str">
        <f>TRIM(CLEAN(Sheet1[[#This Row],[Category]]))</f>
        <v>Furniture</v>
      </c>
      <c r="F580">
        <v>8</v>
      </c>
      <c r="G580" t="str">
        <f t="shared" si="9"/>
        <v>3. Wholesale / Bulk (8+ Units)</v>
      </c>
      <c r="H580">
        <v>8</v>
      </c>
      <c r="I580">
        <v>90.33</v>
      </c>
      <c r="J580">
        <f>IF(ISBLANK(I580), ROUND(I580/ABS(VALUE(_xlfn.TEXTBEFORE(F580&amp;" ", " "))), 2), ABS(VALUE(SUBSTITUTE(I580, "$", ""))))</f>
        <v>90.33</v>
      </c>
      <c r="K580">
        <f>ROUND(Sheet1[[#This Row],[CleanedUnits_sold]]*Sheet1[[#This Row],[Cleaned_Unit_Price]],2)</f>
        <v>722.64</v>
      </c>
      <c r="L580">
        <v>722.64</v>
      </c>
      <c r="M580" s="1" t="s">
        <v>84</v>
      </c>
      <c r="N580" s="1" t="s">
        <v>21</v>
      </c>
      <c r="O580" s="1" t="s">
        <v>85</v>
      </c>
    </row>
    <row r="581" spans="1:15" x14ac:dyDescent="0.35">
      <c r="A581" s="1" t="s">
        <v>1125</v>
      </c>
      <c r="B581" s="2">
        <v>1</v>
      </c>
      <c r="C581" s="1" t="s">
        <v>16</v>
      </c>
      <c r="D581" s="1" t="s">
        <v>46</v>
      </c>
      <c r="E581" s="1" t="str">
        <f>TRIM(CLEAN(Sheet1[[#This Row],[Category]]))</f>
        <v>Furniture</v>
      </c>
      <c r="G581" t="str">
        <f t="shared" si="9"/>
        <v>2. Mid-Market (4-7 Units)</v>
      </c>
      <c r="H581">
        <v>4</v>
      </c>
      <c r="I581">
        <v>370.62</v>
      </c>
      <c r="J581">
        <f>IF(ISBLANK(I581), ROUND(I581/ABS(VALUE(_xlfn.TEXTBEFORE(F581&amp;" ", " "))), 2), ABS(VALUE(SUBSTITUTE(I581, "$", ""))))</f>
        <v>370.62</v>
      </c>
      <c r="K581">
        <f>ROUND(Sheet1[[#This Row],[CleanedUnits_sold]]*Sheet1[[#This Row],[Cleaned_Unit_Price]],2)</f>
        <v>1482.48</v>
      </c>
      <c r="L581">
        <v>1482.48</v>
      </c>
      <c r="M581" s="1"/>
      <c r="N581" s="1" t="s">
        <v>38</v>
      </c>
      <c r="O581" s="1" t="s">
        <v>131</v>
      </c>
    </row>
    <row r="582" spans="1:15" x14ac:dyDescent="0.35">
      <c r="A582" s="1" t="s">
        <v>1126</v>
      </c>
      <c r="B582" s="2">
        <v>45130</v>
      </c>
      <c r="C582" s="1" t="s">
        <v>16</v>
      </c>
      <c r="D582" s="1" t="s">
        <v>32</v>
      </c>
      <c r="E582" s="1" t="str">
        <f>TRIM(CLEAN(Sheet1[[#This Row],[Category]]))</f>
        <v>Furniture</v>
      </c>
      <c r="F582">
        <v>5</v>
      </c>
      <c r="G582" t="str">
        <f t="shared" si="9"/>
        <v>2. Mid-Market (4-7 Units)</v>
      </c>
      <c r="H582">
        <v>5</v>
      </c>
      <c r="I582">
        <v>157.6</v>
      </c>
      <c r="J582">
        <f>IF(ISBLANK(I582), ROUND(I582/ABS(VALUE(_xlfn.TEXTBEFORE(F582&amp;" ", " "))), 2), ABS(VALUE(SUBSTITUTE(I582, "$", ""))))</f>
        <v>157.6</v>
      </c>
      <c r="K582">
        <f>ROUND(Sheet1[[#This Row],[CleanedUnits_sold]]*Sheet1[[#This Row],[Cleaned_Unit_Price]],2)</f>
        <v>788</v>
      </c>
      <c r="L582">
        <v>788</v>
      </c>
      <c r="M582" s="1" t="s">
        <v>1127</v>
      </c>
      <c r="N582" s="1" t="s">
        <v>14</v>
      </c>
      <c r="O582" s="1" t="s">
        <v>1127</v>
      </c>
    </row>
    <row r="583" spans="1:15" x14ac:dyDescent="0.35">
      <c r="A583" s="1" t="s">
        <v>1128</v>
      </c>
      <c r="B583" s="2">
        <v>45054</v>
      </c>
      <c r="C583" s="1" t="s">
        <v>11</v>
      </c>
      <c r="D583" s="1" t="s">
        <v>32</v>
      </c>
      <c r="E583" s="1" t="str">
        <f>TRIM(CLEAN(Sheet1[[#This Row],[Category]]))</f>
        <v>Furniture</v>
      </c>
      <c r="F583">
        <v>4</v>
      </c>
      <c r="G583" t="str">
        <f t="shared" si="9"/>
        <v>2. Mid-Market (4-7 Units)</v>
      </c>
      <c r="H583">
        <v>4</v>
      </c>
      <c r="I583">
        <v>-81.66</v>
      </c>
      <c r="J583">
        <f>IF(ISBLANK(I583), ROUND(I583/ABS(VALUE(_xlfn.TEXTBEFORE(F583&amp;" ", " "))), 2), ABS(VALUE(SUBSTITUTE(I583, "$", ""))))</f>
        <v>81.66</v>
      </c>
      <c r="K583">
        <f>ROUND(Sheet1[[#This Row],[CleanedUnits_sold]]*Sheet1[[#This Row],[Cleaned_Unit_Price]],2)</f>
        <v>326.64</v>
      </c>
      <c r="L583">
        <v>948.24</v>
      </c>
      <c r="M583" s="1" t="s">
        <v>1129</v>
      </c>
      <c r="N583" s="1" t="s">
        <v>14</v>
      </c>
      <c r="O583" s="1" t="s">
        <v>1129</v>
      </c>
    </row>
    <row r="584" spans="1:15" x14ac:dyDescent="0.35">
      <c r="A584" s="1" t="s">
        <v>1130</v>
      </c>
      <c r="B584" s="2">
        <v>1</v>
      </c>
      <c r="C584" s="1" t="s">
        <v>16</v>
      </c>
      <c r="D584" s="1" t="s">
        <v>24</v>
      </c>
      <c r="E584" s="1" t="str">
        <f>TRIM(CLEAN(Sheet1[[#This Row],[Category]]))</f>
        <v>Electronics</v>
      </c>
      <c r="F584">
        <v>3</v>
      </c>
      <c r="G584" t="str">
        <f t="shared" si="9"/>
        <v>1. Retail (1-3 Units)</v>
      </c>
      <c r="H584">
        <v>3</v>
      </c>
      <c r="I584">
        <v>303.72000000000003</v>
      </c>
      <c r="J584">
        <f>IF(ISBLANK(I584), ROUND(I584/ABS(VALUE(_xlfn.TEXTBEFORE(F584&amp;" ", " "))), 2), ABS(VALUE(SUBSTITUTE(I584, "$", ""))))</f>
        <v>303.72000000000003</v>
      </c>
      <c r="K584">
        <f>ROUND(Sheet1[[#This Row],[CleanedUnits_sold]]*Sheet1[[#This Row],[Cleaned_Unit_Price]],2)</f>
        <v>911.16</v>
      </c>
      <c r="L584">
        <v>911.16</v>
      </c>
      <c r="M584" s="1" t="s">
        <v>1131</v>
      </c>
      <c r="N584" s="1" t="s">
        <v>50</v>
      </c>
      <c r="O584" s="1" t="s">
        <v>1131</v>
      </c>
    </row>
    <row r="585" spans="1:15" x14ac:dyDescent="0.35">
      <c r="A585" s="1" t="s">
        <v>1132</v>
      </c>
      <c r="B585" s="2">
        <v>45192</v>
      </c>
      <c r="C585" s="1" t="s">
        <v>23</v>
      </c>
      <c r="D585" s="1" t="s">
        <v>12</v>
      </c>
      <c r="E585" s="1" t="str">
        <f>TRIM(CLEAN(Sheet1[[#This Row],[Category]]))</f>
        <v>Office Supplies</v>
      </c>
      <c r="F585">
        <v>4</v>
      </c>
      <c r="G585" t="str">
        <f t="shared" si="9"/>
        <v>2. Mid-Market (4-7 Units)</v>
      </c>
      <c r="H585">
        <v>4</v>
      </c>
      <c r="I585">
        <v>93.92</v>
      </c>
      <c r="J585">
        <f>IF(ISBLANK(I585), ROUND(I585/ABS(VALUE(_xlfn.TEXTBEFORE(F585&amp;" ", " "))), 2), ABS(VALUE(SUBSTITUTE(I585, "$", ""))))</f>
        <v>93.92</v>
      </c>
      <c r="K585">
        <f>ROUND(Sheet1[[#This Row],[CleanedUnits_sold]]*Sheet1[[#This Row],[Cleaned_Unit_Price]],2)</f>
        <v>375.68</v>
      </c>
      <c r="L585">
        <v>375.68</v>
      </c>
      <c r="M585" s="1" t="s">
        <v>1133</v>
      </c>
      <c r="N585" s="1" t="s">
        <v>26</v>
      </c>
      <c r="O585" s="1" t="s">
        <v>1133</v>
      </c>
    </row>
    <row r="586" spans="1:15" x14ac:dyDescent="0.35">
      <c r="A586" s="1" t="s">
        <v>1134</v>
      </c>
      <c r="B586" s="2">
        <v>44987</v>
      </c>
      <c r="C586" s="1" t="s">
        <v>23</v>
      </c>
      <c r="D586" s="1" t="s">
        <v>46</v>
      </c>
      <c r="E586" s="1" t="str">
        <f>TRIM(CLEAN(Sheet1[[#This Row],[Category]]))</f>
        <v>Furniture</v>
      </c>
      <c r="F586">
        <v>3</v>
      </c>
      <c r="G586" t="str">
        <f t="shared" si="9"/>
        <v>1. Retail (1-3 Units)</v>
      </c>
      <c r="H586">
        <v>3</v>
      </c>
      <c r="I586">
        <v>373.4</v>
      </c>
      <c r="J586">
        <f>IF(ISBLANK(I586), ROUND(I586/ABS(VALUE(_xlfn.TEXTBEFORE(F586&amp;" ", " "))), 2), ABS(VALUE(SUBSTITUTE(I586, "$", ""))))</f>
        <v>373.4</v>
      </c>
      <c r="K586">
        <f>ROUND(Sheet1[[#This Row],[CleanedUnits_sold]]*Sheet1[[#This Row],[Cleaned_Unit_Price]],2)</f>
        <v>1120.2</v>
      </c>
      <c r="L586">
        <v>1120.2</v>
      </c>
      <c r="M586" s="1" t="s">
        <v>49</v>
      </c>
      <c r="N586" s="1" t="s">
        <v>14</v>
      </c>
      <c r="O586" s="1" t="s">
        <v>51</v>
      </c>
    </row>
    <row r="587" spans="1:15" x14ac:dyDescent="0.35">
      <c r="A587" s="1" t="s">
        <v>1135</v>
      </c>
      <c r="B587" s="2">
        <v>45287</v>
      </c>
      <c r="C587" s="1" t="s">
        <v>11</v>
      </c>
      <c r="D587" s="1" t="s">
        <v>24</v>
      </c>
      <c r="E587" s="1" t="str">
        <f>TRIM(CLEAN(Sheet1[[#This Row],[Category]]))</f>
        <v>Electronics</v>
      </c>
      <c r="F587">
        <v>11</v>
      </c>
      <c r="G587" t="str">
        <f t="shared" si="9"/>
        <v>3. Wholesale / Bulk (8+ Units)</v>
      </c>
      <c r="H587">
        <v>11</v>
      </c>
      <c r="I587">
        <v>158.29</v>
      </c>
      <c r="J587">
        <f>IF(ISBLANK(I587), ROUND(I587/ABS(VALUE(_xlfn.TEXTBEFORE(F587&amp;" ", " "))), 2), ABS(VALUE(SUBSTITUTE(I587, "$", ""))))</f>
        <v>158.29</v>
      </c>
      <c r="K587">
        <f>ROUND(Sheet1[[#This Row],[CleanedUnits_sold]]*Sheet1[[#This Row],[Cleaned_Unit_Price]],2)</f>
        <v>1741.19</v>
      </c>
      <c r="L587">
        <v>1741.19</v>
      </c>
      <c r="M587" s="1" t="s">
        <v>1136</v>
      </c>
      <c r="N587" s="1" t="s">
        <v>50</v>
      </c>
      <c r="O587" s="1" t="s">
        <v>1136</v>
      </c>
    </row>
    <row r="588" spans="1:15" x14ac:dyDescent="0.35">
      <c r="A588" s="1" t="s">
        <v>1137</v>
      </c>
      <c r="B588" s="2">
        <v>45240</v>
      </c>
      <c r="C588" s="1" t="s">
        <v>19</v>
      </c>
      <c r="D588" s="1" t="s">
        <v>12</v>
      </c>
      <c r="E588" s="1" t="str">
        <f>TRIM(CLEAN(Sheet1[[#This Row],[Category]]))</f>
        <v>Office Supplies</v>
      </c>
      <c r="F588">
        <v>6</v>
      </c>
      <c r="G588" t="str">
        <f t="shared" si="9"/>
        <v>2. Mid-Market (4-7 Units)</v>
      </c>
      <c r="H588">
        <v>6</v>
      </c>
      <c r="I588">
        <v>334.56</v>
      </c>
      <c r="J588">
        <f>IF(ISBLANK(I588), ROUND(I588/ABS(VALUE(_xlfn.TEXTBEFORE(F588&amp;" ", " "))), 2), ABS(VALUE(SUBSTITUTE(I588, "$", ""))))</f>
        <v>334.56</v>
      </c>
      <c r="K588">
        <f>ROUND(Sheet1[[#This Row],[CleanedUnits_sold]]*Sheet1[[#This Row],[Cleaned_Unit_Price]],2)</f>
        <v>2007.36</v>
      </c>
      <c r="L588">
        <v>2007.36</v>
      </c>
      <c r="M588" s="1" t="s">
        <v>1138</v>
      </c>
      <c r="N588" s="1" t="s">
        <v>26</v>
      </c>
      <c r="O588" s="1" t="s">
        <v>1138</v>
      </c>
    </row>
    <row r="589" spans="1:15" x14ac:dyDescent="0.35">
      <c r="A589" s="1" t="s">
        <v>1139</v>
      </c>
      <c r="B589" s="2">
        <v>45178</v>
      </c>
      <c r="C589" s="1" t="s">
        <v>19</v>
      </c>
      <c r="D589" s="1" t="s">
        <v>12</v>
      </c>
      <c r="E589" s="1" t="str">
        <f>TRIM(CLEAN(Sheet1[[#This Row],[Category]]))</f>
        <v>Office Supplies</v>
      </c>
      <c r="F589">
        <v>5</v>
      </c>
      <c r="G589" t="str">
        <f t="shared" si="9"/>
        <v>2. Mid-Market (4-7 Units)</v>
      </c>
      <c r="H589">
        <v>5</v>
      </c>
      <c r="I589">
        <v>87.56</v>
      </c>
      <c r="J589">
        <f>IF(ISBLANK(I589), ROUND(I589/ABS(VALUE(_xlfn.TEXTBEFORE(F589&amp;" ", " "))), 2), ABS(VALUE(SUBSTITUTE(I589, "$", ""))))</f>
        <v>87.56</v>
      </c>
      <c r="K589">
        <f>ROUND(Sheet1[[#This Row],[CleanedUnits_sold]]*Sheet1[[#This Row],[Cleaned_Unit_Price]],2)</f>
        <v>437.8</v>
      </c>
      <c r="L589">
        <v>437.8</v>
      </c>
      <c r="M589" s="1" t="s">
        <v>1140</v>
      </c>
      <c r="N589" s="1" t="s">
        <v>14</v>
      </c>
      <c r="O589" s="1" t="s">
        <v>1140</v>
      </c>
    </row>
    <row r="590" spans="1:15" x14ac:dyDescent="0.35">
      <c r="A590" s="1" t="s">
        <v>1141</v>
      </c>
      <c r="B590" s="2">
        <v>44964</v>
      </c>
      <c r="C590" s="1" t="s">
        <v>23</v>
      </c>
      <c r="D590" s="1" t="s">
        <v>24</v>
      </c>
      <c r="E590" s="1" t="str">
        <f>TRIM(CLEAN(Sheet1[[#This Row],[Category]]))</f>
        <v>Electronics</v>
      </c>
      <c r="F590">
        <v>5</v>
      </c>
      <c r="G590" t="str">
        <f t="shared" si="9"/>
        <v>2. Mid-Market (4-7 Units)</v>
      </c>
      <c r="H590">
        <v>5</v>
      </c>
      <c r="I590">
        <v>347.18</v>
      </c>
      <c r="J590">
        <f>IF(ISBLANK(I590), ROUND(I590/ABS(VALUE(_xlfn.TEXTBEFORE(F590&amp;" ", " "))), 2), ABS(VALUE(SUBSTITUTE(I590, "$", ""))))</f>
        <v>347.18</v>
      </c>
      <c r="K590">
        <f>ROUND(Sheet1[[#This Row],[CleanedUnits_sold]]*Sheet1[[#This Row],[Cleaned_Unit_Price]],2)</f>
        <v>1735.9</v>
      </c>
      <c r="L590">
        <v>1735.9</v>
      </c>
      <c r="M590" s="1" t="s">
        <v>1142</v>
      </c>
      <c r="N590" s="1" t="s">
        <v>38</v>
      </c>
      <c r="O590" s="1" t="s">
        <v>1142</v>
      </c>
    </row>
    <row r="591" spans="1:15" x14ac:dyDescent="0.35">
      <c r="A591" s="1" t="s">
        <v>1143</v>
      </c>
      <c r="B591" s="2">
        <v>45292</v>
      </c>
      <c r="C591" s="1" t="s">
        <v>16</v>
      </c>
      <c r="D591" s="1" t="s">
        <v>12</v>
      </c>
      <c r="E591" s="1" t="str">
        <f>TRIM(CLEAN(Sheet1[[#This Row],[Category]]))</f>
        <v>Office Supplies</v>
      </c>
      <c r="F591">
        <v>5</v>
      </c>
      <c r="G591" t="str">
        <f t="shared" si="9"/>
        <v>2. Mid-Market (4-7 Units)</v>
      </c>
      <c r="H591">
        <v>5</v>
      </c>
      <c r="I591">
        <v>72.81</v>
      </c>
      <c r="J591">
        <f>IF(ISBLANK(I591), ROUND(I591/ABS(VALUE(_xlfn.TEXTBEFORE(F591&amp;" ", " "))), 2), ABS(VALUE(SUBSTITUTE(I591, "$", ""))))</f>
        <v>72.81</v>
      </c>
      <c r="K591">
        <f>ROUND(Sheet1[[#This Row],[CleanedUnits_sold]]*Sheet1[[#This Row],[Cleaned_Unit_Price]],2)</f>
        <v>364.05</v>
      </c>
      <c r="L591">
        <v>364.05</v>
      </c>
      <c r="M591" s="1" t="s">
        <v>1144</v>
      </c>
      <c r="N591" s="1" t="s">
        <v>50</v>
      </c>
      <c r="O591" s="1" t="s">
        <v>1144</v>
      </c>
    </row>
    <row r="592" spans="1:15" x14ac:dyDescent="0.35">
      <c r="A592" s="1" t="s">
        <v>1145</v>
      </c>
      <c r="B592" s="2">
        <v>45276</v>
      </c>
      <c r="C592" s="1" t="s">
        <v>16</v>
      </c>
      <c r="D592" s="1" t="s">
        <v>24</v>
      </c>
      <c r="E592" s="1" t="str">
        <f>TRIM(CLEAN(Sheet1[[#This Row],[Category]]))</f>
        <v>Electronics</v>
      </c>
      <c r="F592">
        <v>3</v>
      </c>
      <c r="G592" t="str">
        <f t="shared" si="9"/>
        <v>1. Retail (1-3 Units)</v>
      </c>
      <c r="H592">
        <v>3</v>
      </c>
      <c r="I592">
        <v>-107.58</v>
      </c>
      <c r="J592">
        <f>IF(ISBLANK(I592), ROUND(I592/ABS(VALUE(_xlfn.TEXTBEFORE(F592&amp;" ", " "))), 2), ABS(VALUE(SUBSTITUTE(I592, "$", ""))))</f>
        <v>107.58</v>
      </c>
      <c r="K592">
        <f>ROUND(Sheet1[[#This Row],[CleanedUnits_sold]]*Sheet1[[#This Row],[Cleaned_Unit_Price]],2)</f>
        <v>322.74</v>
      </c>
      <c r="L592">
        <v>655.26</v>
      </c>
      <c r="M592" s="1" t="s">
        <v>1146</v>
      </c>
      <c r="N592" s="1" t="s">
        <v>14</v>
      </c>
      <c r="O592" s="1" t="s">
        <v>1146</v>
      </c>
    </row>
    <row r="593" spans="1:15" x14ac:dyDescent="0.35">
      <c r="A593" s="1" t="s">
        <v>1147</v>
      </c>
      <c r="B593" s="2">
        <v>45290</v>
      </c>
      <c r="C593" s="1" t="s">
        <v>16</v>
      </c>
      <c r="D593" s="1" t="s">
        <v>32</v>
      </c>
      <c r="E593" s="1" t="str">
        <f>TRIM(CLEAN(Sheet1[[#This Row],[Category]]))</f>
        <v>Furniture</v>
      </c>
      <c r="F593">
        <v>6</v>
      </c>
      <c r="G593" t="str">
        <f t="shared" si="9"/>
        <v>2. Mid-Market (4-7 Units)</v>
      </c>
      <c r="H593">
        <v>6</v>
      </c>
      <c r="I593">
        <v>131.13</v>
      </c>
      <c r="J593">
        <f>IF(ISBLANK(I593), ROUND(I593/ABS(VALUE(_xlfn.TEXTBEFORE(F593&amp;" ", " "))), 2), ABS(VALUE(SUBSTITUTE(I593, "$", ""))))</f>
        <v>131.13</v>
      </c>
      <c r="K593">
        <f>ROUND(Sheet1[[#This Row],[CleanedUnits_sold]]*Sheet1[[#This Row],[Cleaned_Unit_Price]],2)</f>
        <v>786.78</v>
      </c>
      <c r="L593">
        <v>786.78</v>
      </c>
      <c r="M593" s="1" t="s">
        <v>1148</v>
      </c>
      <c r="N593" s="1" t="s">
        <v>38</v>
      </c>
      <c r="O593" s="1" t="s">
        <v>1148</v>
      </c>
    </row>
    <row r="594" spans="1:15" x14ac:dyDescent="0.35">
      <c r="A594" s="1" t="s">
        <v>1149</v>
      </c>
      <c r="B594" s="2">
        <v>45075</v>
      </c>
      <c r="C594" s="1" t="s">
        <v>19</v>
      </c>
      <c r="D594" s="1" t="s">
        <v>24</v>
      </c>
      <c r="E594" s="1" t="str">
        <f>TRIM(CLEAN(Sheet1[[#This Row],[Category]]))</f>
        <v>Electronics</v>
      </c>
      <c r="F594">
        <v>5</v>
      </c>
      <c r="G594" t="str">
        <f t="shared" si="9"/>
        <v>2. Mid-Market (4-7 Units)</v>
      </c>
      <c r="H594">
        <v>5</v>
      </c>
      <c r="I594">
        <v>376.7</v>
      </c>
      <c r="J594">
        <f>IF(ISBLANK(I594), ROUND(I594/ABS(VALUE(_xlfn.TEXTBEFORE(F594&amp;" ", " "))), 2), ABS(VALUE(SUBSTITUTE(I594, "$", ""))))</f>
        <v>376.7</v>
      </c>
      <c r="K594">
        <f>ROUND(Sheet1[[#This Row],[CleanedUnits_sold]]*Sheet1[[#This Row],[Cleaned_Unit_Price]],2)</f>
        <v>1883.5</v>
      </c>
      <c r="L594">
        <v>1506.8</v>
      </c>
      <c r="M594" s="1" t="s">
        <v>1150</v>
      </c>
      <c r="N594" s="1" t="s">
        <v>26</v>
      </c>
      <c r="O594" s="1" t="s">
        <v>1150</v>
      </c>
    </row>
    <row r="595" spans="1:15" x14ac:dyDescent="0.35">
      <c r="A595" s="1" t="s">
        <v>1151</v>
      </c>
      <c r="B595" s="2">
        <v>1</v>
      </c>
      <c r="C595" s="1" t="s">
        <v>16</v>
      </c>
      <c r="D595" s="1" t="s">
        <v>12</v>
      </c>
      <c r="E595" s="1" t="str">
        <f>TRIM(CLEAN(Sheet1[[#This Row],[Category]]))</f>
        <v>Office Supplies</v>
      </c>
      <c r="F595">
        <v>5</v>
      </c>
      <c r="G595" t="str">
        <f t="shared" si="9"/>
        <v>2. Mid-Market (4-7 Units)</v>
      </c>
      <c r="H595">
        <v>5</v>
      </c>
      <c r="I595">
        <v>138.4</v>
      </c>
      <c r="J595">
        <f>IF(ISBLANK(I595), ROUND(I595/ABS(VALUE(_xlfn.TEXTBEFORE(F595&amp;" ", " "))), 2), ABS(VALUE(SUBSTITUTE(I595, "$", ""))))</f>
        <v>138.4</v>
      </c>
      <c r="K595">
        <f>ROUND(Sheet1[[#This Row],[CleanedUnits_sold]]*Sheet1[[#This Row],[Cleaned_Unit_Price]],2)</f>
        <v>692</v>
      </c>
      <c r="L595">
        <v>766.77</v>
      </c>
      <c r="M595" s="1" t="s">
        <v>1152</v>
      </c>
      <c r="N595" s="1" t="s">
        <v>26</v>
      </c>
      <c r="O595" s="1" t="s">
        <v>1152</v>
      </c>
    </row>
    <row r="596" spans="1:15" x14ac:dyDescent="0.35">
      <c r="A596" s="1" t="s">
        <v>1153</v>
      </c>
      <c r="B596" s="2">
        <v>1</v>
      </c>
      <c r="C596" s="1" t="s">
        <v>23</v>
      </c>
      <c r="D596" s="1" t="s">
        <v>24</v>
      </c>
      <c r="E596" s="1" t="str">
        <f>TRIM(CLEAN(Sheet1[[#This Row],[Category]]))</f>
        <v>Electronics</v>
      </c>
      <c r="F596">
        <v>3</v>
      </c>
      <c r="G596" t="str">
        <f t="shared" si="9"/>
        <v>1. Retail (1-3 Units)</v>
      </c>
      <c r="H596">
        <v>3</v>
      </c>
      <c r="I596">
        <v>442.04</v>
      </c>
      <c r="J596">
        <f>IF(ISBLANK(I596), ROUND(I596/ABS(VALUE(_xlfn.TEXTBEFORE(F596&amp;" ", " "))), 2), ABS(VALUE(SUBSTITUTE(I596, "$", ""))))</f>
        <v>442.04</v>
      </c>
      <c r="K596">
        <f>ROUND(Sheet1[[#This Row],[CleanedUnits_sold]]*Sheet1[[#This Row],[Cleaned_Unit_Price]],2)</f>
        <v>1326.12</v>
      </c>
      <c r="L596">
        <v>1326.12</v>
      </c>
      <c r="M596" s="1" t="s">
        <v>1154</v>
      </c>
      <c r="N596" s="1" t="s">
        <v>21</v>
      </c>
      <c r="O596" s="1" t="s">
        <v>1154</v>
      </c>
    </row>
    <row r="597" spans="1:15" x14ac:dyDescent="0.35">
      <c r="A597" s="1" t="s">
        <v>1155</v>
      </c>
      <c r="B597" s="2">
        <v>1</v>
      </c>
      <c r="C597" s="1" t="s">
        <v>16</v>
      </c>
      <c r="D597" s="1" t="s">
        <v>24</v>
      </c>
      <c r="E597" s="1" t="str">
        <f>TRIM(CLEAN(Sheet1[[#This Row],[Category]]))</f>
        <v>Electronics</v>
      </c>
      <c r="F597">
        <v>7</v>
      </c>
      <c r="G597" t="str">
        <f t="shared" si="9"/>
        <v>2. Mid-Market (4-7 Units)</v>
      </c>
      <c r="H597">
        <v>7</v>
      </c>
      <c r="I597">
        <v>446.99</v>
      </c>
      <c r="J597">
        <f>IF(ISBLANK(I597), ROUND(I597/ABS(VALUE(_xlfn.TEXTBEFORE(F597&amp;" ", " "))), 2), ABS(VALUE(SUBSTITUTE(I597, "$", ""))))</f>
        <v>446.99</v>
      </c>
      <c r="K597">
        <f>ROUND(Sheet1[[#This Row],[CleanedUnits_sold]]*Sheet1[[#This Row],[Cleaned_Unit_Price]],2)</f>
        <v>3128.93</v>
      </c>
      <c r="L597">
        <v>3128.93</v>
      </c>
      <c r="M597" s="1" t="s">
        <v>1156</v>
      </c>
      <c r="N597" s="1" t="s">
        <v>14</v>
      </c>
      <c r="O597" s="1" t="s">
        <v>1156</v>
      </c>
    </row>
    <row r="598" spans="1:15" x14ac:dyDescent="0.35">
      <c r="A598" s="1" t="s">
        <v>1157</v>
      </c>
      <c r="B598" s="2">
        <v>45179</v>
      </c>
      <c r="C598" s="1" t="s">
        <v>11</v>
      </c>
      <c r="D598" s="1" t="s">
        <v>12</v>
      </c>
      <c r="E598" s="1" t="str">
        <f>TRIM(CLEAN(Sheet1[[#This Row],[Category]]))</f>
        <v>Office Supplies</v>
      </c>
      <c r="F598">
        <v>3</v>
      </c>
      <c r="G598" t="str">
        <f t="shared" si="9"/>
        <v>1. Retail (1-3 Units)</v>
      </c>
      <c r="H598">
        <v>3</v>
      </c>
      <c r="I598">
        <v>106.26</v>
      </c>
      <c r="J598">
        <f>IF(ISBLANK(I598), ROUND(I598/ABS(VALUE(_xlfn.TEXTBEFORE(F598&amp;" ", " "))), 2), ABS(VALUE(SUBSTITUTE(I598, "$", ""))))</f>
        <v>106.26</v>
      </c>
      <c r="K598">
        <f>ROUND(Sheet1[[#This Row],[CleanedUnits_sold]]*Sheet1[[#This Row],[Cleaned_Unit_Price]],2)</f>
        <v>318.77999999999997</v>
      </c>
      <c r="L598">
        <v>318.77999999999997</v>
      </c>
      <c r="M598" s="1" t="s">
        <v>1158</v>
      </c>
      <c r="N598" s="1" t="s">
        <v>14</v>
      </c>
      <c r="O598" s="1" t="s">
        <v>1158</v>
      </c>
    </row>
    <row r="599" spans="1:15" x14ac:dyDescent="0.35">
      <c r="A599" s="1" t="s">
        <v>1159</v>
      </c>
      <c r="B599" s="2">
        <v>45220</v>
      </c>
      <c r="C599" s="1" t="s">
        <v>58</v>
      </c>
      <c r="D599" s="1" t="s">
        <v>12</v>
      </c>
      <c r="E599" s="1" t="str">
        <f>TRIM(CLEAN(Sheet1[[#This Row],[Category]]))</f>
        <v>Office Supplies</v>
      </c>
      <c r="F599">
        <v>6</v>
      </c>
      <c r="G599" t="str">
        <f t="shared" si="9"/>
        <v>2. Mid-Market (4-7 Units)</v>
      </c>
      <c r="H599">
        <v>6</v>
      </c>
      <c r="I599">
        <v>310.77999999999997</v>
      </c>
      <c r="J599">
        <f>IF(ISBLANK(I599), ROUND(I599/ABS(VALUE(_xlfn.TEXTBEFORE(F599&amp;" ", " "))), 2), ABS(VALUE(SUBSTITUTE(I599, "$", ""))))</f>
        <v>310.77999999999997</v>
      </c>
      <c r="K599">
        <f>ROUND(Sheet1[[#This Row],[CleanedUnits_sold]]*Sheet1[[#This Row],[Cleaned_Unit_Price]],2)</f>
        <v>1864.68</v>
      </c>
      <c r="L599">
        <v>1864.68</v>
      </c>
      <c r="M599" s="1" t="s">
        <v>84</v>
      </c>
      <c r="N599" s="1" t="s">
        <v>50</v>
      </c>
      <c r="O599" s="1" t="s">
        <v>85</v>
      </c>
    </row>
    <row r="600" spans="1:15" x14ac:dyDescent="0.35">
      <c r="A600" s="1" t="s">
        <v>1160</v>
      </c>
      <c r="B600" s="2">
        <v>45209</v>
      </c>
      <c r="C600" s="1" t="s">
        <v>11</v>
      </c>
      <c r="D600" s="1" t="s">
        <v>12</v>
      </c>
      <c r="E600" s="1" t="str">
        <f>TRIM(CLEAN(Sheet1[[#This Row],[Category]]))</f>
        <v>Office Supplies</v>
      </c>
      <c r="F600">
        <v>7</v>
      </c>
      <c r="G600" t="str">
        <f t="shared" si="9"/>
        <v>2. Mid-Market (4-7 Units)</v>
      </c>
      <c r="H600">
        <v>7</v>
      </c>
      <c r="I600">
        <v>52.98</v>
      </c>
      <c r="J600">
        <f>IF(ISBLANK(I600), ROUND(I600/ABS(VALUE(_xlfn.TEXTBEFORE(F600&amp;" ", " "))), 2), ABS(VALUE(SUBSTITUTE(I600, "$", ""))))</f>
        <v>52.98</v>
      </c>
      <c r="K600">
        <f>ROUND(Sheet1[[#This Row],[CleanedUnits_sold]]*Sheet1[[#This Row],[Cleaned_Unit_Price]],2)</f>
        <v>370.86</v>
      </c>
      <c r="L600">
        <v>370.86</v>
      </c>
      <c r="M600" s="1" t="s">
        <v>1161</v>
      </c>
      <c r="N600" s="1" t="s">
        <v>26</v>
      </c>
      <c r="O600" s="1" t="s">
        <v>1161</v>
      </c>
    </row>
    <row r="601" spans="1:15" x14ac:dyDescent="0.35">
      <c r="A601" s="1" t="s">
        <v>1162</v>
      </c>
      <c r="B601" s="2">
        <v>44971</v>
      </c>
      <c r="C601" s="1" t="s">
        <v>11</v>
      </c>
      <c r="D601" s="1" t="s">
        <v>12</v>
      </c>
      <c r="E601" s="1" t="str">
        <f>TRIM(CLEAN(Sheet1[[#This Row],[Category]]))</f>
        <v>Office Supplies</v>
      </c>
      <c r="F601">
        <v>1</v>
      </c>
      <c r="G601" t="str">
        <f t="shared" si="9"/>
        <v>1. Retail (1-3 Units)</v>
      </c>
      <c r="H601">
        <v>1</v>
      </c>
      <c r="I601">
        <v>201.85</v>
      </c>
      <c r="J601">
        <f>IF(ISBLANK(I601), ROUND(I601/ABS(VALUE(_xlfn.TEXTBEFORE(F601&amp;" ", " "))), 2), ABS(VALUE(SUBSTITUTE(I601, "$", ""))))</f>
        <v>201.85</v>
      </c>
      <c r="K601">
        <f>ROUND(Sheet1[[#This Row],[CleanedUnits_sold]]*Sheet1[[#This Row],[Cleaned_Unit_Price]],2)</f>
        <v>201.85</v>
      </c>
      <c r="L601">
        <v>494.14</v>
      </c>
      <c r="M601" s="1" t="s">
        <v>1163</v>
      </c>
      <c r="N601" s="1" t="s">
        <v>38</v>
      </c>
      <c r="O601" s="1" t="s">
        <v>1163</v>
      </c>
    </row>
    <row r="602" spans="1:15" x14ac:dyDescent="0.35">
      <c r="A602" s="1" t="s">
        <v>1164</v>
      </c>
      <c r="B602" s="2">
        <v>45172</v>
      </c>
      <c r="C602" s="1" t="s">
        <v>16</v>
      </c>
      <c r="D602" s="1" t="s">
        <v>24</v>
      </c>
      <c r="E602" s="1" t="str">
        <f>TRIM(CLEAN(Sheet1[[#This Row],[Category]]))</f>
        <v>Electronics</v>
      </c>
      <c r="F602">
        <v>6</v>
      </c>
      <c r="G602" t="str">
        <f t="shared" si="9"/>
        <v>2. Mid-Market (4-7 Units)</v>
      </c>
      <c r="H602">
        <v>6</v>
      </c>
      <c r="I602">
        <v>359.53</v>
      </c>
      <c r="J602">
        <f>IF(ISBLANK(I602), ROUND(I602/ABS(VALUE(_xlfn.TEXTBEFORE(F602&amp;" ", " "))), 2), ABS(VALUE(SUBSTITUTE(I602, "$", ""))))</f>
        <v>359.53</v>
      </c>
      <c r="K602">
        <f>ROUND(Sheet1[[#This Row],[CleanedUnits_sold]]*Sheet1[[#This Row],[Cleaned_Unit_Price]],2)</f>
        <v>2157.1799999999998</v>
      </c>
      <c r="M602" s="1" t="s">
        <v>1165</v>
      </c>
      <c r="N602" s="1" t="s">
        <v>50</v>
      </c>
      <c r="O602" s="1" t="s">
        <v>1165</v>
      </c>
    </row>
    <row r="603" spans="1:15" x14ac:dyDescent="0.35">
      <c r="A603" s="1" t="s">
        <v>1166</v>
      </c>
      <c r="B603" s="2">
        <v>45221</v>
      </c>
      <c r="C603" s="1" t="s">
        <v>23</v>
      </c>
      <c r="D603" s="1" t="s">
        <v>46</v>
      </c>
      <c r="E603" s="1" t="str">
        <f>TRIM(CLEAN(Sheet1[[#This Row],[Category]]))</f>
        <v>Furniture</v>
      </c>
      <c r="F603">
        <v>4</v>
      </c>
      <c r="G603" t="str">
        <f t="shared" si="9"/>
        <v>2. Mid-Market (4-7 Units)</v>
      </c>
      <c r="H603">
        <v>4</v>
      </c>
      <c r="I603">
        <v>333.12</v>
      </c>
      <c r="J603">
        <f>IF(ISBLANK(I603), ROUND(I603/ABS(VALUE(_xlfn.TEXTBEFORE(F603&amp;" ", " "))), 2), ABS(VALUE(SUBSTITUTE(I603, "$", ""))))</f>
        <v>333.12</v>
      </c>
      <c r="K603">
        <f>ROUND(Sheet1[[#This Row],[CleanedUnits_sold]]*Sheet1[[#This Row],[Cleaned_Unit_Price]],2)</f>
        <v>1332.48</v>
      </c>
      <c r="L603">
        <v>1332.48</v>
      </c>
      <c r="M603" s="1"/>
      <c r="N603" s="1" t="s">
        <v>50</v>
      </c>
      <c r="O603" s="1" t="s">
        <v>131</v>
      </c>
    </row>
    <row r="604" spans="1:15" x14ac:dyDescent="0.35">
      <c r="A604" s="1" t="s">
        <v>1167</v>
      </c>
      <c r="B604" s="2">
        <v>45089</v>
      </c>
      <c r="C604" s="1" t="s">
        <v>11</v>
      </c>
      <c r="D604" s="1" t="s">
        <v>24</v>
      </c>
      <c r="E604" s="1" t="str">
        <f>TRIM(CLEAN(Sheet1[[#This Row],[Category]]))</f>
        <v>Electronics</v>
      </c>
      <c r="F604">
        <v>2</v>
      </c>
      <c r="G604" t="str">
        <f t="shared" si="9"/>
        <v>1. Retail (1-3 Units)</v>
      </c>
      <c r="H604">
        <v>2</v>
      </c>
      <c r="I604">
        <v>316.10000000000002</v>
      </c>
      <c r="J604">
        <f>IF(ISBLANK(I604), ROUND(I604/ABS(VALUE(_xlfn.TEXTBEFORE(F604&amp;" ", " "))), 2), ABS(VALUE(SUBSTITUTE(I604, "$", ""))))</f>
        <v>316.10000000000002</v>
      </c>
      <c r="K604">
        <f>ROUND(Sheet1[[#This Row],[CleanedUnits_sold]]*Sheet1[[#This Row],[Cleaned_Unit_Price]],2)</f>
        <v>632.20000000000005</v>
      </c>
      <c r="L604">
        <v>912.5</v>
      </c>
      <c r="M604" s="1" t="s">
        <v>1168</v>
      </c>
      <c r="N604" s="1" t="s">
        <v>14</v>
      </c>
      <c r="O604" s="1" t="s">
        <v>1168</v>
      </c>
    </row>
    <row r="605" spans="1:15" x14ac:dyDescent="0.35">
      <c r="A605" s="1" t="s">
        <v>1169</v>
      </c>
      <c r="B605" s="2">
        <v>45275</v>
      </c>
      <c r="C605" s="1" t="s">
        <v>19</v>
      </c>
      <c r="D605" s="1" t="s">
        <v>12</v>
      </c>
      <c r="E605" s="1" t="str">
        <f>TRIM(CLEAN(Sheet1[[#This Row],[Category]]))</f>
        <v>Office Supplies</v>
      </c>
      <c r="F605">
        <v>2</v>
      </c>
      <c r="G605" t="str">
        <f t="shared" si="9"/>
        <v>1. Retail (1-3 Units)</v>
      </c>
      <c r="H605">
        <v>2</v>
      </c>
      <c r="I605">
        <v>148.44999999999999</v>
      </c>
      <c r="J605">
        <f>IF(ISBLANK(I605), ROUND(I605/ABS(VALUE(_xlfn.TEXTBEFORE(F605&amp;" ", " "))), 2), ABS(VALUE(SUBSTITUTE(I605, "$", ""))))</f>
        <v>148.44999999999999</v>
      </c>
      <c r="K605">
        <f>ROUND(Sheet1[[#This Row],[CleanedUnits_sold]]*Sheet1[[#This Row],[Cleaned_Unit_Price]],2)</f>
        <v>296.89999999999998</v>
      </c>
      <c r="L605">
        <v>296.89999999999998</v>
      </c>
      <c r="M605" s="1" t="s">
        <v>1170</v>
      </c>
      <c r="N605" s="1" t="s">
        <v>14</v>
      </c>
      <c r="O605" s="1" t="s">
        <v>1170</v>
      </c>
    </row>
    <row r="606" spans="1:15" x14ac:dyDescent="0.35">
      <c r="A606" s="1" t="s">
        <v>1171</v>
      </c>
      <c r="B606" s="2">
        <v>45209</v>
      </c>
      <c r="C606" s="1" t="s">
        <v>11</v>
      </c>
      <c r="D606" s="1" t="s">
        <v>24</v>
      </c>
      <c r="E606" s="1" t="str">
        <f>TRIM(CLEAN(Sheet1[[#This Row],[Category]]))</f>
        <v>Electronics</v>
      </c>
      <c r="F606">
        <v>5</v>
      </c>
      <c r="G606" t="str">
        <f t="shared" si="9"/>
        <v>2. Mid-Market (4-7 Units)</v>
      </c>
      <c r="H606">
        <v>5</v>
      </c>
      <c r="I606">
        <v>195.23</v>
      </c>
      <c r="J606">
        <f>IF(ISBLANK(I606), ROUND(I606/ABS(VALUE(_xlfn.TEXTBEFORE(F606&amp;" ", " "))), 2), ABS(VALUE(SUBSTITUTE(I606, "$", ""))))</f>
        <v>195.23</v>
      </c>
      <c r="K606">
        <f>ROUND(Sheet1[[#This Row],[CleanedUnits_sold]]*Sheet1[[#This Row],[Cleaned_Unit_Price]],2)</f>
        <v>976.15</v>
      </c>
      <c r="L606">
        <v>976.15</v>
      </c>
      <c r="M606" s="1" t="s">
        <v>1172</v>
      </c>
      <c r="N606" s="1" t="s">
        <v>26</v>
      </c>
      <c r="O606" s="1" t="s">
        <v>1172</v>
      </c>
    </row>
    <row r="607" spans="1:15" x14ac:dyDescent="0.35">
      <c r="A607" s="1" t="s">
        <v>1173</v>
      </c>
      <c r="B607" s="2">
        <v>44993</v>
      </c>
      <c r="C607" s="1" t="s">
        <v>23</v>
      </c>
      <c r="D607" s="1" t="s">
        <v>32</v>
      </c>
      <c r="E607" s="1" t="str">
        <f>TRIM(CLEAN(Sheet1[[#This Row],[Category]]))</f>
        <v>Furniture</v>
      </c>
      <c r="F607">
        <v>5</v>
      </c>
      <c r="G607" t="str">
        <f t="shared" si="9"/>
        <v>2. Mid-Market (4-7 Units)</v>
      </c>
      <c r="H607">
        <v>5</v>
      </c>
      <c r="I607">
        <v>60.44</v>
      </c>
      <c r="J607">
        <f>IF(ISBLANK(I607), ROUND(I607/ABS(VALUE(_xlfn.TEXTBEFORE(F607&amp;" ", " "))), 2), ABS(VALUE(SUBSTITUTE(I607, "$", ""))))</f>
        <v>60.44</v>
      </c>
      <c r="K607">
        <f>ROUND(Sheet1[[#This Row],[CleanedUnits_sold]]*Sheet1[[#This Row],[Cleaned_Unit_Price]],2)</f>
        <v>302.2</v>
      </c>
      <c r="L607">
        <v>302.2</v>
      </c>
      <c r="M607" s="1" t="s">
        <v>1174</v>
      </c>
      <c r="N607" s="1" t="s">
        <v>26</v>
      </c>
      <c r="O607" s="1" t="s">
        <v>1174</v>
      </c>
    </row>
    <row r="608" spans="1:15" x14ac:dyDescent="0.35">
      <c r="A608" s="1" t="s">
        <v>1175</v>
      </c>
      <c r="B608" s="2">
        <v>44955</v>
      </c>
      <c r="C608" s="1" t="s">
        <v>16</v>
      </c>
      <c r="D608" s="1" t="s">
        <v>24</v>
      </c>
      <c r="E608" s="1" t="str">
        <f>TRIM(CLEAN(Sheet1[[#This Row],[Category]]))</f>
        <v>Electronics</v>
      </c>
      <c r="F608">
        <v>3</v>
      </c>
      <c r="G608" t="str">
        <f t="shared" si="9"/>
        <v>1. Retail (1-3 Units)</v>
      </c>
      <c r="H608">
        <v>3</v>
      </c>
      <c r="I608">
        <v>362.32</v>
      </c>
      <c r="J608">
        <f>IF(ISBLANK(I608), ROUND(I608/ABS(VALUE(_xlfn.TEXTBEFORE(F608&amp;" ", " "))), 2), ABS(VALUE(SUBSTITUTE(I608, "$", ""))))</f>
        <v>362.32</v>
      </c>
      <c r="K608">
        <f>ROUND(Sheet1[[#This Row],[CleanedUnits_sold]]*Sheet1[[#This Row],[Cleaned_Unit_Price]],2)</f>
        <v>1086.96</v>
      </c>
      <c r="L608">
        <v>1086.96</v>
      </c>
      <c r="M608" s="1" t="s">
        <v>1176</v>
      </c>
      <c r="N608" s="1" t="s">
        <v>26</v>
      </c>
      <c r="O608" s="1" t="s">
        <v>1176</v>
      </c>
    </row>
    <row r="609" spans="1:15" x14ac:dyDescent="0.35">
      <c r="A609" s="1" t="s">
        <v>1177</v>
      </c>
      <c r="B609" s="2">
        <v>45052</v>
      </c>
      <c r="C609" s="1" t="s">
        <v>23</v>
      </c>
      <c r="D609" s="1" t="s">
        <v>12</v>
      </c>
      <c r="E609" s="1" t="str">
        <f>TRIM(CLEAN(Sheet1[[#This Row],[Category]]))</f>
        <v>Office Supplies</v>
      </c>
      <c r="F609">
        <v>5</v>
      </c>
      <c r="G609" t="str">
        <f t="shared" si="9"/>
        <v>2. Mid-Market (4-7 Units)</v>
      </c>
      <c r="H609">
        <v>5</v>
      </c>
      <c r="I609">
        <v>256.91000000000003</v>
      </c>
      <c r="J609">
        <f>IF(ISBLANK(I609), ROUND(I609/ABS(VALUE(_xlfn.TEXTBEFORE(F609&amp;" ", " "))), 2), ABS(VALUE(SUBSTITUTE(I609, "$", ""))))</f>
        <v>256.91000000000003</v>
      </c>
      <c r="K609">
        <f>ROUND(Sheet1[[#This Row],[CleanedUnits_sold]]*Sheet1[[#This Row],[Cleaned_Unit_Price]],2)</f>
        <v>1284.55</v>
      </c>
      <c r="L609">
        <v>1284.55</v>
      </c>
      <c r="M609" s="1" t="s">
        <v>1178</v>
      </c>
      <c r="N609" s="1" t="s">
        <v>21</v>
      </c>
      <c r="O609" s="1" t="s">
        <v>1178</v>
      </c>
    </row>
    <row r="610" spans="1:15" x14ac:dyDescent="0.35">
      <c r="A610" s="1" t="s">
        <v>1179</v>
      </c>
      <c r="B610" s="2">
        <v>1</v>
      </c>
      <c r="C610" s="1" t="s">
        <v>16</v>
      </c>
      <c r="D610" s="1" t="s">
        <v>24</v>
      </c>
      <c r="E610" s="1" t="str">
        <f>TRIM(CLEAN(Sheet1[[#This Row],[Category]]))</f>
        <v>Electronics</v>
      </c>
      <c r="F610">
        <v>11</v>
      </c>
      <c r="G610" t="str">
        <f t="shared" si="9"/>
        <v>3. Wholesale / Bulk (8+ Units)</v>
      </c>
      <c r="H610">
        <v>11</v>
      </c>
      <c r="I610">
        <v>357.3</v>
      </c>
      <c r="J610">
        <f>IF(ISBLANK(I610), ROUND(I610/ABS(VALUE(_xlfn.TEXTBEFORE(F610&amp;" ", " "))), 2), ABS(VALUE(SUBSTITUTE(I610, "$", ""))))</f>
        <v>357.3</v>
      </c>
      <c r="K610">
        <f>ROUND(Sheet1[[#This Row],[CleanedUnits_sold]]*Sheet1[[#This Row],[Cleaned_Unit_Price]],2)</f>
        <v>3930.3</v>
      </c>
      <c r="L610">
        <v>3930.3</v>
      </c>
      <c r="M610" s="1" t="s">
        <v>1180</v>
      </c>
      <c r="N610" s="1" t="s">
        <v>50</v>
      </c>
      <c r="O610" s="1" t="s">
        <v>1180</v>
      </c>
    </row>
    <row r="611" spans="1:15" x14ac:dyDescent="0.35">
      <c r="A611" s="1" t="s">
        <v>1181</v>
      </c>
      <c r="B611" s="2">
        <v>45192</v>
      </c>
      <c r="C611" s="1" t="s">
        <v>58</v>
      </c>
      <c r="D611" s="1" t="s">
        <v>12</v>
      </c>
      <c r="E611" s="1" t="str">
        <f>TRIM(CLEAN(Sheet1[[#This Row],[Category]]))</f>
        <v>Office Supplies</v>
      </c>
      <c r="F611">
        <v>2</v>
      </c>
      <c r="G611" t="str">
        <f t="shared" si="9"/>
        <v>1. Retail (1-3 Units)</v>
      </c>
      <c r="H611">
        <v>2</v>
      </c>
      <c r="I611">
        <v>131.97999999999999</v>
      </c>
      <c r="J611">
        <f>IF(ISBLANK(I611), ROUND(I611/ABS(VALUE(_xlfn.TEXTBEFORE(F611&amp;" ", " "))), 2), ABS(VALUE(SUBSTITUTE(I611, "$", ""))))</f>
        <v>131.97999999999999</v>
      </c>
      <c r="K611">
        <f>ROUND(Sheet1[[#This Row],[CleanedUnits_sold]]*Sheet1[[#This Row],[Cleaned_Unit_Price]],2)</f>
        <v>263.95999999999998</v>
      </c>
      <c r="L611">
        <v>263.95999999999998</v>
      </c>
      <c r="M611" s="1" t="s">
        <v>49</v>
      </c>
      <c r="N611" s="1" t="s">
        <v>50</v>
      </c>
      <c r="O611" s="1" t="s">
        <v>51</v>
      </c>
    </row>
    <row r="612" spans="1:15" x14ac:dyDescent="0.35">
      <c r="A612" s="1" t="s">
        <v>1182</v>
      </c>
      <c r="B612" s="2">
        <v>45174</v>
      </c>
      <c r="C612" s="1" t="s">
        <v>16</v>
      </c>
      <c r="D612" s="1" t="s">
        <v>46</v>
      </c>
      <c r="E612" s="1" t="str">
        <f>TRIM(CLEAN(Sheet1[[#This Row],[Category]]))</f>
        <v>Furniture</v>
      </c>
      <c r="F612">
        <v>6</v>
      </c>
      <c r="G612" t="str">
        <f t="shared" si="9"/>
        <v>2. Mid-Market (4-7 Units)</v>
      </c>
      <c r="H612">
        <v>6</v>
      </c>
      <c r="I612">
        <v>168.97</v>
      </c>
      <c r="J612">
        <f>IF(ISBLANK(I612), ROUND(I612/ABS(VALUE(_xlfn.TEXTBEFORE(F612&amp;" ", " "))), 2), ABS(VALUE(SUBSTITUTE(I612, "$", ""))))</f>
        <v>168.97</v>
      </c>
      <c r="K612">
        <f>ROUND(Sheet1[[#This Row],[CleanedUnits_sold]]*Sheet1[[#This Row],[Cleaned_Unit_Price]],2)</f>
        <v>1013.82</v>
      </c>
      <c r="L612">
        <v>1013.82</v>
      </c>
      <c r="M612" s="1" t="s">
        <v>1183</v>
      </c>
      <c r="N612" s="1" t="s">
        <v>26</v>
      </c>
      <c r="O612" s="1" t="s">
        <v>1183</v>
      </c>
    </row>
    <row r="613" spans="1:15" x14ac:dyDescent="0.35">
      <c r="A613" s="1" t="s">
        <v>1184</v>
      </c>
      <c r="B613" s="2">
        <v>45209</v>
      </c>
      <c r="C613" s="1" t="s">
        <v>19</v>
      </c>
      <c r="D613" s="1" t="s">
        <v>24</v>
      </c>
      <c r="E613" s="1" t="str">
        <f>TRIM(CLEAN(Sheet1[[#This Row],[Category]]))</f>
        <v>Electronics</v>
      </c>
      <c r="F613">
        <v>5</v>
      </c>
      <c r="G613" t="str">
        <f t="shared" si="9"/>
        <v>2. Mid-Market (4-7 Units)</v>
      </c>
      <c r="H613">
        <v>5</v>
      </c>
      <c r="I613">
        <v>173.77</v>
      </c>
      <c r="J613">
        <f>IF(ISBLANK(I613), ROUND(I613/ABS(VALUE(_xlfn.TEXTBEFORE(F613&amp;" ", " "))), 2), ABS(VALUE(SUBSTITUTE(I613, "$", ""))))</f>
        <v>173.77</v>
      </c>
      <c r="K613">
        <f>ROUND(Sheet1[[#This Row],[CleanedUnits_sold]]*Sheet1[[#This Row],[Cleaned_Unit_Price]],2)</f>
        <v>868.85</v>
      </c>
      <c r="L613">
        <v>868.85</v>
      </c>
      <c r="M613" s="1" t="s">
        <v>1185</v>
      </c>
      <c r="N613" s="1" t="s">
        <v>50</v>
      </c>
      <c r="O613" s="1" t="s">
        <v>1185</v>
      </c>
    </row>
    <row r="614" spans="1:15" x14ac:dyDescent="0.35">
      <c r="A614" s="1" t="s">
        <v>1186</v>
      </c>
      <c r="B614" s="2">
        <v>45082</v>
      </c>
      <c r="C614" s="1" t="s">
        <v>19</v>
      </c>
      <c r="D614" s="1" t="s">
        <v>24</v>
      </c>
      <c r="E614" s="1" t="str">
        <f>TRIM(CLEAN(Sheet1[[#This Row],[Category]]))</f>
        <v>Electronics</v>
      </c>
      <c r="G614" t="str">
        <f t="shared" si="9"/>
        <v>1. Retail (1-3 Units)</v>
      </c>
      <c r="H614">
        <v>3</v>
      </c>
      <c r="I614">
        <v>22.61</v>
      </c>
      <c r="J614">
        <f>IF(ISBLANK(I614), ROUND(I614/ABS(VALUE(_xlfn.TEXTBEFORE(F614&amp;" ", " "))), 2), ABS(VALUE(SUBSTITUTE(I614, "$", ""))))</f>
        <v>22.61</v>
      </c>
      <c r="K614">
        <f>ROUND(Sheet1[[#This Row],[CleanedUnits_sold]]*Sheet1[[#This Row],[Cleaned_Unit_Price]],2)</f>
        <v>67.83</v>
      </c>
      <c r="L614">
        <v>67.83</v>
      </c>
      <c r="M614" s="1" t="s">
        <v>1187</v>
      </c>
      <c r="N614" s="1" t="s">
        <v>14</v>
      </c>
      <c r="O614" s="1" t="s">
        <v>1187</v>
      </c>
    </row>
    <row r="615" spans="1:15" x14ac:dyDescent="0.35">
      <c r="A615" s="1" t="s">
        <v>1188</v>
      </c>
      <c r="B615" s="2">
        <v>1</v>
      </c>
      <c r="C615" s="1" t="s">
        <v>58</v>
      </c>
      <c r="D615" s="1" t="s">
        <v>12</v>
      </c>
      <c r="E615" s="1" t="str">
        <f>TRIM(CLEAN(Sheet1[[#This Row],[Category]]))</f>
        <v>Office Supplies</v>
      </c>
      <c r="F615">
        <v>4</v>
      </c>
      <c r="G615" t="str">
        <f t="shared" si="9"/>
        <v>2. Mid-Market (4-7 Units)</v>
      </c>
      <c r="H615">
        <v>4</v>
      </c>
      <c r="I615">
        <v>177.11</v>
      </c>
      <c r="J615">
        <f>IF(ISBLANK(I615), ROUND(I615/ABS(VALUE(_xlfn.TEXTBEFORE(F615&amp;" ", " "))), 2), ABS(VALUE(SUBSTITUTE(I615, "$", ""))))</f>
        <v>177.11</v>
      </c>
      <c r="K615">
        <f>ROUND(Sheet1[[#This Row],[CleanedUnits_sold]]*Sheet1[[#This Row],[Cleaned_Unit_Price]],2)</f>
        <v>708.44</v>
      </c>
      <c r="L615">
        <v>708.44</v>
      </c>
      <c r="M615" s="1" t="s">
        <v>1189</v>
      </c>
      <c r="N615" s="1" t="s">
        <v>14</v>
      </c>
      <c r="O615" s="1" t="s">
        <v>1189</v>
      </c>
    </row>
    <row r="616" spans="1:15" x14ac:dyDescent="0.35">
      <c r="A616" s="1" t="s">
        <v>1190</v>
      </c>
      <c r="B616" s="2">
        <v>45246</v>
      </c>
      <c r="C616" s="1" t="s">
        <v>19</v>
      </c>
      <c r="D616" s="1" t="s">
        <v>12</v>
      </c>
      <c r="E616" s="1" t="str">
        <f>TRIM(CLEAN(Sheet1[[#This Row],[Category]]))</f>
        <v>Office Supplies</v>
      </c>
      <c r="F616">
        <v>10</v>
      </c>
      <c r="G616" t="str">
        <f t="shared" si="9"/>
        <v>3. Wholesale / Bulk (8+ Units)</v>
      </c>
      <c r="H616">
        <v>10</v>
      </c>
      <c r="I616">
        <v>403.62</v>
      </c>
      <c r="J616">
        <f>IF(ISBLANK(I616), ROUND(I616/ABS(VALUE(_xlfn.TEXTBEFORE(F616&amp;" ", " "))), 2), ABS(VALUE(SUBSTITUTE(I616, "$", ""))))</f>
        <v>403.62</v>
      </c>
      <c r="K616">
        <f>ROUND(Sheet1[[#This Row],[CleanedUnits_sold]]*Sheet1[[#This Row],[Cleaned_Unit_Price]],2)</f>
        <v>4036.2</v>
      </c>
      <c r="L616">
        <v>4036.2</v>
      </c>
      <c r="M616" s="1" t="s">
        <v>1191</v>
      </c>
      <c r="N616" s="1" t="s">
        <v>14</v>
      </c>
      <c r="O616" s="1" t="s">
        <v>1191</v>
      </c>
    </row>
    <row r="617" spans="1:15" x14ac:dyDescent="0.35">
      <c r="A617" s="1" t="s">
        <v>1192</v>
      </c>
      <c r="B617" s="2">
        <v>45215</v>
      </c>
      <c r="C617" s="1" t="s">
        <v>16</v>
      </c>
      <c r="D617" s="1" t="s">
        <v>24</v>
      </c>
      <c r="E617" s="1" t="str">
        <f>TRIM(CLEAN(Sheet1[[#This Row],[Category]]))</f>
        <v>Electronics</v>
      </c>
      <c r="F617">
        <v>1</v>
      </c>
      <c r="G617" t="str">
        <f t="shared" si="9"/>
        <v>1. Retail (1-3 Units)</v>
      </c>
      <c r="H617">
        <v>1</v>
      </c>
      <c r="I617">
        <v>449.68</v>
      </c>
      <c r="J617">
        <f>IF(ISBLANK(I617), ROUND(I617/ABS(VALUE(_xlfn.TEXTBEFORE(F617&amp;" ", " "))), 2), ABS(VALUE(SUBSTITUTE(I617, "$", ""))))</f>
        <v>449.68</v>
      </c>
      <c r="K617">
        <f>ROUND(Sheet1[[#This Row],[CleanedUnits_sold]]*Sheet1[[#This Row],[Cleaned_Unit_Price]],2)</f>
        <v>449.68</v>
      </c>
      <c r="L617">
        <v>449.68</v>
      </c>
      <c r="M617" s="1" t="s">
        <v>1193</v>
      </c>
      <c r="N617" s="1" t="s">
        <v>38</v>
      </c>
      <c r="O617" s="1" t="s">
        <v>1193</v>
      </c>
    </row>
    <row r="618" spans="1:15" x14ac:dyDescent="0.35">
      <c r="A618" s="1" t="s">
        <v>1194</v>
      </c>
      <c r="B618" s="2">
        <v>44941</v>
      </c>
      <c r="C618" s="1" t="s">
        <v>19</v>
      </c>
      <c r="D618" s="1" t="s">
        <v>46</v>
      </c>
      <c r="E618" s="1" t="str">
        <f>TRIM(CLEAN(Sheet1[[#This Row],[Category]]))</f>
        <v>Furniture</v>
      </c>
      <c r="F618">
        <v>8</v>
      </c>
      <c r="G618" t="str">
        <f t="shared" si="9"/>
        <v>3. Wholesale / Bulk (8+ Units)</v>
      </c>
      <c r="H618">
        <v>8</v>
      </c>
      <c r="I618">
        <v>263.93</v>
      </c>
      <c r="J618">
        <f>IF(ISBLANK(I618), ROUND(I618/ABS(VALUE(_xlfn.TEXTBEFORE(F618&amp;" ", " "))), 2), ABS(VALUE(SUBSTITUTE(I618, "$", ""))))</f>
        <v>263.93</v>
      </c>
      <c r="K618">
        <f>ROUND(Sheet1[[#This Row],[CleanedUnits_sold]]*Sheet1[[#This Row],[Cleaned_Unit_Price]],2)</f>
        <v>2111.44</v>
      </c>
      <c r="L618">
        <v>2111.44</v>
      </c>
      <c r="M618" s="1" t="s">
        <v>1195</v>
      </c>
      <c r="N618" s="1" t="s">
        <v>26</v>
      </c>
      <c r="O618" s="1" t="s">
        <v>1195</v>
      </c>
    </row>
    <row r="619" spans="1:15" x14ac:dyDescent="0.35">
      <c r="A619" s="1" t="s">
        <v>1196</v>
      </c>
      <c r="B619" s="2">
        <v>1</v>
      </c>
      <c r="C619" s="1" t="s">
        <v>16</v>
      </c>
      <c r="D619" s="1" t="s">
        <v>12</v>
      </c>
      <c r="E619" s="1" t="str">
        <f>TRIM(CLEAN(Sheet1[[#This Row],[Category]]))</f>
        <v>Office Supplies</v>
      </c>
      <c r="F619">
        <v>3</v>
      </c>
      <c r="G619" t="str">
        <f t="shared" si="9"/>
        <v>1. Retail (1-3 Units)</v>
      </c>
      <c r="H619">
        <v>3</v>
      </c>
      <c r="I619">
        <v>233.2</v>
      </c>
      <c r="J619">
        <f>IF(ISBLANK(I619), ROUND(I619/ABS(VALUE(_xlfn.TEXTBEFORE(F619&amp;" ", " "))), 2), ABS(VALUE(SUBSTITUTE(I619, "$", ""))))</f>
        <v>233.2</v>
      </c>
      <c r="K619">
        <f>ROUND(Sheet1[[#This Row],[CleanedUnits_sold]]*Sheet1[[#This Row],[Cleaned_Unit_Price]],2)</f>
        <v>699.6</v>
      </c>
      <c r="L619">
        <v>1077.1300000000001</v>
      </c>
      <c r="M619" s="1"/>
      <c r="N619" s="1" t="s">
        <v>38</v>
      </c>
      <c r="O619" s="1" t="s">
        <v>131</v>
      </c>
    </row>
    <row r="620" spans="1:15" x14ac:dyDescent="0.35">
      <c r="A620" s="1" t="s">
        <v>1197</v>
      </c>
      <c r="B620" s="2">
        <v>45222</v>
      </c>
      <c r="C620" s="1" t="s">
        <v>19</v>
      </c>
      <c r="D620" s="1" t="s">
        <v>32</v>
      </c>
      <c r="E620" s="1" t="str">
        <f>TRIM(CLEAN(Sheet1[[#This Row],[Category]]))</f>
        <v>Furniture</v>
      </c>
      <c r="F620">
        <v>5</v>
      </c>
      <c r="G620" t="str">
        <f t="shared" si="9"/>
        <v>2. Mid-Market (4-7 Units)</v>
      </c>
      <c r="H620">
        <v>5</v>
      </c>
      <c r="I620">
        <v>25.1</v>
      </c>
      <c r="J620">
        <f>IF(ISBLANK(I620), ROUND(I620/ABS(VALUE(_xlfn.TEXTBEFORE(F620&amp;" ", " "))), 2), ABS(VALUE(SUBSTITUTE(I620, "$", ""))))</f>
        <v>25.1</v>
      </c>
      <c r="K620">
        <f>ROUND(Sheet1[[#This Row],[CleanedUnits_sold]]*Sheet1[[#This Row],[Cleaned_Unit_Price]],2)</f>
        <v>125.5</v>
      </c>
      <c r="L620">
        <v>125.5</v>
      </c>
      <c r="M620" s="1"/>
      <c r="N620" s="1" t="s">
        <v>26</v>
      </c>
      <c r="O620" s="1" t="s">
        <v>131</v>
      </c>
    </row>
    <row r="621" spans="1:15" x14ac:dyDescent="0.35">
      <c r="A621" s="1" t="s">
        <v>1198</v>
      </c>
      <c r="B621" s="2">
        <v>45219</v>
      </c>
      <c r="C621" s="1" t="s">
        <v>16</v>
      </c>
      <c r="D621" s="1" t="s">
        <v>12</v>
      </c>
      <c r="E621" s="1" t="str">
        <f>TRIM(CLEAN(Sheet1[[#This Row],[Category]]))</f>
        <v>Office Supplies</v>
      </c>
      <c r="F621">
        <v>4</v>
      </c>
      <c r="G621" t="str">
        <f t="shared" si="9"/>
        <v>2. Mid-Market (4-7 Units)</v>
      </c>
      <c r="H621">
        <v>4</v>
      </c>
      <c r="I621">
        <v>440.81</v>
      </c>
      <c r="J621">
        <f>IF(ISBLANK(I621), ROUND(I621/ABS(VALUE(_xlfn.TEXTBEFORE(F621&amp;" ", " "))), 2), ABS(VALUE(SUBSTITUTE(I621, "$", ""))))</f>
        <v>440.81</v>
      </c>
      <c r="K621">
        <f>ROUND(Sheet1[[#This Row],[CleanedUnits_sold]]*Sheet1[[#This Row],[Cleaned_Unit_Price]],2)</f>
        <v>1763.24</v>
      </c>
      <c r="M621" s="1" t="s">
        <v>1199</v>
      </c>
      <c r="N621" s="1" t="s">
        <v>50</v>
      </c>
      <c r="O621" s="1" t="s">
        <v>1199</v>
      </c>
    </row>
    <row r="622" spans="1:15" x14ac:dyDescent="0.35">
      <c r="A622" s="1" t="s">
        <v>1200</v>
      </c>
      <c r="B622" s="2">
        <v>44942</v>
      </c>
      <c r="C622" s="1" t="s">
        <v>19</v>
      </c>
      <c r="D622" s="1" t="s">
        <v>24</v>
      </c>
      <c r="E622" s="1" t="str">
        <f>TRIM(CLEAN(Sheet1[[#This Row],[Category]]))</f>
        <v>Electronics</v>
      </c>
      <c r="F622">
        <v>11</v>
      </c>
      <c r="G622" t="str">
        <f t="shared" si="9"/>
        <v>3. Wholesale / Bulk (8+ Units)</v>
      </c>
      <c r="H622">
        <v>11</v>
      </c>
      <c r="I622">
        <v>16.38</v>
      </c>
      <c r="J622">
        <f>IF(ISBLANK(I622), ROUND(I622/ABS(VALUE(_xlfn.TEXTBEFORE(F622&amp;" ", " "))), 2), ABS(VALUE(SUBSTITUTE(I622, "$", ""))))</f>
        <v>16.38</v>
      </c>
      <c r="K622">
        <f>ROUND(Sheet1[[#This Row],[CleanedUnits_sold]]*Sheet1[[#This Row],[Cleaned_Unit_Price]],2)</f>
        <v>180.18</v>
      </c>
      <c r="L622">
        <v>180.18</v>
      </c>
      <c r="M622" s="1" t="s">
        <v>1201</v>
      </c>
      <c r="N622" s="1" t="s">
        <v>26</v>
      </c>
      <c r="O622" s="1" t="s">
        <v>1201</v>
      </c>
    </row>
    <row r="623" spans="1:15" x14ac:dyDescent="0.35">
      <c r="A623" s="1" t="s">
        <v>1202</v>
      </c>
      <c r="B623" s="2">
        <v>45206</v>
      </c>
      <c r="C623" s="1" t="s">
        <v>23</v>
      </c>
      <c r="D623" s="1" t="s">
        <v>24</v>
      </c>
      <c r="E623" s="1" t="str">
        <f>TRIM(CLEAN(Sheet1[[#This Row],[Category]]))</f>
        <v>Electronics</v>
      </c>
      <c r="F623">
        <v>3</v>
      </c>
      <c r="G623" t="str">
        <f t="shared" si="9"/>
        <v>1. Retail (1-3 Units)</v>
      </c>
      <c r="H623">
        <v>3</v>
      </c>
      <c r="I623">
        <v>472.93</v>
      </c>
      <c r="J623">
        <f>IF(ISBLANK(I623), ROUND(I623/ABS(VALUE(_xlfn.TEXTBEFORE(F623&amp;" ", " "))), 2), ABS(VALUE(SUBSTITUTE(I623, "$", ""))))</f>
        <v>472.93</v>
      </c>
      <c r="K623">
        <f>ROUND(Sheet1[[#This Row],[CleanedUnits_sold]]*Sheet1[[#This Row],[Cleaned_Unit_Price]],2)</f>
        <v>1418.79</v>
      </c>
      <c r="L623">
        <v>1418.79</v>
      </c>
      <c r="M623" s="1" t="s">
        <v>1203</v>
      </c>
      <c r="N623" s="1" t="s">
        <v>14</v>
      </c>
      <c r="O623" s="1" t="s">
        <v>1203</v>
      </c>
    </row>
    <row r="624" spans="1:15" x14ac:dyDescent="0.35">
      <c r="A624" s="1" t="s">
        <v>1204</v>
      </c>
      <c r="B624" s="2">
        <v>45081</v>
      </c>
      <c r="C624" s="1" t="s">
        <v>58</v>
      </c>
      <c r="D624" s="1" t="s">
        <v>12</v>
      </c>
      <c r="E624" s="1" t="str">
        <f>TRIM(CLEAN(Sheet1[[#This Row],[Category]]))</f>
        <v>Office Supplies</v>
      </c>
      <c r="F624">
        <v>4</v>
      </c>
      <c r="G624" t="str">
        <f t="shared" si="9"/>
        <v>2. Mid-Market (4-7 Units)</v>
      </c>
      <c r="H624">
        <v>4</v>
      </c>
      <c r="I624">
        <v>-179.14</v>
      </c>
      <c r="J624">
        <f>IF(ISBLANK(I624), ROUND(I624/ABS(VALUE(_xlfn.TEXTBEFORE(F624&amp;" ", " "))), 2), ABS(VALUE(SUBSTITUTE(I624, "$", ""))))</f>
        <v>179.14</v>
      </c>
      <c r="K624">
        <f>ROUND(Sheet1[[#This Row],[CleanedUnits_sold]]*Sheet1[[#This Row],[Cleaned_Unit_Price]],2)</f>
        <v>716.56</v>
      </c>
      <c r="L624">
        <v>998.88</v>
      </c>
      <c r="M624" s="1" t="s">
        <v>1205</v>
      </c>
      <c r="N624" s="1" t="s">
        <v>38</v>
      </c>
      <c r="O624" s="1" t="s">
        <v>1205</v>
      </c>
    </row>
    <row r="625" spans="1:15" x14ac:dyDescent="0.35">
      <c r="A625" s="1" t="s">
        <v>1206</v>
      </c>
      <c r="B625" s="2">
        <v>45277</v>
      </c>
      <c r="C625" s="1" t="s">
        <v>19</v>
      </c>
      <c r="D625" s="1" t="s">
        <v>24</v>
      </c>
      <c r="E625" s="1" t="str">
        <f>TRIM(CLEAN(Sheet1[[#This Row],[Category]]))</f>
        <v>Electronics</v>
      </c>
      <c r="F625">
        <v>3</v>
      </c>
      <c r="G625" t="str">
        <f t="shared" si="9"/>
        <v>1. Retail (1-3 Units)</v>
      </c>
      <c r="H625">
        <v>3</v>
      </c>
      <c r="I625">
        <v>177.55</v>
      </c>
      <c r="J625">
        <f>IF(ISBLANK(I625), ROUND(I625/ABS(VALUE(_xlfn.TEXTBEFORE(F625&amp;" ", " "))), 2), ABS(VALUE(SUBSTITUTE(I625, "$", ""))))</f>
        <v>177.55</v>
      </c>
      <c r="K625">
        <f>ROUND(Sheet1[[#This Row],[CleanedUnits_sold]]*Sheet1[[#This Row],[Cleaned_Unit_Price]],2)</f>
        <v>532.65</v>
      </c>
      <c r="L625">
        <v>532.65</v>
      </c>
      <c r="M625" s="1" t="s">
        <v>1207</v>
      </c>
      <c r="N625" s="1" t="s">
        <v>21</v>
      </c>
      <c r="O625" s="1" t="s">
        <v>1207</v>
      </c>
    </row>
    <row r="626" spans="1:15" x14ac:dyDescent="0.35">
      <c r="A626" s="1" t="s">
        <v>1208</v>
      </c>
      <c r="B626" s="2">
        <v>44964</v>
      </c>
      <c r="C626" s="1" t="s">
        <v>19</v>
      </c>
      <c r="D626" s="1" t="s">
        <v>12</v>
      </c>
      <c r="E626" s="1" t="str">
        <f>TRIM(CLEAN(Sheet1[[#This Row],[Category]]))</f>
        <v>Office Supplies</v>
      </c>
      <c r="F626">
        <v>3</v>
      </c>
      <c r="G626" t="str">
        <f t="shared" si="9"/>
        <v>1. Retail (1-3 Units)</v>
      </c>
      <c r="H626">
        <v>3</v>
      </c>
      <c r="I626">
        <v>462.87</v>
      </c>
      <c r="J626">
        <f>IF(ISBLANK(I626), ROUND(I626/ABS(VALUE(_xlfn.TEXTBEFORE(F626&amp;" ", " "))), 2), ABS(VALUE(SUBSTITUTE(I626, "$", ""))))</f>
        <v>462.87</v>
      </c>
      <c r="K626">
        <f>ROUND(Sheet1[[#This Row],[CleanedUnits_sold]]*Sheet1[[#This Row],[Cleaned_Unit_Price]],2)</f>
        <v>1388.61</v>
      </c>
      <c r="L626">
        <v>1388.61</v>
      </c>
      <c r="M626" s="1" t="s">
        <v>1209</v>
      </c>
      <c r="N626" s="1" t="s">
        <v>50</v>
      </c>
      <c r="O626" s="1" t="s">
        <v>1209</v>
      </c>
    </row>
    <row r="627" spans="1:15" x14ac:dyDescent="0.35">
      <c r="A627" s="1" t="s">
        <v>1210</v>
      </c>
      <c r="B627" s="2">
        <v>45139</v>
      </c>
      <c r="C627" s="1" t="s">
        <v>16</v>
      </c>
      <c r="D627" s="1" t="s">
        <v>24</v>
      </c>
      <c r="E627" s="1" t="str">
        <f>TRIM(CLEAN(Sheet1[[#This Row],[Category]]))</f>
        <v>Electronics</v>
      </c>
      <c r="F627">
        <v>8</v>
      </c>
      <c r="G627" t="str">
        <f t="shared" si="9"/>
        <v>3. Wholesale / Bulk (8+ Units)</v>
      </c>
      <c r="H627">
        <v>8</v>
      </c>
      <c r="I627">
        <v>21.95</v>
      </c>
      <c r="J627">
        <f>IF(ISBLANK(I627), ROUND(I627/ABS(VALUE(_xlfn.TEXTBEFORE(F627&amp;" ", " "))), 2), ABS(VALUE(SUBSTITUTE(I627, "$", ""))))</f>
        <v>21.95</v>
      </c>
      <c r="K627">
        <f>ROUND(Sheet1[[#This Row],[CleanedUnits_sold]]*Sheet1[[#This Row],[Cleaned_Unit_Price]],2)</f>
        <v>175.6</v>
      </c>
      <c r="L627">
        <v>175.6</v>
      </c>
      <c r="M627" s="1" t="s">
        <v>1211</v>
      </c>
      <c r="N627" s="1" t="s">
        <v>21</v>
      </c>
      <c r="O627" s="1" t="s">
        <v>1211</v>
      </c>
    </row>
    <row r="628" spans="1:15" x14ac:dyDescent="0.35">
      <c r="A628" s="1" t="s">
        <v>1212</v>
      </c>
      <c r="B628" s="2">
        <v>1</v>
      </c>
      <c r="C628" s="1" t="s">
        <v>58</v>
      </c>
      <c r="D628" s="1" t="s">
        <v>12</v>
      </c>
      <c r="E628" s="1" t="str">
        <f>TRIM(CLEAN(Sheet1[[#This Row],[Category]]))</f>
        <v>Office Supplies</v>
      </c>
      <c r="F628">
        <v>1</v>
      </c>
      <c r="G628" t="str">
        <f t="shared" si="9"/>
        <v>1. Retail (1-3 Units)</v>
      </c>
      <c r="H628">
        <v>1</v>
      </c>
      <c r="I628">
        <v>294.89999999999998</v>
      </c>
      <c r="J628">
        <f>IF(ISBLANK(I628), ROUND(I628/ABS(VALUE(_xlfn.TEXTBEFORE(F628&amp;" ", " "))), 2), ABS(VALUE(SUBSTITUTE(I628, "$", ""))))</f>
        <v>294.89999999999998</v>
      </c>
      <c r="K628">
        <f>ROUND(Sheet1[[#This Row],[CleanedUnits_sold]]*Sheet1[[#This Row],[Cleaned_Unit_Price]],2)</f>
        <v>294.89999999999998</v>
      </c>
      <c r="L628">
        <v>294.89999999999998</v>
      </c>
      <c r="M628" s="1" t="s">
        <v>1213</v>
      </c>
      <c r="N628" s="1" t="s">
        <v>50</v>
      </c>
      <c r="O628" s="1" t="s">
        <v>1213</v>
      </c>
    </row>
    <row r="629" spans="1:15" x14ac:dyDescent="0.35">
      <c r="A629" s="1" t="s">
        <v>1214</v>
      </c>
      <c r="B629" s="2">
        <v>45090</v>
      </c>
      <c r="C629" s="1" t="s">
        <v>16</v>
      </c>
      <c r="D629" s="1" t="s">
        <v>32</v>
      </c>
      <c r="E629" s="1" t="str">
        <f>TRIM(CLEAN(Sheet1[[#This Row],[Category]]))</f>
        <v>Furniture</v>
      </c>
      <c r="F629">
        <v>5</v>
      </c>
      <c r="G629" t="str">
        <f t="shared" si="9"/>
        <v>2. Mid-Market (4-7 Units)</v>
      </c>
      <c r="H629">
        <v>5</v>
      </c>
      <c r="I629">
        <v>278.98</v>
      </c>
      <c r="J629">
        <f>IF(ISBLANK(I629), ROUND(I629/ABS(VALUE(_xlfn.TEXTBEFORE(F629&amp;" ", " "))), 2), ABS(VALUE(SUBSTITUTE(I629, "$", ""))))</f>
        <v>278.98</v>
      </c>
      <c r="K629">
        <f>ROUND(Sheet1[[#This Row],[CleanedUnits_sold]]*Sheet1[[#This Row],[Cleaned_Unit_Price]],2)</f>
        <v>1394.9</v>
      </c>
      <c r="L629">
        <v>1394.9</v>
      </c>
      <c r="M629" s="1"/>
      <c r="N629" s="1" t="s">
        <v>14</v>
      </c>
      <c r="O629" s="1" t="s">
        <v>131</v>
      </c>
    </row>
    <row r="630" spans="1:15" x14ac:dyDescent="0.35">
      <c r="A630" s="1" t="s">
        <v>1215</v>
      </c>
      <c r="B630" s="2">
        <v>44981</v>
      </c>
      <c r="C630" s="1" t="s">
        <v>16</v>
      </c>
      <c r="D630" s="1" t="s">
        <v>12</v>
      </c>
      <c r="E630" s="1" t="str">
        <f>TRIM(CLEAN(Sheet1[[#This Row],[Category]]))</f>
        <v>Office Supplies</v>
      </c>
      <c r="F630">
        <v>3</v>
      </c>
      <c r="G630" t="str">
        <f t="shared" si="9"/>
        <v>1. Retail (1-3 Units)</v>
      </c>
      <c r="H630">
        <v>3</v>
      </c>
      <c r="I630">
        <v>220.15</v>
      </c>
      <c r="J630">
        <f>IF(ISBLANK(I630), ROUND(I630/ABS(VALUE(_xlfn.TEXTBEFORE(F630&amp;" ", " "))), 2), ABS(VALUE(SUBSTITUTE(I630, "$", ""))))</f>
        <v>220.15</v>
      </c>
      <c r="K630">
        <f>ROUND(Sheet1[[#This Row],[CleanedUnits_sold]]*Sheet1[[#This Row],[Cleaned_Unit_Price]],2)</f>
        <v>660.45</v>
      </c>
      <c r="L630">
        <v>660.45</v>
      </c>
      <c r="M630" s="1" t="s">
        <v>1216</v>
      </c>
      <c r="N630" s="1" t="s">
        <v>14</v>
      </c>
      <c r="O630" s="1" t="s">
        <v>1216</v>
      </c>
    </row>
    <row r="631" spans="1:15" x14ac:dyDescent="0.35">
      <c r="A631" s="1" t="s">
        <v>1217</v>
      </c>
      <c r="B631" s="2">
        <v>44989</v>
      </c>
      <c r="C631" s="1" t="s">
        <v>23</v>
      </c>
      <c r="D631" s="1" t="s">
        <v>12</v>
      </c>
      <c r="E631" s="1" t="str">
        <f>TRIM(CLEAN(Sheet1[[#This Row],[Category]]))</f>
        <v>Office Supplies</v>
      </c>
      <c r="F631">
        <v>7</v>
      </c>
      <c r="G631" t="str">
        <f t="shared" si="9"/>
        <v>2. Mid-Market (4-7 Units)</v>
      </c>
      <c r="H631">
        <v>7</v>
      </c>
      <c r="I631">
        <v>329.61</v>
      </c>
      <c r="J631">
        <f>IF(ISBLANK(I631), ROUND(I631/ABS(VALUE(_xlfn.TEXTBEFORE(F631&amp;" ", " "))), 2), ABS(VALUE(SUBSTITUTE(I631, "$", ""))))</f>
        <v>329.61</v>
      </c>
      <c r="K631">
        <f>ROUND(Sheet1[[#This Row],[CleanedUnits_sold]]*Sheet1[[#This Row],[Cleaned_Unit_Price]],2)</f>
        <v>2307.27</v>
      </c>
      <c r="L631">
        <v>2307.27</v>
      </c>
      <c r="M631" s="1" t="s">
        <v>1218</v>
      </c>
      <c r="N631" s="1" t="s">
        <v>14</v>
      </c>
      <c r="O631" s="1" t="s">
        <v>1218</v>
      </c>
    </row>
    <row r="632" spans="1:15" x14ac:dyDescent="0.35">
      <c r="A632" s="1" t="s">
        <v>1219</v>
      </c>
      <c r="B632" s="2">
        <v>44999</v>
      </c>
      <c r="C632" s="1" t="s">
        <v>58</v>
      </c>
      <c r="D632" s="1" t="s">
        <v>24</v>
      </c>
      <c r="E632" s="1" t="str">
        <f>TRIM(CLEAN(Sheet1[[#This Row],[Category]]))</f>
        <v>Electronics</v>
      </c>
      <c r="F632">
        <v>5</v>
      </c>
      <c r="G632" t="str">
        <f t="shared" si="9"/>
        <v>2. Mid-Market (4-7 Units)</v>
      </c>
      <c r="H632">
        <v>5</v>
      </c>
      <c r="I632">
        <v>366.29</v>
      </c>
      <c r="J632">
        <f>IF(ISBLANK(I632), ROUND(I632/ABS(VALUE(_xlfn.TEXTBEFORE(F632&amp;" ", " "))), 2), ABS(VALUE(SUBSTITUTE(I632, "$", ""))))</f>
        <v>366.29</v>
      </c>
      <c r="K632">
        <f>ROUND(Sheet1[[#This Row],[CleanedUnits_sold]]*Sheet1[[#This Row],[Cleaned_Unit_Price]],2)</f>
        <v>1831.45</v>
      </c>
      <c r="M632" s="1" t="s">
        <v>1220</v>
      </c>
      <c r="N632" s="1" t="s">
        <v>14</v>
      </c>
      <c r="O632" s="1" t="s">
        <v>1220</v>
      </c>
    </row>
    <row r="633" spans="1:15" x14ac:dyDescent="0.35">
      <c r="A633" s="1" t="s">
        <v>1221</v>
      </c>
      <c r="B633" s="2">
        <v>1</v>
      </c>
      <c r="C633" s="1" t="s">
        <v>58</v>
      </c>
      <c r="D633" s="1" t="s">
        <v>24</v>
      </c>
      <c r="E633" s="1" t="str">
        <f>TRIM(CLEAN(Sheet1[[#This Row],[Category]]))</f>
        <v>Electronics</v>
      </c>
      <c r="F633">
        <v>7</v>
      </c>
      <c r="G633" t="str">
        <f t="shared" si="9"/>
        <v>2. Mid-Market (4-7 Units)</v>
      </c>
      <c r="H633">
        <v>7</v>
      </c>
      <c r="I633">
        <v>10.35</v>
      </c>
      <c r="J633">
        <f>IF(ISBLANK(I633), ROUND(I633/ABS(VALUE(_xlfn.TEXTBEFORE(F633&amp;" ", " "))), 2), ABS(VALUE(SUBSTITUTE(I633, "$", ""))))</f>
        <v>10.35</v>
      </c>
      <c r="K633">
        <f>ROUND(Sheet1[[#This Row],[CleanedUnits_sold]]*Sheet1[[#This Row],[Cleaned_Unit_Price]],2)</f>
        <v>72.45</v>
      </c>
      <c r="L633">
        <v>554.49</v>
      </c>
      <c r="M633" s="1" t="s">
        <v>1222</v>
      </c>
      <c r="N633" s="1" t="s">
        <v>26</v>
      </c>
      <c r="O633" s="1" t="s">
        <v>1222</v>
      </c>
    </row>
    <row r="634" spans="1:15" x14ac:dyDescent="0.35">
      <c r="A634" s="1" t="s">
        <v>1223</v>
      </c>
      <c r="B634" s="2">
        <v>45242</v>
      </c>
      <c r="C634" s="1" t="s">
        <v>23</v>
      </c>
      <c r="D634" s="1" t="s">
        <v>12</v>
      </c>
      <c r="E634" s="1" t="str">
        <f>TRIM(CLEAN(Sheet1[[#This Row],[Category]]))</f>
        <v>Office Supplies</v>
      </c>
      <c r="F634">
        <v>5</v>
      </c>
      <c r="G634" t="str">
        <f t="shared" si="9"/>
        <v>2. Mid-Market (4-7 Units)</v>
      </c>
      <c r="H634">
        <v>5</v>
      </c>
      <c r="I634">
        <v>469.06</v>
      </c>
      <c r="J634">
        <f>IF(ISBLANK(I634), ROUND(I634/ABS(VALUE(_xlfn.TEXTBEFORE(F634&amp;" ", " "))), 2), ABS(VALUE(SUBSTITUTE(I634, "$", ""))))</f>
        <v>469.06</v>
      </c>
      <c r="K634">
        <f>ROUND(Sheet1[[#This Row],[CleanedUnits_sold]]*Sheet1[[#This Row],[Cleaned_Unit_Price]],2)</f>
        <v>2345.3000000000002</v>
      </c>
      <c r="L634">
        <v>2345.3000000000002</v>
      </c>
      <c r="M634" s="1" t="s">
        <v>1224</v>
      </c>
      <c r="N634" s="1" t="s">
        <v>50</v>
      </c>
      <c r="O634" s="1" t="s">
        <v>1224</v>
      </c>
    </row>
    <row r="635" spans="1:15" x14ac:dyDescent="0.35">
      <c r="A635" s="1" t="s">
        <v>1225</v>
      </c>
      <c r="B635" s="2">
        <v>45008</v>
      </c>
      <c r="C635" s="1" t="s">
        <v>19</v>
      </c>
      <c r="D635" s="1" t="s">
        <v>46</v>
      </c>
      <c r="E635" s="1" t="str">
        <f>TRIM(CLEAN(Sheet1[[#This Row],[Category]]))</f>
        <v>Furniture</v>
      </c>
      <c r="F635">
        <v>7</v>
      </c>
      <c r="G635" t="str">
        <f t="shared" si="9"/>
        <v>2. Mid-Market (4-7 Units)</v>
      </c>
      <c r="H635">
        <v>7</v>
      </c>
      <c r="I635">
        <v>90.62</v>
      </c>
      <c r="J635">
        <f>IF(ISBLANK(I635), ROUND(I635/ABS(VALUE(_xlfn.TEXTBEFORE(F635&amp;" ", " "))), 2), ABS(VALUE(SUBSTITUTE(I635, "$", ""))))</f>
        <v>90.62</v>
      </c>
      <c r="K635">
        <f>ROUND(Sheet1[[#This Row],[CleanedUnits_sold]]*Sheet1[[#This Row],[Cleaned_Unit_Price]],2)</f>
        <v>634.34</v>
      </c>
      <c r="L635">
        <v>868.6</v>
      </c>
      <c r="M635" s="1" t="s">
        <v>1226</v>
      </c>
      <c r="N635" s="1" t="s">
        <v>50</v>
      </c>
      <c r="O635" s="1" t="s">
        <v>1226</v>
      </c>
    </row>
    <row r="636" spans="1:15" x14ac:dyDescent="0.35">
      <c r="A636" s="1" t="s">
        <v>1227</v>
      </c>
      <c r="B636" s="2">
        <v>45205</v>
      </c>
      <c r="C636" s="1" t="s">
        <v>23</v>
      </c>
      <c r="D636" s="1" t="s">
        <v>12</v>
      </c>
      <c r="E636" s="1" t="str">
        <f>TRIM(CLEAN(Sheet1[[#This Row],[Category]]))</f>
        <v>Office Supplies</v>
      </c>
      <c r="F636">
        <v>5</v>
      </c>
      <c r="G636" t="str">
        <f t="shared" si="9"/>
        <v>2. Mid-Market (4-7 Units)</v>
      </c>
      <c r="H636">
        <v>5</v>
      </c>
      <c r="I636">
        <v>124.45</v>
      </c>
      <c r="J636">
        <f>IF(ISBLANK(I636), ROUND(I636/ABS(VALUE(_xlfn.TEXTBEFORE(F636&amp;" ", " "))), 2), ABS(VALUE(SUBSTITUTE(I636, "$", ""))))</f>
        <v>124.45</v>
      </c>
      <c r="K636">
        <f>ROUND(Sheet1[[#This Row],[CleanedUnits_sold]]*Sheet1[[#This Row],[Cleaned_Unit_Price]],2)</f>
        <v>622.25</v>
      </c>
      <c r="L636">
        <v>622.25</v>
      </c>
      <c r="M636" s="1" t="s">
        <v>1228</v>
      </c>
      <c r="N636" s="1" t="s">
        <v>50</v>
      </c>
      <c r="O636" s="1" t="s">
        <v>1228</v>
      </c>
    </row>
    <row r="637" spans="1:15" x14ac:dyDescent="0.35">
      <c r="A637" s="1" t="s">
        <v>1229</v>
      </c>
      <c r="B637" s="2">
        <v>45182</v>
      </c>
      <c r="C637" s="1" t="s">
        <v>23</v>
      </c>
      <c r="D637" s="1" t="s">
        <v>12</v>
      </c>
      <c r="E637" s="1" t="str">
        <f>TRIM(CLEAN(Sheet1[[#This Row],[Category]]))</f>
        <v>Office Supplies</v>
      </c>
      <c r="F637">
        <v>4</v>
      </c>
      <c r="G637" t="str">
        <f t="shared" si="9"/>
        <v>2. Mid-Market (4-7 Units)</v>
      </c>
      <c r="H637">
        <v>4</v>
      </c>
      <c r="I637">
        <v>139.1</v>
      </c>
      <c r="J637">
        <f>IF(ISBLANK(I637), ROUND(I637/ABS(VALUE(_xlfn.TEXTBEFORE(F637&amp;" ", " "))), 2), ABS(VALUE(SUBSTITUTE(I637, "$", ""))))</f>
        <v>139.1</v>
      </c>
      <c r="K637">
        <f>ROUND(Sheet1[[#This Row],[CleanedUnits_sold]]*Sheet1[[#This Row],[Cleaned_Unit_Price]],2)</f>
        <v>556.4</v>
      </c>
      <c r="L637">
        <v>556.4</v>
      </c>
      <c r="M637" s="1" t="s">
        <v>84</v>
      </c>
      <c r="N637" s="1" t="s">
        <v>14</v>
      </c>
      <c r="O637" s="1" t="s">
        <v>85</v>
      </c>
    </row>
    <row r="638" spans="1:15" x14ac:dyDescent="0.35">
      <c r="A638" s="1" t="s">
        <v>1230</v>
      </c>
      <c r="B638" s="2">
        <v>45084</v>
      </c>
      <c r="C638" s="1" t="s">
        <v>58</v>
      </c>
      <c r="D638" s="1" t="s">
        <v>46</v>
      </c>
      <c r="E638" s="1" t="str">
        <f>TRIM(CLEAN(Sheet1[[#This Row],[Category]]))</f>
        <v>Furniture</v>
      </c>
      <c r="F638">
        <v>5</v>
      </c>
      <c r="G638" t="str">
        <f t="shared" si="9"/>
        <v>2. Mid-Market (4-7 Units)</v>
      </c>
      <c r="H638">
        <v>5</v>
      </c>
      <c r="I638">
        <v>28.53</v>
      </c>
      <c r="J638">
        <f>IF(ISBLANK(I638), ROUND(I638/ABS(VALUE(_xlfn.TEXTBEFORE(F638&amp;" ", " "))), 2), ABS(VALUE(SUBSTITUTE(I638, "$", ""))))</f>
        <v>28.53</v>
      </c>
      <c r="K638">
        <f>ROUND(Sheet1[[#This Row],[CleanedUnits_sold]]*Sheet1[[#This Row],[Cleaned_Unit_Price]],2)</f>
        <v>142.65</v>
      </c>
      <c r="L638">
        <v>142.65</v>
      </c>
      <c r="M638" s="1" t="s">
        <v>1231</v>
      </c>
      <c r="N638" s="1" t="s">
        <v>50</v>
      </c>
      <c r="O638" s="1" t="s">
        <v>1231</v>
      </c>
    </row>
    <row r="639" spans="1:15" x14ac:dyDescent="0.35">
      <c r="A639" s="1" t="s">
        <v>1232</v>
      </c>
      <c r="B639" s="2">
        <v>1</v>
      </c>
      <c r="C639" s="1" t="s">
        <v>11</v>
      </c>
      <c r="D639" s="1" t="s">
        <v>46</v>
      </c>
      <c r="E639" s="1" t="str">
        <f>TRIM(CLEAN(Sheet1[[#This Row],[Category]]))</f>
        <v>Furniture</v>
      </c>
      <c r="F639">
        <v>11</v>
      </c>
      <c r="G639" t="str">
        <f t="shared" si="9"/>
        <v>3. Wholesale / Bulk (8+ Units)</v>
      </c>
      <c r="H639">
        <v>11</v>
      </c>
      <c r="I639">
        <v>70.3</v>
      </c>
      <c r="J639">
        <f>IF(ISBLANK(I639), ROUND(I639/ABS(VALUE(_xlfn.TEXTBEFORE(F639&amp;" ", " "))), 2), ABS(VALUE(SUBSTITUTE(I639, "$", ""))))</f>
        <v>70.3</v>
      </c>
      <c r="K639">
        <f>ROUND(Sheet1[[#This Row],[CleanedUnits_sold]]*Sheet1[[#This Row],[Cleaned_Unit_Price]],2)</f>
        <v>773.3</v>
      </c>
      <c r="L639">
        <v>773.3</v>
      </c>
      <c r="M639" s="1" t="s">
        <v>1233</v>
      </c>
      <c r="N639" s="1" t="s">
        <v>38</v>
      </c>
      <c r="O639" s="1" t="s">
        <v>1233</v>
      </c>
    </row>
    <row r="640" spans="1:15" x14ac:dyDescent="0.35">
      <c r="A640" s="1" t="s">
        <v>1234</v>
      </c>
      <c r="B640" s="2">
        <v>45185</v>
      </c>
      <c r="C640" s="1" t="s">
        <v>11</v>
      </c>
      <c r="D640" s="1" t="s">
        <v>46</v>
      </c>
      <c r="E640" s="1" t="str">
        <f>TRIM(CLEAN(Sheet1[[#This Row],[Category]]))</f>
        <v>Furniture</v>
      </c>
      <c r="F640">
        <v>9999</v>
      </c>
      <c r="G640" t="str">
        <f t="shared" si="9"/>
        <v>2. Mid-Market (4-7 Units)</v>
      </c>
      <c r="H640">
        <v>5</v>
      </c>
      <c r="I640">
        <v>493.31</v>
      </c>
      <c r="J640">
        <f>IF(ISBLANK(I640), ROUND(I640/ABS(VALUE(_xlfn.TEXTBEFORE(F640&amp;" ", " "))), 2), ABS(VALUE(SUBSTITUTE(I640, "$", ""))))</f>
        <v>493.31</v>
      </c>
      <c r="K640">
        <f>ROUND(Sheet1[[#This Row],[CleanedUnits_sold]]*Sheet1[[#This Row],[Cleaned_Unit_Price]],2)</f>
        <v>2466.5500000000002</v>
      </c>
      <c r="L640">
        <v>3453.17</v>
      </c>
      <c r="M640" s="1" t="s">
        <v>1235</v>
      </c>
      <c r="N640" s="1" t="s">
        <v>38</v>
      </c>
      <c r="O640" s="1" t="s">
        <v>1235</v>
      </c>
    </row>
    <row r="641" spans="1:15" x14ac:dyDescent="0.35">
      <c r="A641" s="1" t="s">
        <v>1236</v>
      </c>
      <c r="B641" s="2">
        <v>45037</v>
      </c>
      <c r="C641" s="1" t="s">
        <v>23</v>
      </c>
      <c r="D641" s="1" t="s">
        <v>24</v>
      </c>
      <c r="E641" s="1" t="str">
        <f>TRIM(CLEAN(Sheet1[[#This Row],[Category]]))</f>
        <v>Electronics</v>
      </c>
      <c r="F641">
        <v>6</v>
      </c>
      <c r="G641" t="str">
        <f t="shared" si="9"/>
        <v>2. Mid-Market (4-7 Units)</v>
      </c>
      <c r="H641">
        <v>6</v>
      </c>
      <c r="I641">
        <v>164.46</v>
      </c>
      <c r="J641">
        <f>IF(ISBLANK(I641), ROUND(I641/ABS(VALUE(_xlfn.TEXTBEFORE(F641&amp;" ", " "))), 2), ABS(VALUE(SUBSTITUTE(I641, "$", ""))))</f>
        <v>164.46</v>
      </c>
      <c r="K641">
        <f>ROUND(Sheet1[[#This Row],[CleanedUnits_sold]]*Sheet1[[#This Row],[Cleaned_Unit_Price]],2)</f>
        <v>986.76</v>
      </c>
      <c r="L641">
        <v>986.76</v>
      </c>
      <c r="M641" s="1" t="s">
        <v>1237</v>
      </c>
      <c r="N641" s="1" t="s">
        <v>21</v>
      </c>
      <c r="O641" s="1" t="s">
        <v>1237</v>
      </c>
    </row>
    <row r="642" spans="1:15" x14ac:dyDescent="0.35">
      <c r="A642" s="1" t="s">
        <v>1238</v>
      </c>
      <c r="B642" s="2">
        <v>1</v>
      </c>
      <c r="C642" s="1" t="s">
        <v>23</v>
      </c>
      <c r="D642" s="1" t="s">
        <v>32</v>
      </c>
      <c r="E642" s="1" t="str">
        <f>TRIM(CLEAN(Sheet1[[#This Row],[Category]]))</f>
        <v>Furniture</v>
      </c>
      <c r="F642">
        <v>3</v>
      </c>
      <c r="G642" t="str">
        <f t="shared" ref="G642:G705" si="10">IF(H642=0, "Non-Billable / Zero", IF(H642&lt;=3, "1. Retail (1-3 Units)", IF(H642&lt;=7, "2. Mid-Market (4-7 Units)", "3. Wholesale / Bulk (8+ Units)")))</f>
        <v>1. Retail (1-3 Units)</v>
      </c>
      <c r="H642">
        <v>3</v>
      </c>
      <c r="I642">
        <v>66.5</v>
      </c>
      <c r="J642">
        <f>IF(ISBLANK(I642), ROUND(I642/ABS(VALUE(_xlfn.TEXTBEFORE(F642&amp;" ", " "))), 2), ABS(VALUE(SUBSTITUTE(I642, "$", ""))))</f>
        <v>66.5</v>
      </c>
      <c r="K642">
        <f>ROUND(Sheet1[[#This Row],[CleanedUnits_sold]]*Sheet1[[#This Row],[Cleaned_Unit_Price]],2)</f>
        <v>199.5</v>
      </c>
      <c r="L642">
        <v>199.5</v>
      </c>
      <c r="M642" s="1" t="s">
        <v>1239</v>
      </c>
      <c r="N642" s="1" t="s">
        <v>14</v>
      </c>
      <c r="O642" s="1" t="s">
        <v>1239</v>
      </c>
    </row>
    <row r="643" spans="1:15" x14ac:dyDescent="0.35">
      <c r="A643" s="1" t="s">
        <v>1240</v>
      </c>
      <c r="B643" s="2">
        <v>45232</v>
      </c>
      <c r="C643" s="1" t="s">
        <v>11</v>
      </c>
      <c r="D643" s="1" t="s">
        <v>12</v>
      </c>
      <c r="E643" s="1" t="str">
        <f>TRIM(CLEAN(Sheet1[[#This Row],[Category]]))</f>
        <v>Office Supplies</v>
      </c>
      <c r="F643">
        <v>0</v>
      </c>
      <c r="G643" t="str">
        <f t="shared" si="10"/>
        <v>Non-Billable / Zero</v>
      </c>
      <c r="H643">
        <v>0</v>
      </c>
      <c r="I643">
        <v>62.43</v>
      </c>
      <c r="J643">
        <f>IF(ISBLANK(I643), ROUND(I643/ABS(VALUE(_xlfn.TEXTBEFORE(F643&amp;" ", " "))), 2), ABS(VALUE(SUBSTITUTE(I643, "$", ""))))</f>
        <v>62.43</v>
      </c>
      <c r="K643">
        <f>ROUND(Sheet1[[#This Row],[CleanedUnits_sold]]*Sheet1[[#This Row],[Cleaned_Unit_Price]],2)</f>
        <v>0</v>
      </c>
      <c r="L643">
        <v>0</v>
      </c>
      <c r="M643" s="1" t="s">
        <v>1241</v>
      </c>
      <c r="N643" s="1" t="s">
        <v>50</v>
      </c>
      <c r="O643" s="1" t="s">
        <v>1241</v>
      </c>
    </row>
    <row r="644" spans="1:15" x14ac:dyDescent="0.35">
      <c r="A644" s="1" t="s">
        <v>1242</v>
      </c>
      <c r="B644" s="2">
        <v>44931</v>
      </c>
      <c r="C644" s="1" t="s">
        <v>19</v>
      </c>
      <c r="D644" s="1" t="s">
        <v>12</v>
      </c>
      <c r="E644" s="1" t="str">
        <f>TRIM(CLEAN(Sheet1[[#This Row],[Category]]))</f>
        <v>Office Supplies</v>
      </c>
      <c r="F644">
        <v>10</v>
      </c>
      <c r="G644" t="str">
        <f t="shared" si="10"/>
        <v>3. Wholesale / Bulk (8+ Units)</v>
      </c>
      <c r="H644">
        <v>10</v>
      </c>
      <c r="I644">
        <v>362.54</v>
      </c>
      <c r="J644">
        <f>IF(ISBLANK(I644), ROUND(I644/ABS(VALUE(_xlfn.TEXTBEFORE(F644&amp;" ", " "))), 2), ABS(VALUE(SUBSTITUTE(I644, "$", ""))))</f>
        <v>362.54</v>
      </c>
      <c r="K644">
        <f>ROUND(Sheet1[[#This Row],[CleanedUnits_sold]]*Sheet1[[#This Row],[Cleaned_Unit_Price]],2)</f>
        <v>3625.4</v>
      </c>
      <c r="L644">
        <v>3625.4</v>
      </c>
      <c r="M644" s="1" t="s">
        <v>1243</v>
      </c>
      <c r="N644" s="1" t="s">
        <v>50</v>
      </c>
      <c r="O644" s="1" t="s">
        <v>1243</v>
      </c>
    </row>
    <row r="645" spans="1:15" x14ac:dyDescent="0.35">
      <c r="A645" s="1" t="s">
        <v>1244</v>
      </c>
      <c r="B645" s="2">
        <v>45062</v>
      </c>
      <c r="C645" s="1" t="s">
        <v>16</v>
      </c>
      <c r="D645" s="1" t="s">
        <v>24</v>
      </c>
      <c r="E645" s="1" t="str">
        <f>TRIM(CLEAN(Sheet1[[#This Row],[Category]]))</f>
        <v>Electronics</v>
      </c>
      <c r="F645">
        <v>5</v>
      </c>
      <c r="G645" t="str">
        <f t="shared" si="10"/>
        <v>2. Mid-Market (4-7 Units)</v>
      </c>
      <c r="H645">
        <v>5</v>
      </c>
      <c r="I645">
        <v>428.74</v>
      </c>
      <c r="J645">
        <f>IF(ISBLANK(I645), ROUND(I645/ABS(VALUE(_xlfn.TEXTBEFORE(F645&amp;" ", " "))), 2), ABS(VALUE(SUBSTITUTE(I645, "$", ""))))</f>
        <v>428.74</v>
      </c>
      <c r="K645">
        <f>ROUND(Sheet1[[#This Row],[CleanedUnits_sold]]*Sheet1[[#This Row],[Cleaned_Unit_Price]],2)</f>
        <v>2143.6999999999998</v>
      </c>
      <c r="L645">
        <v>2565.5100000000002</v>
      </c>
      <c r="M645" s="1" t="s">
        <v>1245</v>
      </c>
      <c r="N645" s="1" t="s">
        <v>14</v>
      </c>
      <c r="O645" s="1" t="s">
        <v>1245</v>
      </c>
    </row>
    <row r="646" spans="1:15" x14ac:dyDescent="0.35">
      <c r="A646" s="1" t="s">
        <v>1246</v>
      </c>
      <c r="B646" s="2">
        <v>45114</v>
      </c>
      <c r="C646" s="1" t="s">
        <v>16</v>
      </c>
      <c r="D646" s="1" t="s">
        <v>24</v>
      </c>
      <c r="E646" s="1" t="str">
        <f>TRIM(CLEAN(Sheet1[[#This Row],[Category]]))</f>
        <v>Electronics</v>
      </c>
      <c r="F646">
        <v>5</v>
      </c>
      <c r="G646" t="str">
        <f t="shared" si="10"/>
        <v>2. Mid-Market (4-7 Units)</v>
      </c>
      <c r="H646">
        <v>5</v>
      </c>
      <c r="I646">
        <v>135.91</v>
      </c>
      <c r="J646">
        <f>IF(ISBLANK(I646), ROUND(I646/ABS(VALUE(_xlfn.TEXTBEFORE(F646&amp;" ", " "))), 2), ABS(VALUE(SUBSTITUTE(I646, "$", ""))))</f>
        <v>135.91</v>
      </c>
      <c r="K646">
        <f>ROUND(Sheet1[[#This Row],[CleanedUnits_sold]]*Sheet1[[#This Row],[Cleaned_Unit_Price]],2)</f>
        <v>679.55</v>
      </c>
      <c r="L646">
        <v>679.55</v>
      </c>
      <c r="M646" s="1" t="s">
        <v>1247</v>
      </c>
      <c r="N646" s="1" t="s">
        <v>26</v>
      </c>
      <c r="O646" s="1" t="s">
        <v>1247</v>
      </c>
    </row>
    <row r="647" spans="1:15" x14ac:dyDescent="0.35">
      <c r="A647" s="1" t="s">
        <v>1248</v>
      </c>
      <c r="B647" s="2">
        <v>1</v>
      </c>
      <c r="C647" s="1" t="s">
        <v>23</v>
      </c>
      <c r="D647" s="1" t="s">
        <v>12</v>
      </c>
      <c r="E647" s="1" t="str">
        <f>TRIM(CLEAN(Sheet1[[#This Row],[Category]]))</f>
        <v>Office Supplies</v>
      </c>
      <c r="F647">
        <v>3</v>
      </c>
      <c r="G647" t="str">
        <f t="shared" si="10"/>
        <v>1. Retail (1-3 Units)</v>
      </c>
      <c r="H647">
        <v>3</v>
      </c>
      <c r="I647">
        <v>20.25</v>
      </c>
      <c r="J647">
        <f>IF(ISBLANK(I647), ROUND(I647/ABS(VALUE(_xlfn.TEXTBEFORE(F647&amp;" ", " "))), 2), ABS(VALUE(SUBSTITUTE(I647, "$", ""))))</f>
        <v>20.25</v>
      </c>
      <c r="K647">
        <f>ROUND(Sheet1[[#This Row],[CleanedUnits_sold]]*Sheet1[[#This Row],[Cleaned_Unit_Price]],2)</f>
        <v>60.75</v>
      </c>
      <c r="L647">
        <v>60.75</v>
      </c>
      <c r="M647" s="1" t="s">
        <v>1249</v>
      </c>
      <c r="N647" s="1" t="s">
        <v>14</v>
      </c>
      <c r="O647" s="1" t="s">
        <v>1249</v>
      </c>
    </row>
    <row r="648" spans="1:15" x14ac:dyDescent="0.35">
      <c r="A648" s="1" t="s">
        <v>1250</v>
      </c>
      <c r="B648" s="2">
        <v>45074</v>
      </c>
      <c r="C648" s="1" t="s">
        <v>58</v>
      </c>
      <c r="D648" s="1" t="s">
        <v>12</v>
      </c>
      <c r="E648" s="1" t="str">
        <f>TRIM(CLEAN(Sheet1[[#This Row],[Category]]))</f>
        <v>Office Supplies</v>
      </c>
      <c r="F648">
        <v>4</v>
      </c>
      <c r="G648" t="str">
        <f t="shared" si="10"/>
        <v>2. Mid-Market (4-7 Units)</v>
      </c>
      <c r="H648">
        <v>4</v>
      </c>
      <c r="I648">
        <v>119.31</v>
      </c>
      <c r="J648">
        <f>IF(ISBLANK(I648), ROUND(I648/ABS(VALUE(_xlfn.TEXTBEFORE(F648&amp;" ", " "))), 2), ABS(VALUE(SUBSTITUTE(I648, "$", ""))))</f>
        <v>119.31</v>
      </c>
      <c r="K648">
        <f>ROUND(Sheet1[[#This Row],[CleanedUnits_sold]]*Sheet1[[#This Row],[Cleaned_Unit_Price]],2)</f>
        <v>477.24</v>
      </c>
      <c r="L648">
        <v>477.24</v>
      </c>
      <c r="M648" s="1" t="s">
        <v>1251</v>
      </c>
      <c r="N648" s="1" t="s">
        <v>14</v>
      </c>
      <c r="O648" s="1" t="s">
        <v>1251</v>
      </c>
    </row>
    <row r="649" spans="1:15" x14ac:dyDescent="0.35">
      <c r="A649" s="1" t="s">
        <v>1252</v>
      </c>
      <c r="B649" s="2">
        <v>45157</v>
      </c>
      <c r="C649" s="1" t="s">
        <v>19</v>
      </c>
      <c r="D649" s="1" t="s">
        <v>12</v>
      </c>
      <c r="E649" s="1" t="str">
        <f>TRIM(CLEAN(Sheet1[[#This Row],[Category]]))</f>
        <v>Office Supplies</v>
      </c>
      <c r="F649">
        <v>2</v>
      </c>
      <c r="G649" t="str">
        <f t="shared" si="10"/>
        <v>1. Retail (1-3 Units)</v>
      </c>
      <c r="H649">
        <v>2</v>
      </c>
      <c r="I649">
        <v>37.69</v>
      </c>
      <c r="J649">
        <f>IF(ISBLANK(I649), ROUND(I649/ABS(VALUE(_xlfn.TEXTBEFORE(F649&amp;" ", " "))), 2), ABS(VALUE(SUBSTITUTE(I649, "$", ""))))</f>
        <v>37.69</v>
      </c>
      <c r="K649">
        <f>ROUND(Sheet1[[#This Row],[CleanedUnits_sold]]*Sheet1[[#This Row],[Cleaned_Unit_Price]],2)</f>
        <v>75.38</v>
      </c>
      <c r="L649">
        <v>75.38</v>
      </c>
      <c r="M649" s="1" t="s">
        <v>1253</v>
      </c>
      <c r="N649" s="1" t="s">
        <v>50</v>
      </c>
      <c r="O649" s="1" t="s">
        <v>1253</v>
      </c>
    </row>
    <row r="650" spans="1:15" x14ac:dyDescent="0.35">
      <c r="A650" s="1" t="s">
        <v>1254</v>
      </c>
      <c r="B650" s="2">
        <v>45246</v>
      </c>
      <c r="C650" s="1" t="s">
        <v>11</v>
      </c>
      <c r="D650" s="1" t="s">
        <v>12</v>
      </c>
      <c r="E650" s="1" t="str">
        <f>TRIM(CLEAN(Sheet1[[#This Row],[Category]]))</f>
        <v>Office Supplies</v>
      </c>
      <c r="F650">
        <v>2</v>
      </c>
      <c r="G650" t="str">
        <f t="shared" si="10"/>
        <v>1. Retail (1-3 Units)</v>
      </c>
      <c r="H650">
        <v>2</v>
      </c>
      <c r="I650">
        <v>60.66</v>
      </c>
      <c r="J650">
        <f>IF(ISBLANK(I650), ROUND(I650/ABS(VALUE(_xlfn.TEXTBEFORE(F650&amp;" ", " "))), 2), ABS(VALUE(SUBSTITUTE(I650, "$", ""))))</f>
        <v>60.66</v>
      </c>
      <c r="K650">
        <f>ROUND(Sheet1[[#This Row],[CleanedUnits_sold]]*Sheet1[[#This Row],[Cleaned_Unit_Price]],2)</f>
        <v>121.32</v>
      </c>
      <c r="L650">
        <v>172.42</v>
      </c>
      <c r="M650" s="1" t="s">
        <v>1255</v>
      </c>
      <c r="N650" s="1" t="s">
        <v>14</v>
      </c>
      <c r="O650" s="1" t="s">
        <v>1255</v>
      </c>
    </row>
    <row r="651" spans="1:15" x14ac:dyDescent="0.35">
      <c r="A651" s="1" t="s">
        <v>1256</v>
      </c>
      <c r="B651" s="2">
        <v>45100</v>
      </c>
      <c r="C651" s="1" t="s">
        <v>23</v>
      </c>
      <c r="D651" s="1" t="s">
        <v>12</v>
      </c>
      <c r="E651" s="1" t="str">
        <f>TRIM(CLEAN(Sheet1[[#This Row],[Category]]))</f>
        <v>Office Supplies</v>
      </c>
      <c r="F651">
        <v>3</v>
      </c>
      <c r="G651" t="str">
        <f t="shared" si="10"/>
        <v>1. Retail (1-3 Units)</v>
      </c>
      <c r="H651">
        <v>3</v>
      </c>
      <c r="I651">
        <v>122.66</v>
      </c>
      <c r="J651">
        <f>IF(ISBLANK(I651), ROUND(I651/ABS(VALUE(_xlfn.TEXTBEFORE(F651&amp;" ", " "))), 2), ABS(VALUE(SUBSTITUTE(I651, "$", ""))))</f>
        <v>122.66</v>
      </c>
      <c r="K651">
        <f>ROUND(Sheet1[[#This Row],[CleanedUnits_sold]]*Sheet1[[#This Row],[Cleaned_Unit_Price]],2)</f>
        <v>367.98</v>
      </c>
      <c r="L651">
        <v>367.98</v>
      </c>
      <c r="M651" s="1" t="s">
        <v>1257</v>
      </c>
      <c r="N651" s="1" t="s">
        <v>50</v>
      </c>
      <c r="O651" s="1" t="s">
        <v>1257</v>
      </c>
    </row>
    <row r="652" spans="1:15" x14ac:dyDescent="0.35">
      <c r="A652" s="1" t="s">
        <v>1258</v>
      </c>
      <c r="B652" s="2">
        <v>45028</v>
      </c>
      <c r="C652" s="1" t="s">
        <v>19</v>
      </c>
      <c r="D652" s="1" t="s">
        <v>12</v>
      </c>
      <c r="E652" s="1" t="str">
        <f>TRIM(CLEAN(Sheet1[[#This Row],[Category]]))</f>
        <v>Office Supplies</v>
      </c>
      <c r="F652">
        <v>5</v>
      </c>
      <c r="G652" t="str">
        <f t="shared" si="10"/>
        <v>2. Mid-Market (4-7 Units)</v>
      </c>
      <c r="H652">
        <v>5</v>
      </c>
      <c r="I652">
        <v>262.81</v>
      </c>
      <c r="J652">
        <f>IF(ISBLANK(I652), ROUND(I652/ABS(VALUE(_xlfn.TEXTBEFORE(F652&amp;" ", " "))), 2), ABS(VALUE(SUBSTITUTE(I652, "$", ""))))</f>
        <v>262.81</v>
      </c>
      <c r="K652">
        <f>ROUND(Sheet1[[#This Row],[CleanedUnits_sold]]*Sheet1[[#This Row],[Cleaned_Unit_Price]],2)</f>
        <v>1314.05</v>
      </c>
      <c r="L652">
        <v>262.81</v>
      </c>
      <c r="M652" s="1" t="s">
        <v>1259</v>
      </c>
      <c r="N652" s="1" t="s">
        <v>14</v>
      </c>
      <c r="O652" s="1" t="s">
        <v>1259</v>
      </c>
    </row>
    <row r="653" spans="1:15" x14ac:dyDescent="0.35">
      <c r="A653" s="1" t="s">
        <v>1260</v>
      </c>
      <c r="B653" s="2">
        <v>44950</v>
      </c>
      <c r="C653" s="1" t="s">
        <v>11</v>
      </c>
      <c r="D653" s="1" t="s">
        <v>24</v>
      </c>
      <c r="E653" s="1" t="str">
        <f>TRIM(CLEAN(Sheet1[[#This Row],[Category]]))</f>
        <v>Electronics</v>
      </c>
      <c r="F653">
        <v>3</v>
      </c>
      <c r="G653" t="str">
        <f t="shared" si="10"/>
        <v>1. Retail (1-3 Units)</v>
      </c>
      <c r="H653">
        <v>3</v>
      </c>
      <c r="I653">
        <v>134.21</v>
      </c>
      <c r="J653">
        <f>IF(ISBLANK(I653), ROUND(I653/ABS(VALUE(_xlfn.TEXTBEFORE(F653&amp;" ", " "))), 2), ABS(VALUE(SUBSTITUTE(I653, "$", ""))))</f>
        <v>134.21</v>
      </c>
      <c r="K653">
        <f>ROUND(Sheet1[[#This Row],[CleanedUnits_sold]]*Sheet1[[#This Row],[Cleaned_Unit_Price]],2)</f>
        <v>402.63</v>
      </c>
      <c r="L653">
        <v>402.63</v>
      </c>
      <c r="M653" s="1" t="s">
        <v>1261</v>
      </c>
      <c r="N653" s="1" t="s">
        <v>38</v>
      </c>
      <c r="O653" s="1" t="s">
        <v>1261</v>
      </c>
    </row>
    <row r="654" spans="1:15" x14ac:dyDescent="0.35">
      <c r="A654" s="1" t="s">
        <v>1262</v>
      </c>
      <c r="B654" s="2">
        <v>45097</v>
      </c>
      <c r="C654" s="1" t="s">
        <v>11</v>
      </c>
      <c r="D654" s="1" t="s">
        <v>32</v>
      </c>
      <c r="E654" s="1" t="str">
        <f>TRIM(CLEAN(Sheet1[[#This Row],[Category]]))</f>
        <v>Furniture</v>
      </c>
      <c r="F654">
        <v>7</v>
      </c>
      <c r="G654" t="str">
        <f t="shared" si="10"/>
        <v>2. Mid-Market (4-7 Units)</v>
      </c>
      <c r="H654">
        <v>7</v>
      </c>
      <c r="I654">
        <v>470.86</v>
      </c>
      <c r="J654">
        <f>IF(ISBLANK(I654), ROUND(I654/ABS(VALUE(_xlfn.TEXTBEFORE(F654&amp;" ", " "))), 2), ABS(VALUE(SUBSTITUTE(I654, "$", ""))))</f>
        <v>470.86</v>
      </c>
      <c r="K654">
        <f>ROUND(Sheet1[[#This Row],[CleanedUnits_sold]]*Sheet1[[#This Row],[Cleaned_Unit_Price]],2)</f>
        <v>3296.02</v>
      </c>
      <c r="L654">
        <v>3296.02</v>
      </c>
      <c r="M654" s="1" t="s">
        <v>1263</v>
      </c>
      <c r="N654" s="1" t="s">
        <v>26</v>
      </c>
      <c r="O654" s="1" t="s">
        <v>1263</v>
      </c>
    </row>
    <row r="655" spans="1:15" x14ac:dyDescent="0.35">
      <c r="A655" s="1" t="s">
        <v>1264</v>
      </c>
      <c r="B655" s="2">
        <v>1</v>
      </c>
      <c r="C655" s="1" t="s">
        <v>11</v>
      </c>
      <c r="D655" s="1" t="s">
        <v>24</v>
      </c>
      <c r="E655" s="1" t="str">
        <f>TRIM(CLEAN(Sheet1[[#This Row],[Category]]))</f>
        <v>Electronics</v>
      </c>
      <c r="F655">
        <v>5</v>
      </c>
      <c r="G655" t="str">
        <f t="shared" si="10"/>
        <v>2. Mid-Market (4-7 Units)</v>
      </c>
      <c r="H655">
        <v>5</v>
      </c>
      <c r="I655">
        <v>453.91</v>
      </c>
      <c r="J655">
        <f>IF(ISBLANK(I655), ROUND(I655/ABS(VALUE(_xlfn.TEXTBEFORE(F655&amp;" ", " "))), 2), ABS(VALUE(SUBSTITUTE(I655, "$", ""))))</f>
        <v>453.91</v>
      </c>
      <c r="K655">
        <f>ROUND(Sheet1[[#This Row],[CleanedUnits_sold]]*Sheet1[[#This Row],[Cleaned_Unit_Price]],2)</f>
        <v>2269.5500000000002</v>
      </c>
      <c r="L655">
        <v>2269.5500000000002</v>
      </c>
      <c r="M655" s="1" t="s">
        <v>49</v>
      </c>
      <c r="N655" s="1" t="s">
        <v>50</v>
      </c>
      <c r="O655" s="1" t="s">
        <v>51</v>
      </c>
    </row>
    <row r="656" spans="1:15" x14ac:dyDescent="0.35">
      <c r="A656" s="1" t="s">
        <v>1265</v>
      </c>
      <c r="B656" s="2">
        <v>45242</v>
      </c>
      <c r="C656" s="1" t="s">
        <v>11</v>
      </c>
      <c r="D656" s="1" t="s">
        <v>12</v>
      </c>
      <c r="E656" s="1" t="str">
        <f>TRIM(CLEAN(Sheet1[[#This Row],[Category]]))</f>
        <v>Office Supplies</v>
      </c>
      <c r="F656">
        <v>5</v>
      </c>
      <c r="G656" t="str">
        <f t="shared" si="10"/>
        <v>2. Mid-Market (4-7 Units)</v>
      </c>
      <c r="H656">
        <v>5</v>
      </c>
      <c r="I656" t="s">
        <v>332</v>
      </c>
      <c r="J656">
        <f>IF(ISBLANK(I656), ROUND(I656/ABS(VALUE(_xlfn.TEXTBEFORE(F656&amp;" ", " "))), 2), ABS(VALUE(SUBSTITUTE(I656, "$", ""))))</f>
        <v>250</v>
      </c>
      <c r="K656">
        <f>ROUND(Sheet1[[#This Row],[CleanedUnits_sold]]*Sheet1[[#This Row],[Cleaned_Unit_Price]],2)</f>
        <v>1250</v>
      </c>
      <c r="M656" s="1" t="s">
        <v>1266</v>
      </c>
      <c r="N656" s="1" t="s">
        <v>50</v>
      </c>
      <c r="O656" s="1" t="s">
        <v>1266</v>
      </c>
    </row>
    <row r="657" spans="1:15" x14ac:dyDescent="0.35">
      <c r="A657" s="1" t="s">
        <v>1267</v>
      </c>
      <c r="B657" s="2">
        <v>45186</v>
      </c>
      <c r="C657" s="1" t="s">
        <v>23</v>
      </c>
      <c r="D657" s="1" t="s">
        <v>24</v>
      </c>
      <c r="E657" s="1" t="str">
        <f>TRIM(CLEAN(Sheet1[[#This Row],[Category]]))</f>
        <v>Electronics</v>
      </c>
      <c r="F657">
        <v>5</v>
      </c>
      <c r="G657" t="str">
        <f t="shared" si="10"/>
        <v>2. Mid-Market (4-7 Units)</v>
      </c>
      <c r="H657">
        <v>5</v>
      </c>
      <c r="I657">
        <v>196.76</v>
      </c>
      <c r="J657">
        <f>IF(ISBLANK(I657), ROUND(I657/ABS(VALUE(_xlfn.TEXTBEFORE(F657&amp;" ", " "))), 2), ABS(VALUE(SUBSTITUTE(I657, "$", ""))))</f>
        <v>196.76</v>
      </c>
      <c r="K657">
        <f>ROUND(Sheet1[[#This Row],[CleanedUnits_sold]]*Sheet1[[#This Row],[Cleaned_Unit_Price]],2)</f>
        <v>983.8</v>
      </c>
      <c r="L657">
        <v>983.8</v>
      </c>
      <c r="M657" s="1" t="s">
        <v>1268</v>
      </c>
      <c r="N657" s="1" t="s">
        <v>26</v>
      </c>
      <c r="O657" s="1" t="s">
        <v>1268</v>
      </c>
    </row>
    <row r="658" spans="1:15" x14ac:dyDescent="0.35">
      <c r="A658" s="1" t="s">
        <v>1269</v>
      </c>
      <c r="B658" s="2">
        <v>45080</v>
      </c>
      <c r="C658" s="1" t="s">
        <v>16</v>
      </c>
      <c r="D658" s="1" t="s">
        <v>12</v>
      </c>
      <c r="E658" s="1" t="str">
        <f>TRIM(CLEAN(Sheet1[[#This Row],[Category]]))</f>
        <v>Office Supplies</v>
      </c>
      <c r="F658">
        <v>5</v>
      </c>
      <c r="G658" t="str">
        <f t="shared" si="10"/>
        <v>2. Mid-Market (4-7 Units)</v>
      </c>
      <c r="H658">
        <v>5</v>
      </c>
      <c r="I658">
        <v>211.81</v>
      </c>
      <c r="J658">
        <f>IF(ISBLANK(I658), ROUND(I658/ABS(VALUE(_xlfn.TEXTBEFORE(F658&amp;" ", " "))), 2), ABS(VALUE(SUBSTITUTE(I658, "$", ""))))</f>
        <v>211.81</v>
      </c>
      <c r="K658">
        <f>ROUND(Sheet1[[#This Row],[CleanedUnits_sold]]*Sheet1[[#This Row],[Cleaned_Unit_Price]],2)</f>
        <v>1059.05</v>
      </c>
      <c r="L658">
        <v>1059.05</v>
      </c>
      <c r="M658" s="1" t="s">
        <v>1270</v>
      </c>
      <c r="N658" s="1" t="s">
        <v>26</v>
      </c>
      <c r="O658" s="1" t="s">
        <v>1270</v>
      </c>
    </row>
    <row r="659" spans="1:15" x14ac:dyDescent="0.35">
      <c r="A659" s="1" t="s">
        <v>1271</v>
      </c>
      <c r="B659" s="2">
        <v>45115</v>
      </c>
      <c r="C659" s="1" t="s">
        <v>16</v>
      </c>
      <c r="D659" s="1" t="s">
        <v>24</v>
      </c>
      <c r="E659" s="1" t="str">
        <f>TRIM(CLEAN(Sheet1[[#This Row],[Category]]))</f>
        <v>Electronics</v>
      </c>
      <c r="F659">
        <v>3</v>
      </c>
      <c r="G659" t="str">
        <f t="shared" si="10"/>
        <v>1. Retail (1-3 Units)</v>
      </c>
      <c r="H659">
        <v>3</v>
      </c>
      <c r="I659">
        <v>366.51</v>
      </c>
      <c r="J659">
        <f>IF(ISBLANK(I659), ROUND(I659/ABS(VALUE(_xlfn.TEXTBEFORE(F659&amp;" ", " "))), 2), ABS(VALUE(SUBSTITUTE(I659, "$", ""))))</f>
        <v>366.51</v>
      </c>
      <c r="K659">
        <f>ROUND(Sheet1[[#This Row],[CleanedUnits_sold]]*Sheet1[[#This Row],[Cleaned_Unit_Price]],2)</f>
        <v>1099.53</v>
      </c>
      <c r="L659">
        <v>1099.53</v>
      </c>
      <c r="M659" s="1" t="s">
        <v>1272</v>
      </c>
      <c r="N659" s="1" t="s">
        <v>38</v>
      </c>
      <c r="O659" s="1" t="s">
        <v>1272</v>
      </c>
    </row>
    <row r="660" spans="1:15" x14ac:dyDescent="0.35">
      <c r="A660" s="1" t="s">
        <v>1273</v>
      </c>
      <c r="B660" s="2">
        <v>45140</v>
      </c>
      <c r="C660" s="1" t="s">
        <v>19</v>
      </c>
      <c r="D660" s="1" t="s">
        <v>46</v>
      </c>
      <c r="E660" s="1" t="str">
        <f>TRIM(CLEAN(Sheet1[[#This Row],[Category]]))</f>
        <v>Furniture</v>
      </c>
      <c r="F660">
        <v>3</v>
      </c>
      <c r="G660" t="str">
        <f t="shared" si="10"/>
        <v>1. Retail (1-3 Units)</v>
      </c>
      <c r="H660">
        <v>3</v>
      </c>
      <c r="I660">
        <v>-114.84</v>
      </c>
      <c r="J660">
        <f>IF(ISBLANK(I660), ROUND(I660/ABS(VALUE(_xlfn.TEXTBEFORE(F660&amp;" ", " "))), 2), ABS(VALUE(SUBSTITUTE(I660, "$", ""))))</f>
        <v>114.84</v>
      </c>
      <c r="K660">
        <f>ROUND(Sheet1[[#This Row],[CleanedUnits_sold]]*Sheet1[[#This Row],[Cleaned_Unit_Price]],2)</f>
        <v>344.52</v>
      </c>
      <c r="L660">
        <v>693.9</v>
      </c>
      <c r="M660" s="1" t="s">
        <v>1274</v>
      </c>
      <c r="N660" s="1" t="s">
        <v>14</v>
      </c>
      <c r="O660" s="1" t="s">
        <v>1274</v>
      </c>
    </row>
    <row r="661" spans="1:15" x14ac:dyDescent="0.35">
      <c r="A661" s="1" t="s">
        <v>1275</v>
      </c>
      <c r="B661" s="2">
        <v>45279</v>
      </c>
      <c r="C661" s="1" t="s">
        <v>19</v>
      </c>
      <c r="D661" s="1" t="s">
        <v>46</v>
      </c>
      <c r="E661" s="1" t="str">
        <f>TRIM(CLEAN(Sheet1[[#This Row],[Category]]))</f>
        <v>Furniture</v>
      </c>
      <c r="F661">
        <v>6</v>
      </c>
      <c r="G661" t="str">
        <f t="shared" si="10"/>
        <v>2. Mid-Market (4-7 Units)</v>
      </c>
      <c r="H661">
        <v>6</v>
      </c>
      <c r="I661">
        <v>429.8</v>
      </c>
      <c r="J661">
        <f>IF(ISBLANK(I661), ROUND(I661/ABS(VALUE(_xlfn.TEXTBEFORE(F661&amp;" ", " "))), 2), ABS(VALUE(SUBSTITUTE(I661, "$", ""))))</f>
        <v>429.8</v>
      </c>
      <c r="K661">
        <f>ROUND(Sheet1[[#This Row],[CleanedUnits_sold]]*Sheet1[[#This Row],[Cleaned_Unit_Price]],2)</f>
        <v>2578.8000000000002</v>
      </c>
      <c r="L661">
        <v>2578.8000000000002</v>
      </c>
      <c r="M661" s="1" t="s">
        <v>1276</v>
      </c>
      <c r="N661" s="1" t="s">
        <v>50</v>
      </c>
      <c r="O661" s="1" t="s">
        <v>1276</v>
      </c>
    </row>
    <row r="662" spans="1:15" x14ac:dyDescent="0.35">
      <c r="A662" s="1" t="s">
        <v>1277</v>
      </c>
      <c r="B662" s="2">
        <v>1</v>
      </c>
      <c r="C662" s="1" t="s">
        <v>23</v>
      </c>
      <c r="D662" s="1" t="s">
        <v>12</v>
      </c>
      <c r="E662" s="1" t="str">
        <f>TRIM(CLEAN(Sheet1[[#This Row],[Category]]))</f>
        <v>Office Supplies</v>
      </c>
      <c r="F662">
        <v>6</v>
      </c>
      <c r="G662" t="str">
        <f t="shared" si="10"/>
        <v>2. Mid-Market (4-7 Units)</v>
      </c>
      <c r="H662">
        <v>6</v>
      </c>
      <c r="I662">
        <v>472.61</v>
      </c>
      <c r="J662">
        <f>IF(ISBLANK(I662), ROUND(I662/ABS(VALUE(_xlfn.TEXTBEFORE(F662&amp;" ", " "))), 2), ABS(VALUE(SUBSTITUTE(I662, "$", ""))))</f>
        <v>472.61</v>
      </c>
      <c r="K662">
        <f>ROUND(Sheet1[[#This Row],[CleanedUnits_sold]]*Sheet1[[#This Row],[Cleaned_Unit_Price]],2)</f>
        <v>2835.66</v>
      </c>
      <c r="L662">
        <v>3221.16</v>
      </c>
      <c r="M662" s="1" t="s">
        <v>1278</v>
      </c>
      <c r="N662" s="1" t="s">
        <v>38</v>
      </c>
      <c r="O662" s="1" t="s">
        <v>1278</v>
      </c>
    </row>
    <row r="663" spans="1:15" x14ac:dyDescent="0.35">
      <c r="A663" s="1" t="s">
        <v>1279</v>
      </c>
      <c r="B663" s="2">
        <v>45225</v>
      </c>
      <c r="C663" s="1" t="s">
        <v>16</v>
      </c>
      <c r="D663" s="1" t="s">
        <v>24</v>
      </c>
      <c r="E663" s="1" t="str">
        <f>TRIM(CLEAN(Sheet1[[#This Row],[Category]]))</f>
        <v>Electronics</v>
      </c>
      <c r="F663">
        <v>4</v>
      </c>
      <c r="G663" t="str">
        <f t="shared" si="10"/>
        <v>2. Mid-Market (4-7 Units)</v>
      </c>
      <c r="H663">
        <v>4</v>
      </c>
      <c r="I663">
        <v>174.61</v>
      </c>
      <c r="J663">
        <f>IF(ISBLANK(I663), ROUND(I663/ABS(VALUE(_xlfn.TEXTBEFORE(F663&amp;" ", " "))), 2), ABS(VALUE(SUBSTITUTE(I663, "$", ""))))</f>
        <v>174.61</v>
      </c>
      <c r="K663">
        <f>ROUND(Sheet1[[#This Row],[CleanedUnits_sold]]*Sheet1[[#This Row],[Cleaned_Unit_Price]],2)</f>
        <v>698.44</v>
      </c>
      <c r="L663">
        <v>698.44</v>
      </c>
      <c r="M663" s="1" t="s">
        <v>1280</v>
      </c>
      <c r="N663" s="1" t="s">
        <v>26</v>
      </c>
      <c r="O663" s="1" t="s">
        <v>1280</v>
      </c>
    </row>
    <row r="664" spans="1:15" x14ac:dyDescent="0.35">
      <c r="A664" s="1" t="s">
        <v>1281</v>
      </c>
      <c r="B664" s="2">
        <v>45249</v>
      </c>
      <c r="C664" s="1" t="s">
        <v>23</v>
      </c>
      <c r="D664" s="1" t="s">
        <v>24</v>
      </c>
      <c r="E664" s="1" t="str">
        <f>TRIM(CLEAN(Sheet1[[#This Row],[Category]]))</f>
        <v>Electronics</v>
      </c>
      <c r="F664">
        <v>9</v>
      </c>
      <c r="G664" t="str">
        <f t="shared" si="10"/>
        <v>3. Wholesale / Bulk (8+ Units)</v>
      </c>
      <c r="H664">
        <v>9</v>
      </c>
      <c r="I664">
        <v>284.74</v>
      </c>
      <c r="J664">
        <f>IF(ISBLANK(I664), ROUND(I664/ABS(VALUE(_xlfn.TEXTBEFORE(F664&amp;" ", " "))), 2), ABS(VALUE(SUBSTITUTE(I664, "$", ""))))</f>
        <v>284.74</v>
      </c>
      <c r="K664">
        <f>ROUND(Sheet1[[#This Row],[CleanedUnits_sold]]*Sheet1[[#This Row],[Cleaned_Unit_Price]],2)</f>
        <v>2562.66</v>
      </c>
      <c r="L664">
        <v>2562.66</v>
      </c>
      <c r="M664" s="1" t="s">
        <v>1282</v>
      </c>
      <c r="N664" s="1" t="s">
        <v>14</v>
      </c>
      <c r="O664" s="1" t="s">
        <v>1282</v>
      </c>
    </row>
    <row r="665" spans="1:15" x14ac:dyDescent="0.35">
      <c r="A665" s="1" t="s">
        <v>1283</v>
      </c>
      <c r="B665" s="2">
        <v>1</v>
      </c>
      <c r="C665" s="1" t="s">
        <v>19</v>
      </c>
      <c r="D665" s="1" t="s">
        <v>24</v>
      </c>
      <c r="E665" s="1" t="str">
        <f>TRIM(CLEAN(Sheet1[[#This Row],[Category]]))</f>
        <v>Electronics</v>
      </c>
      <c r="F665">
        <v>6</v>
      </c>
      <c r="G665" t="str">
        <f t="shared" si="10"/>
        <v>2. Mid-Market (4-7 Units)</v>
      </c>
      <c r="H665">
        <v>6</v>
      </c>
      <c r="I665">
        <v>56.58</v>
      </c>
      <c r="J665">
        <f>IF(ISBLANK(I665), ROUND(I665/ABS(VALUE(_xlfn.TEXTBEFORE(F665&amp;" ", " "))), 2), ABS(VALUE(SUBSTITUTE(I665, "$", ""))))</f>
        <v>56.58</v>
      </c>
      <c r="K665">
        <f>ROUND(Sheet1[[#This Row],[CleanedUnits_sold]]*Sheet1[[#This Row],[Cleaned_Unit_Price]],2)</f>
        <v>339.48</v>
      </c>
      <c r="L665">
        <v>339.48</v>
      </c>
      <c r="M665" s="1" t="s">
        <v>1284</v>
      </c>
      <c r="N665" s="1" t="s">
        <v>26</v>
      </c>
      <c r="O665" s="1" t="s">
        <v>1284</v>
      </c>
    </row>
    <row r="666" spans="1:15" x14ac:dyDescent="0.35">
      <c r="A666" s="1" t="s">
        <v>1285</v>
      </c>
      <c r="B666" s="2">
        <v>1</v>
      </c>
      <c r="C666" s="1" t="s">
        <v>19</v>
      </c>
      <c r="D666" s="1" t="s">
        <v>24</v>
      </c>
      <c r="E666" s="1" t="str">
        <f>TRIM(CLEAN(Sheet1[[#This Row],[Category]]))</f>
        <v>Electronics</v>
      </c>
      <c r="F666">
        <v>5</v>
      </c>
      <c r="G666" t="str">
        <f t="shared" si="10"/>
        <v>2. Mid-Market (4-7 Units)</v>
      </c>
      <c r="H666">
        <v>5</v>
      </c>
      <c r="I666">
        <v>108.23</v>
      </c>
      <c r="J666">
        <f>IF(ISBLANK(I666), ROUND(I666/ABS(VALUE(_xlfn.TEXTBEFORE(F666&amp;" ", " "))), 2), ABS(VALUE(SUBSTITUTE(I666, "$", ""))))</f>
        <v>108.23</v>
      </c>
      <c r="K666">
        <f>ROUND(Sheet1[[#This Row],[CleanedUnits_sold]]*Sheet1[[#This Row],[Cleaned_Unit_Price]],2)</f>
        <v>541.15</v>
      </c>
      <c r="L666">
        <v>541.15</v>
      </c>
      <c r="M666" s="1" t="s">
        <v>1286</v>
      </c>
      <c r="N666" s="1" t="s">
        <v>21</v>
      </c>
      <c r="O666" s="1" t="s">
        <v>1286</v>
      </c>
    </row>
    <row r="667" spans="1:15" x14ac:dyDescent="0.35">
      <c r="A667" s="1" t="s">
        <v>1287</v>
      </c>
      <c r="B667" s="2">
        <v>1</v>
      </c>
      <c r="C667" s="1" t="s">
        <v>58</v>
      </c>
      <c r="D667" s="1" t="s">
        <v>46</v>
      </c>
      <c r="E667" s="1" t="str">
        <f>TRIM(CLEAN(Sheet1[[#This Row],[Category]]))</f>
        <v>Furniture</v>
      </c>
      <c r="F667">
        <v>5</v>
      </c>
      <c r="G667" t="str">
        <f t="shared" si="10"/>
        <v>2. Mid-Market (4-7 Units)</v>
      </c>
      <c r="H667">
        <v>5</v>
      </c>
      <c r="I667">
        <v>212.6</v>
      </c>
      <c r="J667">
        <f>IF(ISBLANK(I667), ROUND(I667/ABS(VALUE(_xlfn.TEXTBEFORE(F667&amp;" ", " "))), 2), ABS(VALUE(SUBSTITUTE(I667, "$", ""))))</f>
        <v>212.6</v>
      </c>
      <c r="K667">
        <f>ROUND(Sheet1[[#This Row],[CleanedUnits_sold]]*Sheet1[[#This Row],[Cleaned_Unit_Price]],2)</f>
        <v>1063</v>
      </c>
      <c r="L667">
        <v>1063</v>
      </c>
      <c r="M667" s="1" t="s">
        <v>1288</v>
      </c>
      <c r="N667" s="1" t="s">
        <v>21</v>
      </c>
      <c r="O667" s="1" t="s">
        <v>1288</v>
      </c>
    </row>
    <row r="668" spans="1:15" x14ac:dyDescent="0.35">
      <c r="A668" s="1" t="s">
        <v>1289</v>
      </c>
      <c r="B668" s="2">
        <v>1</v>
      </c>
      <c r="C668" s="1" t="s">
        <v>58</v>
      </c>
      <c r="D668" s="1" t="s">
        <v>24</v>
      </c>
      <c r="E668" s="1" t="str">
        <f>TRIM(CLEAN(Sheet1[[#This Row],[Category]]))</f>
        <v>Electronics</v>
      </c>
      <c r="F668">
        <v>4</v>
      </c>
      <c r="G668" t="str">
        <f t="shared" si="10"/>
        <v>2. Mid-Market (4-7 Units)</v>
      </c>
      <c r="H668">
        <v>4</v>
      </c>
      <c r="I668">
        <v>111.04</v>
      </c>
      <c r="J668">
        <f>IF(ISBLANK(I668), ROUND(I668/ABS(VALUE(_xlfn.TEXTBEFORE(F668&amp;" ", " "))), 2), ABS(VALUE(SUBSTITUTE(I668, "$", ""))))</f>
        <v>111.04</v>
      </c>
      <c r="K668">
        <f>ROUND(Sheet1[[#This Row],[CleanedUnits_sold]]*Sheet1[[#This Row],[Cleaned_Unit_Price]],2)</f>
        <v>444.16</v>
      </c>
      <c r="L668">
        <v>444.16</v>
      </c>
      <c r="M668" s="1"/>
      <c r="N668" s="1" t="s">
        <v>50</v>
      </c>
      <c r="O668" s="1" t="s">
        <v>131</v>
      </c>
    </row>
    <row r="669" spans="1:15" x14ac:dyDescent="0.35">
      <c r="A669" s="1" t="s">
        <v>1290</v>
      </c>
      <c r="B669" s="2">
        <v>45004</v>
      </c>
      <c r="C669" s="1" t="s">
        <v>23</v>
      </c>
      <c r="D669" s="1" t="s">
        <v>32</v>
      </c>
      <c r="E669" s="1" t="str">
        <f>TRIM(CLEAN(Sheet1[[#This Row],[Category]]))</f>
        <v>Furniture</v>
      </c>
      <c r="F669">
        <v>10</v>
      </c>
      <c r="G669" t="str">
        <f t="shared" si="10"/>
        <v>3. Wholesale / Bulk (8+ Units)</v>
      </c>
      <c r="H669">
        <v>10</v>
      </c>
      <c r="I669">
        <v>439.51</v>
      </c>
      <c r="J669">
        <f>IF(ISBLANK(I669), ROUND(I669/ABS(VALUE(_xlfn.TEXTBEFORE(F669&amp;" ", " "))), 2), ABS(VALUE(SUBSTITUTE(I669, "$", ""))))</f>
        <v>439.51</v>
      </c>
      <c r="K669">
        <f>ROUND(Sheet1[[#This Row],[CleanedUnits_sold]]*Sheet1[[#This Row],[Cleaned_Unit_Price]],2)</f>
        <v>4395.1000000000004</v>
      </c>
      <c r="M669" s="1" t="s">
        <v>1291</v>
      </c>
      <c r="N669" s="1" t="s">
        <v>50</v>
      </c>
      <c r="O669" s="1" t="s">
        <v>1291</v>
      </c>
    </row>
    <row r="670" spans="1:15" x14ac:dyDescent="0.35">
      <c r="A670" s="1" t="s">
        <v>1292</v>
      </c>
      <c r="B670" s="2">
        <v>45137</v>
      </c>
      <c r="C670" s="1" t="s">
        <v>19</v>
      </c>
      <c r="D670" s="1" t="s">
        <v>24</v>
      </c>
      <c r="E670" s="1" t="str">
        <f>TRIM(CLEAN(Sheet1[[#This Row],[Category]]))</f>
        <v>Electronics</v>
      </c>
      <c r="F670">
        <v>6</v>
      </c>
      <c r="G670" t="str">
        <f t="shared" si="10"/>
        <v>2. Mid-Market (4-7 Units)</v>
      </c>
      <c r="H670">
        <v>6</v>
      </c>
      <c r="I670">
        <v>87.56</v>
      </c>
      <c r="J670">
        <f>IF(ISBLANK(I670), ROUND(I670/ABS(VALUE(_xlfn.TEXTBEFORE(F670&amp;" ", " "))), 2), ABS(VALUE(SUBSTITUTE(I670, "$", ""))))</f>
        <v>87.56</v>
      </c>
      <c r="K670">
        <f>ROUND(Sheet1[[#This Row],[CleanedUnits_sold]]*Sheet1[[#This Row],[Cleaned_Unit_Price]],2)</f>
        <v>525.36</v>
      </c>
      <c r="L670">
        <v>525.36</v>
      </c>
      <c r="M670" s="1" t="s">
        <v>1293</v>
      </c>
      <c r="N670" s="1" t="s">
        <v>50</v>
      </c>
      <c r="O670" s="1" t="s">
        <v>1293</v>
      </c>
    </row>
    <row r="671" spans="1:15" x14ac:dyDescent="0.35">
      <c r="A671" s="1" t="s">
        <v>1294</v>
      </c>
      <c r="B671" s="2">
        <v>44928</v>
      </c>
      <c r="C671" s="1" t="s">
        <v>11</v>
      </c>
      <c r="D671" s="1" t="s">
        <v>12</v>
      </c>
      <c r="E671" s="1" t="str">
        <f>TRIM(CLEAN(Sheet1[[#This Row],[Category]]))</f>
        <v>Office Supplies</v>
      </c>
      <c r="F671">
        <v>2</v>
      </c>
      <c r="G671" t="str">
        <f t="shared" si="10"/>
        <v>1. Retail (1-3 Units)</v>
      </c>
      <c r="H671">
        <v>2</v>
      </c>
      <c r="I671">
        <v>233.27</v>
      </c>
      <c r="J671">
        <f>IF(ISBLANK(I671), ROUND(I671/ABS(VALUE(_xlfn.TEXTBEFORE(F671&amp;" ", " "))), 2), ABS(VALUE(SUBSTITUTE(I671, "$", ""))))</f>
        <v>233.27</v>
      </c>
      <c r="K671">
        <f>ROUND(Sheet1[[#This Row],[CleanedUnits_sold]]*Sheet1[[#This Row],[Cleaned_Unit_Price]],2)</f>
        <v>466.54</v>
      </c>
      <c r="L671">
        <v>466.54</v>
      </c>
      <c r="M671" s="1" t="s">
        <v>1295</v>
      </c>
      <c r="N671" s="1" t="s">
        <v>14</v>
      </c>
      <c r="O671" s="1" t="s">
        <v>1295</v>
      </c>
    </row>
    <row r="672" spans="1:15" x14ac:dyDescent="0.35">
      <c r="A672" s="1" t="s">
        <v>1296</v>
      </c>
      <c r="B672" s="2">
        <v>45214</v>
      </c>
      <c r="C672" s="1" t="s">
        <v>23</v>
      </c>
      <c r="D672" s="1" t="s">
        <v>24</v>
      </c>
      <c r="E672" s="1" t="str">
        <f>TRIM(CLEAN(Sheet1[[#This Row],[Category]]))</f>
        <v>Electronics</v>
      </c>
      <c r="F672">
        <v>4</v>
      </c>
      <c r="G672" t="str">
        <f t="shared" si="10"/>
        <v>2. Mid-Market (4-7 Units)</v>
      </c>
      <c r="H672">
        <v>4</v>
      </c>
      <c r="I672">
        <v>306.79000000000002</v>
      </c>
      <c r="J672">
        <f>IF(ISBLANK(I672), ROUND(I672/ABS(VALUE(_xlfn.TEXTBEFORE(F672&amp;" ", " "))), 2), ABS(VALUE(SUBSTITUTE(I672, "$", ""))))</f>
        <v>306.79000000000002</v>
      </c>
      <c r="K672">
        <f>ROUND(Sheet1[[#This Row],[CleanedUnits_sold]]*Sheet1[[#This Row],[Cleaned_Unit_Price]],2)</f>
        <v>1227.1600000000001</v>
      </c>
      <c r="L672">
        <v>1227.1600000000001</v>
      </c>
      <c r="M672" s="1" t="s">
        <v>49</v>
      </c>
      <c r="N672" s="1" t="s">
        <v>38</v>
      </c>
      <c r="O672" s="1" t="s">
        <v>51</v>
      </c>
    </row>
    <row r="673" spans="1:15" x14ac:dyDescent="0.35">
      <c r="A673" s="1" t="s">
        <v>1297</v>
      </c>
      <c r="B673" s="2">
        <v>45171</v>
      </c>
      <c r="C673" s="1" t="s">
        <v>16</v>
      </c>
      <c r="D673" s="1" t="s">
        <v>32</v>
      </c>
      <c r="E673" s="1" t="str">
        <f>TRIM(CLEAN(Sheet1[[#This Row],[Category]]))</f>
        <v>Furniture</v>
      </c>
      <c r="F673">
        <v>3</v>
      </c>
      <c r="G673" t="str">
        <f t="shared" si="10"/>
        <v>1. Retail (1-3 Units)</v>
      </c>
      <c r="H673">
        <v>3</v>
      </c>
      <c r="I673">
        <v>349.01</v>
      </c>
      <c r="J673">
        <f>IF(ISBLANK(I673), ROUND(I673/ABS(VALUE(_xlfn.TEXTBEFORE(F673&amp;" ", " "))), 2), ABS(VALUE(SUBSTITUTE(I673, "$", ""))))</f>
        <v>349.01</v>
      </c>
      <c r="K673">
        <f>ROUND(Sheet1[[#This Row],[CleanedUnits_sold]]*Sheet1[[#This Row],[Cleaned_Unit_Price]],2)</f>
        <v>1047.03</v>
      </c>
      <c r="L673">
        <v>1047.03</v>
      </c>
      <c r="M673" s="1"/>
      <c r="N673" s="1" t="s">
        <v>14</v>
      </c>
      <c r="O673" s="1" t="s">
        <v>131</v>
      </c>
    </row>
    <row r="674" spans="1:15" x14ac:dyDescent="0.35">
      <c r="A674" s="1" t="s">
        <v>1298</v>
      </c>
      <c r="B674" s="2">
        <v>45015</v>
      </c>
      <c r="C674" s="1" t="s">
        <v>19</v>
      </c>
      <c r="D674" s="1" t="s">
        <v>12</v>
      </c>
      <c r="E674" s="1" t="str">
        <f>TRIM(CLEAN(Sheet1[[#This Row],[Category]]))</f>
        <v>Office Supplies</v>
      </c>
      <c r="F674">
        <v>2</v>
      </c>
      <c r="G674" t="str">
        <f t="shared" si="10"/>
        <v>1. Retail (1-3 Units)</v>
      </c>
      <c r="H674">
        <v>2</v>
      </c>
      <c r="I674">
        <v>197.7</v>
      </c>
      <c r="J674">
        <f>IF(ISBLANK(I674), ROUND(I674/ABS(VALUE(_xlfn.TEXTBEFORE(F674&amp;" ", " "))), 2), ABS(VALUE(SUBSTITUTE(I674, "$", ""))))</f>
        <v>197.7</v>
      </c>
      <c r="K674">
        <f>ROUND(Sheet1[[#This Row],[CleanedUnits_sold]]*Sheet1[[#This Row],[Cleaned_Unit_Price]],2)</f>
        <v>395.4</v>
      </c>
      <c r="L674">
        <v>589.26</v>
      </c>
      <c r="M674" s="1" t="s">
        <v>1299</v>
      </c>
      <c r="N674" s="1" t="s">
        <v>50</v>
      </c>
      <c r="O674" s="1" t="s">
        <v>1299</v>
      </c>
    </row>
    <row r="675" spans="1:15" x14ac:dyDescent="0.35">
      <c r="A675" s="1" t="s">
        <v>1300</v>
      </c>
      <c r="B675" s="2">
        <v>45102</v>
      </c>
      <c r="C675" s="1" t="s">
        <v>16</v>
      </c>
      <c r="D675" s="1" t="s">
        <v>12</v>
      </c>
      <c r="E675" s="1" t="str">
        <f>TRIM(CLEAN(Sheet1[[#This Row],[Category]]))</f>
        <v>Office Supplies</v>
      </c>
      <c r="F675">
        <v>9999</v>
      </c>
      <c r="G675" t="str">
        <f t="shared" si="10"/>
        <v>2. Mid-Market (4-7 Units)</v>
      </c>
      <c r="H675">
        <v>5</v>
      </c>
      <c r="I675">
        <v>435.86</v>
      </c>
      <c r="J675">
        <f>IF(ISBLANK(I675), ROUND(I675/ABS(VALUE(_xlfn.TEXTBEFORE(F675&amp;" ", " "))), 2), ABS(VALUE(SUBSTITUTE(I675, "$", ""))))</f>
        <v>435.86</v>
      </c>
      <c r="K675">
        <f>ROUND(Sheet1[[#This Row],[CleanedUnits_sold]]*Sheet1[[#This Row],[Cleaned_Unit_Price]],2)</f>
        <v>2179.3000000000002</v>
      </c>
      <c r="L675">
        <v>2179.3000000000002</v>
      </c>
      <c r="M675" s="1" t="s">
        <v>1301</v>
      </c>
      <c r="N675" s="1" t="s">
        <v>50</v>
      </c>
      <c r="O675" s="1" t="s">
        <v>1301</v>
      </c>
    </row>
    <row r="676" spans="1:15" x14ac:dyDescent="0.35">
      <c r="A676" s="1" t="s">
        <v>1302</v>
      </c>
      <c r="B676" s="2">
        <v>45275</v>
      </c>
      <c r="C676" s="1" t="s">
        <v>16</v>
      </c>
      <c r="D676" s="1" t="s">
        <v>24</v>
      </c>
      <c r="E676" s="1" t="str">
        <f>TRIM(CLEAN(Sheet1[[#This Row],[Category]]))</f>
        <v>Electronics</v>
      </c>
      <c r="F676">
        <v>6</v>
      </c>
      <c r="G676" t="str">
        <f t="shared" si="10"/>
        <v>2. Mid-Market (4-7 Units)</v>
      </c>
      <c r="H676">
        <v>6</v>
      </c>
      <c r="I676" t="s">
        <v>332</v>
      </c>
      <c r="J676">
        <f>IF(ISBLANK(I676), ROUND(I676/ABS(VALUE(_xlfn.TEXTBEFORE(F676&amp;" ", " "))), 2), ABS(VALUE(SUBSTITUTE(I676, "$", ""))))</f>
        <v>250</v>
      </c>
      <c r="K676">
        <f>ROUND(Sheet1[[#This Row],[CleanedUnits_sold]]*Sheet1[[#This Row],[Cleaned_Unit_Price]],2)</f>
        <v>1500</v>
      </c>
      <c r="L676">
        <v>1730.88</v>
      </c>
      <c r="M676" s="1" t="s">
        <v>1303</v>
      </c>
      <c r="N676" s="1" t="s">
        <v>21</v>
      </c>
      <c r="O676" s="1" t="s">
        <v>1303</v>
      </c>
    </row>
    <row r="677" spans="1:15" x14ac:dyDescent="0.35">
      <c r="A677" s="1" t="s">
        <v>1304</v>
      </c>
      <c r="B677" s="2">
        <v>45173</v>
      </c>
      <c r="C677" s="1" t="s">
        <v>23</v>
      </c>
      <c r="D677" s="1" t="s">
        <v>12</v>
      </c>
      <c r="E677" s="1" t="str">
        <f>TRIM(CLEAN(Sheet1[[#This Row],[Category]]))</f>
        <v>Office Supplies</v>
      </c>
      <c r="F677">
        <v>5</v>
      </c>
      <c r="G677" t="str">
        <f t="shared" si="10"/>
        <v>2. Mid-Market (4-7 Units)</v>
      </c>
      <c r="H677">
        <v>5</v>
      </c>
      <c r="I677">
        <v>225.36</v>
      </c>
      <c r="J677">
        <f>IF(ISBLANK(I677), ROUND(I677/ABS(VALUE(_xlfn.TEXTBEFORE(F677&amp;" ", " "))), 2), ABS(VALUE(SUBSTITUTE(I677, "$", ""))))</f>
        <v>225.36</v>
      </c>
      <c r="K677">
        <f>ROUND(Sheet1[[#This Row],[CleanedUnits_sold]]*Sheet1[[#This Row],[Cleaned_Unit_Price]],2)</f>
        <v>1126.8</v>
      </c>
      <c r="L677">
        <v>1126.8</v>
      </c>
      <c r="M677" s="1" t="s">
        <v>1305</v>
      </c>
      <c r="N677" s="1" t="s">
        <v>26</v>
      </c>
      <c r="O677" s="1" t="s">
        <v>1305</v>
      </c>
    </row>
    <row r="678" spans="1:15" x14ac:dyDescent="0.35">
      <c r="A678" s="1" t="s">
        <v>1306</v>
      </c>
      <c r="B678" s="2">
        <v>44963</v>
      </c>
      <c r="C678" s="1" t="s">
        <v>16</v>
      </c>
      <c r="D678" s="1" t="s">
        <v>46</v>
      </c>
      <c r="E678" s="1" t="str">
        <f>TRIM(CLEAN(Sheet1[[#This Row],[Category]]))</f>
        <v>Furniture</v>
      </c>
      <c r="F678">
        <v>10</v>
      </c>
      <c r="G678" t="str">
        <f t="shared" si="10"/>
        <v>3. Wholesale / Bulk (8+ Units)</v>
      </c>
      <c r="H678">
        <v>10</v>
      </c>
      <c r="I678">
        <v>42.95</v>
      </c>
      <c r="J678">
        <f>IF(ISBLANK(I678), ROUND(I678/ABS(VALUE(_xlfn.TEXTBEFORE(F678&amp;" ", " "))), 2), ABS(VALUE(SUBSTITUTE(I678, "$", ""))))</f>
        <v>42.95</v>
      </c>
      <c r="K678">
        <f>ROUND(Sheet1[[#This Row],[CleanedUnits_sold]]*Sheet1[[#This Row],[Cleaned_Unit_Price]],2)</f>
        <v>429.5</v>
      </c>
      <c r="L678">
        <v>429.5</v>
      </c>
      <c r="M678" s="1" t="s">
        <v>1307</v>
      </c>
      <c r="N678" s="1" t="s">
        <v>50</v>
      </c>
      <c r="O678" s="1" t="s">
        <v>1307</v>
      </c>
    </row>
    <row r="679" spans="1:15" x14ac:dyDescent="0.35">
      <c r="A679" s="1" t="s">
        <v>1308</v>
      </c>
      <c r="B679" s="2">
        <v>45079</v>
      </c>
      <c r="C679" s="1" t="s">
        <v>16</v>
      </c>
      <c r="D679" s="1" t="s">
        <v>46</v>
      </c>
      <c r="E679" s="1" t="str">
        <f>TRIM(CLEAN(Sheet1[[#This Row],[Category]]))</f>
        <v>Furniture</v>
      </c>
      <c r="F679">
        <v>5</v>
      </c>
      <c r="G679" t="str">
        <f t="shared" si="10"/>
        <v>2. Mid-Market (4-7 Units)</v>
      </c>
      <c r="H679">
        <v>5</v>
      </c>
      <c r="I679">
        <v>237.7</v>
      </c>
      <c r="J679">
        <f>IF(ISBLANK(I679), ROUND(I679/ABS(VALUE(_xlfn.TEXTBEFORE(F679&amp;" ", " "))), 2), ABS(VALUE(SUBSTITUTE(I679, "$", ""))))</f>
        <v>237.7</v>
      </c>
      <c r="K679">
        <f>ROUND(Sheet1[[#This Row],[CleanedUnits_sold]]*Sheet1[[#This Row],[Cleaned_Unit_Price]],2)</f>
        <v>1188.5</v>
      </c>
      <c r="L679">
        <v>1188.5</v>
      </c>
      <c r="M679" s="1" t="s">
        <v>1309</v>
      </c>
      <c r="N679" s="1" t="s">
        <v>26</v>
      </c>
      <c r="O679" s="1" t="s">
        <v>1309</v>
      </c>
    </row>
    <row r="680" spans="1:15" x14ac:dyDescent="0.35">
      <c r="A680" s="1" t="s">
        <v>1310</v>
      </c>
      <c r="B680" s="2">
        <v>45280</v>
      </c>
      <c r="C680" s="1" t="s">
        <v>16</v>
      </c>
      <c r="D680" s="1" t="s">
        <v>46</v>
      </c>
      <c r="E680" s="1" t="str">
        <f>TRIM(CLEAN(Sheet1[[#This Row],[Category]]))</f>
        <v>Furniture</v>
      </c>
      <c r="F680">
        <v>5</v>
      </c>
      <c r="G680" t="str">
        <f t="shared" si="10"/>
        <v>2. Mid-Market (4-7 Units)</v>
      </c>
      <c r="H680">
        <v>5</v>
      </c>
      <c r="I680">
        <v>412.16</v>
      </c>
      <c r="J680">
        <f>IF(ISBLANK(I680), ROUND(I680/ABS(VALUE(_xlfn.TEXTBEFORE(F680&amp;" ", " "))), 2), ABS(VALUE(SUBSTITUTE(I680, "$", ""))))</f>
        <v>412.16</v>
      </c>
      <c r="K680">
        <f>ROUND(Sheet1[[#This Row],[CleanedUnits_sold]]*Sheet1[[#This Row],[Cleaned_Unit_Price]],2)</f>
        <v>2060.8000000000002</v>
      </c>
      <c r="L680">
        <v>2060.8000000000002</v>
      </c>
      <c r="M680" s="1" t="s">
        <v>1311</v>
      </c>
      <c r="N680" s="1" t="s">
        <v>14</v>
      </c>
      <c r="O680" s="1" t="s">
        <v>1311</v>
      </c>
    </row>
    <row r="681" spans="1:15" x14ac:dyDescent="0.35">
      <c r="A681" s="1" t="s">
        <v>1312</v>
      </c>
      <c r="B681" s="2">
        <v>45105</v>
      </c>
      <c r="C681" s="1" t="s">
        <v>11</v>
      </c>
      <c r="D681" s="1" t="s">
        <v>32</v>
      </c>
      <c r="E681" s="1" t="str">
        <f>TRIM(CLEAN(Sheet1[[#This Row],[Category]]))</f>
        <v>Furniture</v>
      </c>
      <c r="F681">
        <v>4</v>
      </c>
      <c r="G681" t="str">
        <f t="shared" si="10"/>
        <v>2. Mid-Market (4-7 Units)</v>
      </c>
      <c r="H681">
        <v>4</v>
      </c>
      <c r="I681">
        <v>311.13</v>
      </c>
      <c r="J681">
        <f>IF(ISBLANK(I681), ROUND(I681/ABS(VALUE(_xlfn.TEXTBEFORE(F681&amp;" ", " "))), 2), ABS(VALUE(SUBSTITUTE(I681, "$", ""))))</f>
        <v>311.13</v>
      </c>
      <c r="K681">
        <f>ROUND(Sheet1[[#This Row],[CleanedUnits_sold]]*Sheet1[[#This Row],[Cleaned_Unit_Price]],2)</f>
        <v>1244.52</v>
      </c>
      <c r="L681">
        <v>1244.52</v>
      </c>
      <c r="M681" s="1" t="s">
        <v>49</v>
      </c>
      <c r="N681" s="1" t="s">
        <v>14</v>
      </c>
      <c r="O681" s="1" t="s">
        <v>51</v>
      </c>
    </row>
    <row r="682" spans="1:15" x14ac:dyDescent="0.35">
      <c r="A682" s="1" t="s">
        <v>1313</v>
      </c>
      <c r="B682" s="2">
        <v>45220</v>
      </c>
      <c r="C682" s="1" t="s">
        <v>11</v>
      </c>
      <c r="D682" s="1" t="s">
        <v>12</v>
      </c>
      <c r="E682" s="1" t="str">
        <f>TRIM(CLEAN(Sheet1[[#This Row],[Category]]))</f>
        <v>Office Supplies</v>
      </c>
      <c r="F682">
        <v>4</v>
      </c>
      <c r="G682" t="str">
        <f t="shared" si="10"/>
        <v>2. Mid-Market (4-7 Units)</v>
      </c>
      <c r="H682">
        <v>4</v>
      </c>
      <c r="I682">
        <v>417.76</v>
      </c>
      <c r="J682">
        <f>IF(ISBLANK(I682), ROUND(I682/ABS(VALUE(_xlfn.TEXTBEFORE(F682&amp;" ", " "))), 2), ABS(VALUE(SUBSTITUTE(I682, "$", ""))))</f>
        <v>417.76</v>
      </c>
      <c r="K682">
        <f>ROUND(Sheet1[[#This Row],[CleanedUnits_sold]]*Sheet1[[#This Row],[Cleaned_Unit_Price]],2)</f>
        <v>1671.04</v>
      </c>
      <c r="L682">
        <v>1671.04</v>
      </c>
      <c r="M682" s="1" t="s">
        <v>1314</v>
      </c>
      <c r="N682" s="1" t="s">
        <v>50</v>
      </c>
      <c r="O682" s="1" t="s">
        <v>1314</v>
      </c>
    </row>
    <row r="683" spans="1:15" x14ac:dyDescent="0.35">
      <c r="A683" s="1" t="s">
        <v>1315</v>
      </c>
      <c r="B683" s="2">
        <v>45129</v>
      </c>
      <c r="C683" s="1" t="s">
        <v>16</v>
      </c>
      <c r="D683" s="1" t="s">
        <v>24</v>
      </c>
      <c r="E683" s="1" t="str">
        <f>TRIM(CLEAN(Sheet1[[#This Row],[Category]]))</f>
        <v>Electronics</v>
      </c>
      <c r="F683">
        <v>3</v>
      </c>
      <c r="G683" t="str">
        <f t="shared" si="10"/>
        <v>1. Retail (1-3 Units)</v>
      </c>
      <c r="H683">
        <v>3</v>
      </c>
      <c r="I683">
        <v>252.07</v>
      </c>
      <c r="J683">
        <f>IF(ISBLANK(I683), ROUND(I683/ABS(VALUE(_xlfn.TEXTBEFORE(F683&amp;" ", " "))), 2), ABS(VALUE(SUBSTITUTE(I683, "$", ""))))</f>
        <v>252.07</v>
      </c>
      <c r="K683">
        <f>ROUND(Sheet1[[#This Row],[CleanedUnits_sold]]*Sheet1[[#This Row],[Cleaned_Unit_Price]],2)</f>
        <v>756.21</v>
      </c>
      <c r="L683">
        <v>756.21</v>
      </c>
      <c r="M683" s="1" t="s">
        <v>1316</v>
      </c>
      <c r="N683" s="1" t="s">
        <v>50</v>
      </c>
      <c r="O683" s="1" t="s">
        <v>1316</v>
      </c>
    </row>
    <row r="684" spans="1:15" x14ac:dyDescent="0.35">
      <c r="A684" s="1" t="s">
        <v>1317</v>
      </c>
      <c r="B684" s="2">
        <v>45001</v>
      </c>
      <c r="C684" s="1" t="s">
        <v>11</v>
      </c>
      <c r="D684" s="1" t="s">
        <v>24</v>
      </c>
      <c r="E684" s="1" t="str">
        <f>TRIM(CLEAN(Sheet1[[#This Row],[Category]]))</f>
        <v>Electronics</v>
      </c>
      <c r="F684">
        <v>6</v>
      </c>
      <c r="G684" t="str">
        <f t="shared" si="10"/>
        <v>2. Mid-Market (4-7 Units)</v>
      </c>
      <c r="H684">
        <v>6</v>
      </c>
      <c r="I684">
        <v>68.05</v>
      </c>
      <c r="J684">
        <f>IF(ISBLANK(I684), ROUND(I684/ABS(VALUE(_xlfn.TEXTBEFORE(F684&amp;" ", " "))), 2), ABS(VALUE(SUBSTITUTE(I684, "$", ""))))</f>
        <v>68.05</v>
      </c>
      <c r="K684">
        <f>ROUND(Sheet1[[#This Row],[CleanedUnits_sold]]*Sheet1[[#This Row],[Cleaned_Unit_Price]],2)</f>
        <v>408.3</v>
      </c>
      <c r="L684">
        <v>408.3</v>
      </c>
      <c r="M684" s="1" t="s">
        <v>1318</v>
      </c>
      <c r="N684" s="1" t="s">
        <v>38</v>
      </c>
      <c r="O684" s="1" t="s">
        <v>1318</v>
      </c>
    </row>
    <row r="685" spans="1:15" x14ac:dyDescent="0.35">
      <c r="A685" s="1" t="s">
        <v>1319</v>
      </c>
      <c r="B685" s="2">
        <v>1</v>
      </c>
      <c r="C685" s="1" t="s">
        <v>11</v>
      </c>
      <c r="D685" s="1" t="s">
        <v>12</v>
      </c>
      <c r="E685" s="1" t="str">
        <f>TRIM(CLEAN(Sheet1[[#This Row],[Category]]))</f>
        <v>Office Supplies</v>
      </c>
      <c r="F685">
        <v>4</v>
      </c>
      <c r="G685" t="str">
        <f t="shared" si="10"/>
        <v>2. Mid-Market (4-7 Units)</v>
      </c>
      <c r="H685">
        <v>4</v>
      </c>
      <c r="I685">
        <v>16.68</v>
      </c>
      <c r="J685">
        <f>IF(ISBLANK(I685), ROUND(I685/ABS(VALUE(_xlfn.TEXTBEFORE(F685&amp;" ", " "))), 2), ABS(VALUE(SUBSTITUTE(I685, "$", ""))))</f>
        <v>16.68</v>
      </c>
      <c r="K685">
        <f>ROUND(Sheet1[[#This Row],[CleanedUnits_sold]]*Sheet1[[#This Row],[Cleaned_Unit_Price]],2)</f>
        <v>66.72</v>
      </c>
      <c r="L685">
        <v>66.72</v>
      </c>
      <c r="M685" s="1" t="s">
        <v>49</v>
      </c>
      <c r="N685" s="1" t="s">
        <v>14</v>
      </c>
      <c r="O685" s="1" t="s">
        <v>51</v>
      </c>
    </row>
    <row r="686" spans="1:15" x14ac:dyDescent="0.35">
      <c r="A686" s="1" t="s">
        <v>1320</v>
      </c>
      <c r="B686" s="2">
        <v>44967</v>
      </c>
      <c r="C686" s="1" t="s">
        <v>16</v>
      </c>
      <c r="D686" s="1" t="s">
        <v>24</v>
      </c>
      <c r="E686" s="1" t="str">
        <f>TRIM(CLEAN(Sheet1[[#This Row],[Category]]))</f>
        <v>Electronics</v>
      </c>
      <c r="F686">
        <v>5</v>
      </c>
      <c r="G686" t="str">
        <f t="shared" si="10"/>
        <v>2. Mid-Market (4-7 Units)</v>
      </c>
      <c r="H686">
        <v>5</v>
      </c>
      <c r="I686">
        <v>158.58000000000001</v>
      </c>
      <c r="J686">
        <f>IF(ISBLANK(I686), ROUND(I686/ABS(VALUE(_xlfn.TEXTBEFORE(F686&amp;" ", " "))), 2), ABS(VALUE(SUBSTITUTE(I686, "$", ""))))</f>
        <v>158.58000000000001</v>
      </c>
      <c r="K686">
        <f>ROUND(Sheet1[[#This Row],[CleanedUnits_sold]]*Sheet1[[#This Row],[Cleaned_Unit_Price]],2)</f>
        <v>792.9</v>
      </c>
      <c r="M686" s="1" t="s">
        <v>1321</v>
      </c>
      <c r="N686" s="1" t="s">
        <v>50</v>
      </c>
      <c r="O686" s="1" t="s">
        <v>1321</v>
      </c>
    </row>
    <row r="687" spans="1:15" x14ac:dyDescent="0.35">
      <c r="A687" s="1" t="s">
        <v>1322</v>
      </c>
      <c r="B687" s="2">
        <v>45262</v>
      </c>
      <c r="C687" s="1" t="s">
        <v>16</v>
      </c>
      <c r="D687" s="1" t="s">
        <v>32</v>
      </c>
      <c r="E687" s="1" t="str">
        <f>TRIM(CLEAN(Sheet1[[#This Row],[Category]]))</f>
        <v>Furniture</v>
      </c>
      <c r="F687">
        <v>9</v>
      </c>
      <c r="G687" t="str">
        <f t="shared" si="10"/>
        <v>3. Wholesale / Bulk (8+ Units)</v>
      </c>
      <c r="H687">
        <v>9</v>
      </c>
      <c r="I687">
        <v>352.02</v>
      </c>
      <c r="J687">
        <f>IF(ISBLANK(I687), ROUND(I687/ABS(VALUE(_xlfn.TEXTBEFORE(F687&amp;" ", " "))), 2), ABS(VALUE(SUBSTITUTE(I687, "$", ""))))</f>
        <v>352.02</v>
      </c>
      <c r="K687">
        <f>ROUND(Sheet1[[#This Row],[CleanedUnits_sold]]*Sheet1[[#This Row],[Cleaned_Unit_Price]],2)</f>
        <v>3168.18</v>
      </c>
      <c r="L687">
        <v>3168.18</v>
      </c>
      <c r="M687" s="1" t="s">
        <v>1323</v>
      </c>
      <c r="N687" s="1" t="s">
        <v>26</v>
      </c>
      <c r="O687" s="1" t="s">
        <v>1323</v>
      </c>
    </row>
    <row r="688" spans="1:15" x14ac:dyDescent="0.35">
      <c r="A688" s="1" t="s">
        <v>1324</v>
      </c>
      <c r="B688" s="2">
        <v>1</v>
      </c>
      <c r="C688" s="1" t="s">
        <v>11</v>
      </c>
      <c r="D688" s="1" t="s">
        <v>24</v>
      </c>
      <c r="E688" s="1" t="str">
        <f>TRIM(CLEAN(Sheet1[[#This Row],[Category]]))</f>
        <v>Electronics</v>
      </c>
      <c r="F688">
        <v>5</v>
      </c>
      <c r="G688" t="str">
        <f t="shared" si="10"/>
        <v>2. Mid-Market (4-7 Units)</v>
      </c>
      <c r="H688">
        <v>5</v>
      </c>
      <c r="I688">
        <v>397.23</v>
      </c>
      <c r="J688">
        <f>IF(ISBLANK(I688), ROUND(I688/ABS(VALUE(_xlfn.TEXTBEFORE(F688&amp;" ", " "))), 2), ABS(VALUE(SUBSTITUTE(I688, "$", ""))))</f>
        <v>397.23</v>
      </c>
      <c r="K688">
        <f>ROUND(Sheet1[[#This Row],[CleanedUnits_sold]]*Sheet1[[#This Row],[Cleaned_Unit_Price]],2)</f>
        <v>1986.15</v>
      </c>
      <c r="L688">
        <v>2374.83</v>
      </c>
      <c r="M688" s="1" t="s">
        <v>1325</v>
      </c>
      <c r="N688" s="1" t="s">
        <v>26</v>
      </c>
      <c r="O688" s="1" t="s">
        <v>1325</v>
      </c>
    </row>
    <row r="689" spans="1:15" x14ac:dyDescent="0.35">
      <c r="A689" s="1" t="s">
        <v>1326</v>
      </c>
      <c r="B689" s="2">
        <v>45065</v>
      </c>
      <c r="C689" s="1" t="s">
        <v>11</v>
      </c>
      <c r="D689" s="1" t="s">
        <v>24</v>
      </c>
      <c r="E689" s="1" t="str">
        <f>TRIM(CLEAN(Sheet1[[#This Row],[Category]]))</f>
        <v>Electronics</v>
      </c>
      <c r="F689">
        <v>9</v>
      </c>
      <c r="G689" t="str">
        <f t="shared" si="10"/>
        <v>3. Wholesale / Bulk (8+ Units)</v>
      </c>
      <c r="H689">
        <v>9</v>
      </c>
      <c r="I689">
        <v>154.91999999999999</v>
      </c>
      <c r="J689">
        <f>IF(ISBLANK(I689), ROUND(I689/ABS(VALUE(_xlfn.TEXTBEFORE(F689&amp;" ", " "))), 2), ABS(VALUE(SUBSTITUTE(I689, "$", ""))))</f>
        <v>154.91999999999999</v>
      </c>
      <c r="K689">
        <f>ROUND(Sheet1[[#This Row],[CleanedUnits_sold]]*Sheet1[[#This Row],[Cleaned_Unit_Price]],2)</f>
        <v>1394.28</v>
      </c>
      <c r="L689">
        <v>1394.28</v>
      </c>
      <c r="M689" s="1"/>
      <c r="N689" s="1" t="s">
        <v>38</v>
      </c>
      <c r="O689" s="1" t="s">
        <v>131</v>
      </c>
    </row>
    <row r="690" spans="1:15" x14ac:dyDescent="0.35">
      <c r="A690" s="1" t="s">
        <v>1327</v>
      </c>
      <c r="B690" s="2">
        <v>45271</v>
      </c>
      <c r="C690" s="1" t="s">
        <v>19</v>
      </c>
      <c r="D690" s="1" t="s">
        <v>32</v>
      </c>
      <c r="E690" s="1" t="str">
        <f>TRIM(CLEAN(Sheet1[[#This Row],[Category]]))</f>
        <v>Furniture</v>
      </c>
      <c r="F690">
        <v>-6</v>
      </c>
      <c r="G690" t="str">
        <f t="shared" si="10"/>
        <v>2. Mid-Market (4-7 Units)</v>
      </c>
      <c r="H690">
        <v>6</v>
      </c>
      <c r="I690">
        <v>252.87</v>
      </c>
      <c r="J690">
        <f>IF(ISBLANK(I690), ROUND(I690/ABS(VALUE(_xlfn.TEXTBEFORE(F690&amp;" ", " "))), 2), ABS(VALUE(SUBSTITUTE(I690, "$", ""))))</f>
        <v>252.87</v>
      </c>
      <c r="K690">
        <f>ROUND(Sheet1[[#This Row],[CleanedUnits_sold]]*Sheet1[[#This Row],[Cleaned_Unit_Price]],2)</f>
        <v>1517.22</v>
      </c>
      <c r="L690">
        <v>1264.3499999999999</v>
      </c>
      <c r="M690" s="1" t="s">
        <v>1328</v>
      </c>
      <c r="N690" s="1" t="s">
        <v>50</v>
      </c>
      <c r="O690" s="1" t="s">
        <v>1328</v>
      </c>
    </row>
    <row r="691" spans="1:15" x14ac:dyDescent="0.35">
      <c r="A691" s="1" t="s">
        <v>1329</v>
      </c>
      <c r="B691" s="2">
        <v>45181</v>
      </c>
      <c r="C691" s="1" t="s">
        <v>16</v>
      </c>
      <c r="D691" s="1" t="s">
        <v>46</v>
      </c>
      <c r="E691" s="1" t="str">
        <f>TRIM(CLEAN(Sheet1[[#This Row],[Category]]))</f>
        <v>Furniture</v>
      </c>
      <c r="F691">
        <v>5</v>
      </c>
      <c r="G691" t="str">
        <f t="shared" si="10"/>
        <v>2. Mid-Market (4-7 Units)</v>
      </c>
      <c r="H691">
        <v>5</v>
      </c>
      <c r="I691">
        <v>216.35</v>
      </c>
      <c r="J691">
        <f>IF(ISBLANK(I691), ROUND(I691/ABS(VALUE(_xlfn.TEXTBEFORE(F691&amp;" ", " "))), 2), ABS(VALUE(SUBSTITUTE(I691, "$", ""))))</f>
        <v>216.35</v>
      </c>
      <c r="K691">
        <f>ROUND(Sheet1[[#This Row],[CleanedUnits_sold]]*Sheet1[[#This Row],[Cleaned_Unit_Price]],2)</f>
        <v>1081.75</v>
      </c>
      <c r="L691">
        <v>1081.75</v>
      </c>
      <c r="M691" s="1" t="s">
        <v>1330</v>
      </c>
      <c r="N691" s="1" t="s">
        <v>50</v>
      </c>
      <c r="O691" s="1" t="s">
        <v>1330</v>
      </c>
    </row>
    <row r="692" spans="1:15" x14ac:dyDescent="0.35">
      <c r="A692" s="1" t="s">
        <v>1331</v>
      </c>
      <c r="B692" s="2">
        <v>44953</v>
      </c>
      <c r="C692" s="1" t="s">
        <v>23</v>
      </c>
      <c r="D692" s="1" t="s">
        <v>32</v>
      </c>
      <c r="E692" s="1" t="str">
        <f>TRIM(CLEAN(Sheet1[[#This Row],[Category]]))</f>
        <v>Furniture</v>
      </c>
      <c r="F692">
        <v>1</v>
      </c>
      <c r="G692" t="str">
        <f t="shared" si="10"/>
        <v>1. Retail (1-3 Units)</v>
      </c>
      <c r="H692">
        <v>1</v>
      </c>
      <c r="I692">
        <v>211.16</v>
      </c>
      <c r="J692">
        <f>IF(ISBLANK(I692), ROUND(I692/ABS(VALUE(_xlfn.TEXTBEFORE(F692&amp;" ", " "))), 2), ABS(VALUE(SUBSTITUTE(I692, "$", ""))))</f>
        <v>211.16</v>
      </c>
      <c r="K692">
        <f>ROUND(Sheet1[[#This Row],[CleanedUnits_sold]]*Sheet1[[#This Row],[Cleaned_Unit_Price]],2)</f>
        <v>211.16</v>
      </c>
      <c r="L692">
        <v>211.16</v>
      </c>
      <c r="M692" s="1" t="s">
        <v>1332</v>
      </c>
      <c r="N692" s="1" t="s">
        <v>38</v>
      </c>
      <c r="O692" s="1" t="s">
        <v>1332</v>
      </c>
    </row>
    <row r="693" spans="1:15" x14ac:dyDescent="0.35">
      <c r="A693" s="1" t="s">
        <v>1333</v>
      </c>
      <c r="B693" s="2">
        <v>45168</v>
      </c>
      <c r="C693" s="1" t="s">
        <v>19</v>
      </c>
      <c r="D693" s="1" t="s">
        <v>24</v>
      </c>
      <c r="E693" s="1" t="str">
        <f>TRIM(CLEAN(Sheet1[[#This Row],[Category]]))</f>
        <v>Electronics</v>
      </c>
      <c r="F693">
        <v>5</v>
      </c>
      <c r="G693" t="str">
        <f t="shared" si="10"/>
        <v>2. Mid-Market (4-7 Units)</v>
      </c>
      <c r="H693">
        <v>5</v>
      </c>
      <c r="I693">
        <v>123.36</v>
      </c>
      <c r="J693">
        <f>IF(ISBLANK(I693), ROUND(I693/ABS(VALUE(_xlfn.TEXTBEFORE(F693&amp;" ", " "))), 2), ABS(VALUE(SUBSTITUTE(I693, "$", ""))))</f>
        <v>123.36</v>
      </c>
      <c r="K693">
        <f>ROUND(Sheet1[[#This Row],[CleanedUnits_sold]]*Sheet1[[#This Row],[Cleaned_Unit_Price]],2)</f>
        <v>616.79999999999995</v>
      </c>
      <c r="L693">
        <v>616.79999999999995</v>
      </c>
      <c r="M693" s="1" t="s">
        <v>1334</v>
      </c>
      <c r="N693" s="1" t="s">
        <v>50</v>
      </c>
      <c r="O693" s="1" t="s">
        <v>1334</v>
      </c>
    </row>
    <row r="694" spans="1:15" x14ac:dyDescent="0.35">
      <c r="A694" s="1" t="s">
        <v>1335</v>
      </c>
      <c r="B694" s="2">
        <v>44997</v>
      </c>
      <c r="C694" s="1" t="s">
        <v>16</v>
      </c>
      <c r="D694" s="1" t="s">
        <v>12</v>
      </c>
      <c r="E694" s="1" t="str">
        <f>TRIM(CLEAN(Sheet1[[#This Row],[Category]]))</f>
        <v>Office Supplies</v>
      </c>
      <c r="F694">
        <v>-6</v>
      </c>
      <c r="G694" t="str">
        <f t="shared" si="10"/>
        <v>2. Mid-Market (4-7 Units)</v>
      </c>
      <c r="H694">
        <v>6</v>
      </c>
      <c r="I694">
        <v>76.819999999999993</v>
      </c>
      <c r="J694">
        <f>IF(ISBLANK(I694), ROUND(I694/ABS(VALUE(_xlfn.TEXTBEFORE(F694&amp;" ", " "))), 2), ABS(VALUE(SUBSTITUTE(I694, "$", ""))))</f>
        <v>76.819999999999993</v>
      </c>
      <c r="K694">
        <f>ROUND(Sheet1[[#This Row],[CleanedUnits_sold]]*Sheet1[[#This Row],[Cleaned_Unit_Price]],2)</f>
        <v>460.92</v>
      </c>
      <c r="L694">
        <v>614.55999999999995</v>
      </c>
      <c r="M694" s="1" t="s">
        <v>49</v>
      </c>
      <c r="N694" s="1" t="s">
        <v>14</v>
      </c>
      <c r="O694" s="1" t="s">
        <v>51</v>
      </c>
    </row>
    <row r="695" spans="1:15" x14ac:dyDescent="0.35">
      <c r="A695" s="1" t="s">
        <v>1336</v>
      </c>
      <c r="B695" s="2">
        <v>45007</v>
      </c>
      <c r="C695" s="1" t="s">
        <v>58</v>
      </c>
      <c r="D695" s="1" t="s">
        <v>24</v>
      </c>
      <c r="E695" s="1" t="str">
        <f>TRIM(CLEAN(Sheet1[[#This Row],[Category]]))</f>
        <v>Electronics</v>
      </c>
      <c r="F695">
        <v>6</v>
      </c>
      <c r="G695" t="str">
        <f t="shared" si="10"/>
        <v>2. Mid-Market (4-7 Units)</v>
      </c>
      <c r="H695">
        <v>6</v>
      </c>
      <c r="I695">
        <v>106.38</v>
      </c>
      <c r="J695">
        <f>IF(ISBLANK(I695), ROUND(I695/ABS(VALUE(_xlfn.TEXTBEFORE(F695&amp;" ", " "))), 2), ABS(VALUE(SUBSTITUTE(I695, "$", ""))))</f>
        <v>106.38</v>
      </c>
      <c r="K695">
        <f>ROUND(Sheet1[[#This Row],[CleanedUnits_sold]]*Sheet1[[#This Row],[Cleaned_Unit_Price]],2)</f>
        <v>638.28</v>
      </c>
      <c r="L695">
        <v>638.28</v>
      </c>
      <c r="M695" s="1" t="s">
        <v>1337</v>
      </c>
      <c r="N695" s="1" t="s">
        <v>14</v>
      </c>
      <c r="O695" s="1" t="s">
        <v>1337</v>
      </c>
    </row>
    <row r="696" spans="1:15" x14ac:dyDescent="0.35">
      <c r="A696" s="1" t="s">
        <v>1338</v>
      </c>
      <c r="B696" s="2">
        <v>45170</v>
      </c>
      <c r="C696" s="1" t="s">
        <v>19</v>
      </c>
      <c r="D696" s="1" t="s">
        <v>24</v>
      </c>
      <c r="E696" s="1" t="str">
        <f>TRIM(CLEAN(Sheet1[[#This Row],[Category]]))</f>
        <v>Electronics</v>
      </c>
      <c r="F696">
        <v>2</v>
      </c>
      <c r="G696" t="str">
        <f t="shared" si="10"/>
        <v>1. Retail (1-3 Units)</v>
      </c>
      <c r="H696">
        <v>2</v>
      </c>
      <c r="I696">
        <v>37.11</v>
      </c>
      <c r="J696">
        <f>IF(ISBLANK(I696), ROUND(I696/ABS(VALUE(_xlfn.TEXTBEFORE(F696&amp;" ", " "))), 2), ABS(VALUE(SUBSTITUTE(I696, "$", ""))))</f>
        <v>37.11</v>
      </c>
      <c r="K696">
        <f>ROUND(Sheet1[[#This Row],[CleanedUnits_sold]]*Sheet1[[#This Row],[Cleaned_Unit_Price]],2)</f>
        <v>74.22</v>
      </c>
      <c r="L696">
        <v>385.24</v>
      </c>
      <c r="M696" s="1" t="s">
        <v>1339</v>
      </c>
      <c r="N696" s="1" t="s">
        <v>50</v>
      </c>
      <c r="O696" s="1" t="s">
        <v>1339</v>
      </c>
    </row>
    <row r="697" spans="1:15" x14ac:dyDescent="0.35">
      <c r="A697" s="1" t="s">
        <v>1340</v>
      </c>
      <c r="B697" s="2">
        <v>45074</v>
      </c>
      <c r="C697" s="1" t="s">
        <v>11</v>
      </c>
      <c r="D697" s="1" t="s">
        <v>12</v>
      </c>
      <c r="E697" s="1" t="str">
        <f>TRIM(CLEAN(Sheet1[[#This Row],[Category]]))</f>
        <v>Office Supplies</v>
      </c>
      <c r="F697">
        <v>5</v>
      </c>
      <c r="G697" t="str">
        <f t="shared" si="10"/>
        <v>2. Mid-Market (4-7 Units)</v>
      </c>
      <c r="H697">
        <v>5</v>
      </c>
      <c r="I697">
        <v>107.08</v>
      </c>
      <c r="J697">
        <f>IF(ISBLANK(I697), ROUND(I697/ABS(VALUE(_xlfn.TEXTBEFORE(F697&amp;" ", " "))), 2), ABS(VALUE(SUBSTITUTE(I697, "$", ""))))</f>
        <v>107.08</v>
      </c>
      <c r="K697">
        <f>ROUND(Sheet1[[#This Row],[CleanedUnits_sold]]*Sheet1[[#This Row],[Cleaned_Unit_Price]],2)</f>
        <v>535.4</v>
      </c>
      <c r="L697">
        <v>535.4</v>
      </c>
      <c r="M697" s="1" t="s">
        <v>1341</v>
      </c>
      <c r="N697" s="1" t="s">
        <v>14</v>
      </c>
      <c r="O697" s="1" t="s">
        <v>1341</v>
      </c>
    </row>
    <row r="698" spans="1:15" x14ac:dyDescent="0.35">
      <c r="A698" s="1" t="s">
        <v>1342</v>
      </c>
      <c r="B698" s="2">
        <v>44957</v>
      </c>
      <c r="C698" s="1" t="s">
        <v>19</v>
      </c>
      <c r="D698" s="1" t="s">
        <v>32</v>
      </c>
      <c r="E698" s="1" t="str">
        <f>TRIM(CLEAN(Sheet1[[#This Row],[Category]]))</f>
        <v>Furniture</v>
      </c>
      <c r="F698">
        <v>5</v>
      </c>
      <c r="G698" t="str">
        <f t="shared" si="10"/>
        <v>2. Mid-Market (4-7 Units)</v>
      </c>
      <c r="H698">
        <v>5</v>
      </c>
      <c r="I698">
        <v>14.51</v>
      </c>
      <c r="J698">
        <f>IF(ISBLANK(I698), ROUND(I698/ABS(VALUE(_xlfn.TEXTBEFORE(F698&amp;" ", " "))), 2), ABS(VALUE(SUBSTITUTE(I698, "$", ""))))</f>
        <v>14.51</v>
      </c>
      <c r="K698">
        <f>ROUND(Sheet1[[#This Row],[CleanedUnits_sold]]*Sheet1[[#This Row],[Cleaned_Unit_Price]],2)</f>
        <v>72.55</v>
      </c>
      <c r="L698">
        <v>355.73</v>
      </c>
      <c r="M698" s="1" t="s">
        <v>1343</v>
      </c>
      <c r="N698" s="1" t="s">
        <v>14</v>
      </c>
      <c r="O698" s="1" t="s">
        <v>1343</v>
      </c>
    </row>
    <row r="699" spans="1:15" x14ac:dyDescent="0.35">
      <c r="A699" s="1" t="s">
        <v>1344</v>
      </c>
      <c r="B699" s="2">
        <v>45045</v>
      </c>
      <c r="C699" s="1" t="s">
        <v>23</v>
      </c>
      <c r="D699" s="1" t="s">
        <v>12</v>
      </c>
      <c r="E699" s="1" t="str">
        <f>TRIM(CLEAN(Sheet1[[#This Row],[Category]]))</f>
        <v>Office Supplies</v>
      </c>
      <c r="F699">
        <v>4</v>
      </c>
      <c r="G699" t="str">
        <f t="shared" si="10"/>
        <v>2. Mid-Market (4-7 Units)</v>
      </c>
      <c r="H699">
        <v>4</v>
      </c>
      <c r="I699">
        <v>317.36</v>
      </c>
      <c r="J699">
        <f>IF(ISBLANK(I699), ROUND(I699/ABS(VALUE(_xlfn.TEXTBEFORE(F699&amp;" ", " "))), 2), ABS(VALUE(SUBSTITUTE(I699, "$", ""))))</f>
        <v>317.36</v>
      </c>
      <c r="K699">
        <f>ROUND(Sheet1[[#This Row],[CleanedUnits_sold]]*Sheet1[[#This Row],[Cleaned_Unit_Price]],2)</f>
        <v>1269.44</v>
      </c>
      <c r="L699">
        <v>1269.44</v>
      </c>
      <c r="M699" s="1" t="s">
        <v>1345</v>
      </c>
      <c r="N699" s="1" t="s">
        <v>26</v>
      </c>
      <c r="O699" s="1" t="s">
        <v>1345</v>
      </c>
    </row>
    <row r="700" spans="1:15" x14ac:dyDescent="0.35">
      <c r="A700" s="1" t="s">
        <v>1346</v>
      </c>
      <c r="B700" s="2">
        <v>45016</v>
      </c>
      <c r="C700" s="1" t="s">
        <v>11</v>
      </c>
      <c r="D700" s="1" t="s">
        <v>24</v>
      </c>
      <c r="E700" s="1" t="str">
        <f>TRIM(CLEAN(Sheet1[[#This Row],[Category]]))</f>
        <v>Electronics</v>
      </c>
      <c r="F700">
        <v>6</v>
      </c>
      <c r="G700" t="str">
        <f t="shared" si="10"/>
        <v>2. Mid-Market (4-7 Units)</v>
      </c>
      <c r="H700">
        <v>6</v>
      </c>
      <c r="I700">
        <v>165.02</v>
      </c>
      <c r="J700">
        <f>IF(ISBLANK(I700), ROUND(I700/ABS(VALUE(_xlfn.TEXTBEFORE(F700&amp;" ", " "))), 2), ABS(VALUE(SUBSTITUTE(I700, "$", ""))))</f>
        <v>165.02</v>
      </c>
      <c r="K700">
        <f>ROUND(Sheet1[[#This Row],[CleanedUnits_sold]]*Sheet1[[#This Row],[Cleaned_Unit_Price]],2)</f>
        <v>990.12</v>
      </c>
      <c r="L700">
        <v>990.12</v>
      </c>
      <c r="M700" s="1" t="s">
        <v>1347</v>
      </c>
      <c r="N700" s="1" t="s">
        <v>26</v>
      </c>
      <c r="O700" s="1" t="s">
        <v>1347</v>
      </c>
    </row>
    <row r="701" spans="1:15" x14ac:dyDescent="0.35">
      <c r="A701" s="1" t="s">
        <v>1348</v>
      </c>
      <c r="B701" s="2">
        <v>45017</v>
      </c>
      <c r="C701" s="1" t="s">
        <v>19</v>
      </c>
      <c r="D701" s="1" t="s">
        <v>24</v>
      </c>
      <c r="E701" s="1" t="str">
        <f>TRIM(CLEAN(Sheet1[[#This Row],[Category]]))</f>
        <v>Electronics</v>
      </c>
      <c r="F701">
        <v>5</v>
      </c>
      <c r="G701" t="str">
        <f t="shared" si="10"/>
        <v>2. Mid-Market (4-7 Units)</v>
      </c>
      <c r="H701">
        <v>5</v>
      </c>
      <c r="I701">
        <v>486.84</v>
      </c>
      <c r="J701">
        <f>IF(ISBLANK(I701), ROUND(I701/ABS(VALUE(_xlfn.TEXTBEFORE(F701&amp;" ", " "))), 2), ABS(VALUE(SUBSTITUTE(I701, "$", ""))))</f>
        <v>486.84</v>
      </c>
      <c r="K701">
        <f>ROUND(Sheet1[[#This Row],[CleanedUnits_sold]]*Sheet1[[#This Row],[Cleaned_Unit_Price]],2)</f>
        <v>2434.1999999999998</v>
      </c>
      <c r="L701">
        <v>2434.1999999999998</v>
      </c>
      <c r="M701" s="1" t="s">
        <v>1349</v>
      </c>
      <c r="N701" s="1" t="s">
        <v>21</v>
      </c>
      <c r="O701" s="1" t="s">
        <v>1349</v>
      </c>
    </row>
    <row r="702" spans="1:15" x14ac:dyDescent="0.35">
      <c r="A702" s="1" t="s">
        <v>1350</v>
      </c>
      <c r="B702" s="2">
        <v>45130</v>
      </c>
      <c r="C702" s="1" t="s">
        <v>11</v>
      </c>
      <c r="D702" s="1" t="s">
        <v>32</v>
      </c>
      <c r="E702" s="1" t="str">
        <f>TRIM(CLEAN(Sheet1[[#This Row],[Category]]))</f>
        <v>Furniture</v>
      </c>
      <c r="F702">
        <v>6</v>
      </c>
      <c r="G702" t="str">
        <f t="shared" si="10"/>
        <v>2. Mid-Market (4-7 Units)</v>
      </c>
      <c r="H702">
        <v>6</v>
      </c>
      <c r="I702">
        <v>104.92</v>
      </c>
      <c r="J702">
        <f>IF(ISBLANK(I702), ROUND(I702/ABS(VALUE(_xlfn.TEXTBEFORE(F702&amp;" ", " "))), 2), ABS(VALUE(SUBSTITUTE(I702, "$", ""))))</f>
        <v>104.92</v>
      </c>
      <c r="K702">
        <f>ROUND(Sheet1[[#This Row],[CleanedUnits_sold]]*Sheet1[[#This Row],[Cleaned_Unit_Price]],2)</f>
        <v>629.52</v>
      </c>
      <c r="L702">
        <v>629.52</v>
      </c>
      <c r="M702" s="1" t="s">
        <v>1351</v>
      </c>
      <c r="N702" s="1" t="s">
        <v>21</v>
      </c>
      <c r="O702" s="1" t="s">
        <v>1351</v>
      </c>
    </row>
    <row r="703" spans="1:15" x14ac:dyDescent="0.35">
      <c r="A703" s="1" t="s">
        <v>1352</v>
      </c>
      <c r="B703" s="2">
        <v>45075</v>
      </c>
      <c r="C703" s="1" t="s">
        <v>16</v>
      </c>
      <c r="D703" s="1" t="s">
        <v>12</v>
      </c>
      <c r="E703" s="1" t="str">
        <f>TRIM(CLEAN(Sheet1[[#This Row],[Category]]))</f>
        <v>Office Supplies</v>
      </c>
      <c r="F703">
        <v>5</v>
      </c>
      <c r="G703" t="str">
        <f t="shared" si="10"/>
        <v>2. Mid-Market (4-7 Units)</v>
      </c>
      <c r="H703">
        <v>5</v>
      </c>
      <c r="I703">
        <v>179.46</v>
      </c>
      <c r="J703">
        <f>IF(ISBLANK(I703), ROUND(I703/ABS(VALUE(_xlfn.TEXTBEFORE(F703&amp;" ", " "))), 2), ABS(VALUE(SUBSTITUTE(I703, "$", ""))))</f>
        <v>179.46</v>
      </c>
      <c r="K703">
        <f>ROUND(Sheet1[[#This Row],[CleanedUnits_sold]]*Sheet1[[#This Row],[Cleaned_Unit_Price]],2)</f>
        <v>897.3</v>
      </c>
      <c r="L703">
        <v>897.3</v>
      </c>
      <c r="M703" s="1" t="s">
        <v>1353</v>
      </c>
      <c r="N703" s="1" t="s">
        <v>26</v>
      </c>
      <c r="O703" s="1" t="s">
        <v>1353</v>
      </c>
    </row>
    <row r="704" spans="1:15" x14ac:dyDescent="0.35">
      <c r="A704" s="1" t="s">
        <v>1354</v>
      </c>
      <c r="B704" s="2">
        <v>1</v>
      </c>
      <c r="C704" s="1" t="s">
        <v>23</v>
      </c>
      <c r="D704" s="1" t="s">
        <v>46</v>
      </c>
      <c r="E704" s="1" t="str">
        <f>TRIM(CLEAN(Sheet1[[#This Row],[Category]]))</f>
        <v>Furniture</v>
      </c>
      <c r="F704">
        <v>4</v>
      </c>
      <c r="G704" t="str">
        <f t="shared" si="10"/>
        <v>2. Mid-Market (4-7 Units)</v>
      </c>
      <c r="H704">
        <v>4</v>
      </c>
      <c r="I704">
        <v>185.34</v>
      </c>
      <c r="J704">
        <f>IF(ISBLANK(I704), ROUND(I704/ABS(VALUE(_xlfn.TEXTBEFORE(F704&amp;" ", " "))), 2), ABS(VALUE(SUBSTITUTE(I704, "$", ""))))</f>
        <v>185.34</v>
      </c>
      <c r="K704">
        <f>ROUND(Sheet1[[#This Row],[CleanedUnits_sold]]*Sheet1[[#This Row],[Cleaned_Unit_Price]],2)</f>
        <v>741.36</v>
      </c>
      <c r="L704">
        <v>741.36</v>
      </c>
      <c r="M704" s="1" t="s">
        <v>1355</v>
      </c>
      <c r="N704" s="1" t="s">
        <v>21</v>
      </c>
      <c r="O704" s="1" t="s">
        <v>1355</v>
      </c>
    </row>
    <row r="705" spans="1:15" x14ac:dyDescent="0.35">
      <c r="A705" s="1" t="s">
        <v>1356</v>
      </c>
      <c r="B705" s="2">
        <v>44981</v>
      </c>
      <c r="C705" s="1" t="s">
        <v>23</v>
      </c>
      <c r="D705" s="1" t="s">
        <v>12</v>
      </c>
      <c r="E705" s="1" t="str">
        <f>TRIM(CLEAN(Sheet1[[#This Row],[Category]]))</f>
        <v>Office Supplies</v>
      </c>
      <c r="F705">
        <v>7</v>
      </c>
      <c r="G705" t="str">
        <f t="shared" si="10"/>
        <v>2. Mid-Market (4-7 Units)</v>
      </c>
      <c r="H705">
        <v>7</v>
      </c>
      <c r="I705">
        <v>14.14</v>
      </c>
      <c r="J705">
        <f>IF(ISBLANK(I705), ROUND(I705/ABS(VALUE(_xlfn.TEXTBEFORE(F705&amp;" ", " "))), 2), ABS(VALUE(SUBSTITUTE(I705, "$", ""))))</f>
        <v>14.14</v>
      </c>
      <c r="K705">
        <f>ROUND(Sheet1[[#This Row],[CleanedUnits_sold]]*Sheet1[[#This Row],[Cleaned_Unit_Price]],2)</f>
        <v>98.98</v>
      </c>
      <c r="M705" s="1" t="s">
        <v>1357</v>
      </c>
      <c r="N705" s="1" t="s">
        <v>21</v>
      </c>
      <c r="O705" s="1" t="s">
        <v>1357</v>
      </c>
    </row>
    <row r="706" spans="1:15" x14ac:dyDescent="0.35">
      <c r="A706" s="1" t="s">
        <v>1358</v>
      </c>
      <c r="B706" s="2">
        <v>45255</v>
      </c>
      <c r="C706" s="1" t="s">
        <v>23</v>
      </c>
      <c r="D706" s="1" t="s">
        <v>24</v>
      </c>
      <c r="E706" s="1" t="str">
        <f>TRIM(CLEAN(Sheet1[[#This Row],[Category]]))</f>
        <v>Electronics</v>
      </c>
      <c r="F706">
        <v>5</v>
      </c>
      <c r="G706" t="str">
        <f t="shared" ref="G706:G769" si="11">IF(H706=0, "Non-Billable / Zero", IF(H706&lt;=3, "1. Retail (1-3 Units)", IF(H706&lt;=7, "2. Mid-Market (4-7 Units)", "3. Wholesale / Bulk (8+ Units)")))</f>
        <v>2. Mid-Market (4-7 Units)</v>
      </c>
      <c r="H706">
        <v>5</v>
      </c>
      <c r="I706">
        <v>421.21</v>
      </c>
      <c r="J706">
        <f>IF(ISBLANK(I706), ROUND(I706/ABS(VALUE(_xlfn.TEXTBEFORE(F706&amp;" ", " "))), 2), ABS(VALUE(SUBSTITUTE(I706, "$", ""))))</f>
        <v>421.21</v>
      </c>
      <c r="K706">
        <f>ROUND(Sheet1[[#This Row],[CleanedUnits_sold]]*Sheet1[[#This Row],[Cleaned_Unit_Price]],2)</f>
        <v>2106.0500000000002</v>
      </c>
      <c r="L706">
        <v>2106.0500000000002</v>
      </c>
      <c r="M706" s="1" t="s">
        <v>1359</v>
      </c>
      <c r="N706" s="1" t="s">
        <v>14</v>
      </c>
      <c r="O706" s="1" t="s">
        <v>1359</v>
      </c>
    </row>
    <row r="707" spans="1:15" x14ac:dyDescent="0.35">
      <c r="A707" s="1" t="s">
        <v>1360</v>
      </c>
      <c r="B707" s="2">
        <v>44995</v>
      </c>
      <c r="C707" s="1" t="s">
        <v>23</v>
      </c>
      <c r="D707" s="1" t="s">
        <v>12</v>
      </c>
      <c r="E707" s="1" t="str">
        <f>TRIM(CLEAN(Sheet1[[#This Row],[Category]]))</f>
        <v>Office Supplies</v>
      </c>
      <c r="F707">
        <v>7</v>
      </c>
      <c r="G707" t="str">
        <f t="shared" si="11"/>
        <v>2. Mid-Market (4-7 Units)</v>
      </c>
      <c r="H707">
        <v>7</v>
      </c>
      <c r="J707">
        <f>IF(ISBLANK(I707), ROUND(I707/ABS(VALUE(_xlfn.TEXTBEFORE(F707&amp;" ", " "))), 2), ABS(VALUE(SUBSTITUTE(I707, "$", ""))))</f>
        <v>0</v>
      </c>
      <c r="K707">
        <f>ROUND(Sheet1[[#This Row],[CleanedUnits_sold]]*Sheet1[[#This Row],[Cleaned_Unit_Price]],2)</f>
        <v>0</v>
      </c>
      <c r="L707">
        <v>179.76</v>
      </c>
      <c r="M707" s="1" t="s">
        <v>1361</v>
      </c>
      <c r="N707" s="1" t="s">
        <v>50</v>
      </c>
      <c r="O707" s="1" t="s">
        <v>1361</v>
      </c>
    </row>
    <row r="708" spans="1:15" x14ac:dyDescent="0.35">
      <c r="A708" s="1" t="s">
        <v>1362</v>
      </c>
      <c r="B708" s="2">
        <v>44984</v>
      </c>
      <c r="C708" s="1" t="s">
        <v>19</v>
      </c>
      <c r="D708" s="1" t="s">
        <v>12</v>
      </c>
      <c r="E708" s="1" t="str">
        <f>TRIM(CLEAN(Sheet1[[#This Row],[Category]]))</f>
        <v>Office Supplies</v>
      </c>
      <c r="F708">
        <v>6</v>
      </c>
      <c r="G708" t="str">
        <f t="shared" si="11"/>
        <v>2. Mid-Market (4-7 Units)</v>
      </c>
      <c r="H708">
        <v>6</v>
      </c>
      <c r="I708">
        <v>470.69</v>
      </c>
      <c r="J708">
        <f>IF(ISBLANK(I708), ROUND(I708/ABS(VALUE(_xlfn.TEXTBEFORE(F708&amp;" ", " "))), 2), ABS(VALUE(SUBSTITUTE(I708, "$", ""))))</f>
        <v>470.69</v>
      </c>
      <c r="K708">
        <f>ROUND(Sheet1[[#This Row],[CleanedUnits_sold]]*Sheet1[[#This Row],[Cleaned_Unit_Price]],2)</f>
        <v>2824.14</v>
      </c>
      <c r="L708">
        <v>2824.14</v>
      </c>
      <c r="M708" s="1" t="s">
        <v>1363</v>
      </c>
      <c r="N708" s="1" t="s">
        <v>14</v>
      </c>
      <c r="O708" s="1" t="s">
        <v>1363</v>
      </c>
    </row>
    <row r="709" spans="1:15" x14ac:dyDescent="0.35">
      <c r="A709" s="1" t="s">
        <v>1364</v>
      </c>
      <c r="B709" s="2">
        <v>45161</v>
      </c>
      <c r="C709" s="1" t="s">
        <v>16</v>
      </c>
      <c r="D709" s="1" t="s">
        <v>24</v>
      </c>
      <c r="E709" s="1" t="str">
        <f>TRIM(CLEAN(Sheet1[[#This Row],[Category]]))</f>
        <v>Electronics</v>
      </c>
      <c r="F709">
        <v>4</v>
      </c>
      <c r="G709" t="str">
        <f t="shared" si="11"/>
        <v>2. Mid-Market (4-7 Units)</v>
      </c>
      <c r="H709">
        <v>4</v>
      </c>
      <c r="I709">
        <v>447.12</v>
      </c>
      <c r="J709">
        <f>IF(ISBLANK(I709), ROUND(I709/ABS(VALUE(_xlfn.TEXTBEFORE(F709&amp;" ", " "))), 2), ABS(VALUE(SUBSTITUTE(I709, "$", ""))))</f>
        <v>447.12</v>
      </c>
      <c r="K709">
        <f>ROUND(Sheet1[[#This Row],[CleanedUnits_sold]]*Sheet1[[#This Row],[Cleaned_Unit_Price]],2)</f>
        <v>1788.48</v>
      </c>
      <c r="L709">
        <v>1788.48</v>
      </c>
      <c r="M709" s="1" t="s">
        <v>1365</v>
      </c>
      <c r="N709" s="1" t="s">
        <v>26</v>
      </c>
      <c r="O709" s="1" t="s">
        <v>1365</v>
      </c>
    </row>
    <row r="710" spans="1:15" x14ac:dyDescent="0.35">
      <c r="A710" s="1" t="s">
        <v>1366</v>
      </c>
      <c r="B710" s="2">
        <v>44934</v>
      </c>
      <c r="C710" s="1" t="s">
        <v>16</v>
      </c>
      <c r="D710" s="1" t="s">
        <v>24</v>
      </c>
      <c r="E710" s="1" t="str">
        <f>TRIM(CLEAN(Sheet1[[#This Row],[Category]]))</f>
        <v>Electronics</v>
      </c>
      <c r="F710">
        <v>8</v>
      </c>
      <c r="G710" t="str">
        <f t="shared" si="11"/>
        <v>3. Wholesale / Bulk (8+ Units)</v>
      </c>
      <c r="H710">
        <v>8</v>
      </c>
      <c r="I710">
        <v>272.41000000000003</v>
      </c>
      <c r="J710">
        <f>IF(ISBLANK(I710), ROUND(I710/ABS(VALUE(_xlfn.TEXTBEFORE(F710&amp;" ", " "))), 2), ABS(VALUE(SUBSTITUTE(I710, "$", ""))))</f>
        <v>272.41000000000003</v>
      </c>
      <c r="K710">
        <f>ROUND(Sheet1[[#This Row],[CleanedUnits_sold]]*Sheet1[[#This Row],[Cleaned_Unit_Price]],2)</f>
        <v>2179.2800000000002</v>
      </c>
      <c r="L710">
        <v>2179.2800000000002</v>
      </c>
      <c r="M710" s="1" t="s">
        <v>1367</v>
      </c>
      <c r="N710" s="1" t="s">
        <v>14</v>
      </c>
      <c r="O710" s="1" t="s">
        <v>1367</v>
      </c>
    </row>
    <row r="711" spans="1:15" x14ac:dyDescent="0.35">
      <c r="A711" s="1" t="s">
        <v>1368</v>
      </c>
      <c r="B711" s="2">
        <v>1</v>
      </c>
      <c r="C711" s="1" t="s">
        <v>11</v>
      </c>
      <c r="D711" s="1" t="s">
        <v>46</v>
      </c>
      <c r="E711" s="1" t="str">
        <f>TRIM(CLEAN(Sheet1[[#This Row],[Category]]))</f>
        <v>Furniture</v>
      </c>
      <c r="F711">
        <v>9999</v>
      </c>
      <c r="G711" t="str">
        <f t="shared" si="11"/>
        <v>2. Mid-Market (4-7 Units)</v>
      </c>
      <c r="H711">
        <v>5</v>
      </c>
      <c r="I711">
        <v>276.36</v>
      </c>
      <c r="J711">
        <f>IF(ISBLANK(I711), ROUND(I711/ABS(VALUE(_xlfn.TEXTBEFORE(F711&amp;" ", " "))), 2), ABS(VALUE(SUBSTITUTE(I711, "$", ""))))</f>
        <v>276.36</v>
      </c>
      <c r="K711">
        <f>ROUND(Sheet1[[#This Row],[CleanedUnits_sold]]*Sheet1[[#This Row],[Cleaned_Unit_Price]],2)</f>
        <v>1381.8</v>
      </c>
      <c r="L711">
        <v>1105.44</v>
      </c>
      <c r="M711" s="1" t="s">
        <v>1369</v>
      </c>
      <c r="N711" s="1" t="s">
        <v>14</v>
      </c>
      <c r="O711" s="1" t="s">
        <v>1369</v>
      </c>
    </row>
    <row r="712" spans="1:15" x14ac:dyDescent="0.35">
      <c r="A712" s="1" t="s">
        <v>1370</v>
      </c>
      <c r="B712" s="2">
        <v>45254</v>
      </c>
      <c r="C712" s="1" t="s">
        <v>11</v>
      </c>
      <c r="D712" s="1" t="s">
        <v>12</v>
      </c>
      <c r="E712" s="1" t="str">
        <f>TRIM(CLEAN(Sheet1[[#This Row],[Category]]))</f>
        <v>Office Supplies</v>
      </c>
      <c r="F712">
        <v>3</v>
      </c>
      <c r="G712" t="str">
        <f t="shared" si="11"/>
        <v>1. Retail (1-3 Units)</v>
      </c>
      <c r="H712">
        <v>3</v>
      </c>
      <c r="I712" t="s">
        <v>332</v>
      </c>
      <c r="J712">
        <f>IF(ISBLANK(I712), ROUND(I712/ABS(VALUE(_xlfn.TEXTBEFORE(F712&amp;" ", " "))), 2), ABS(VALUE(SUBSTITUTE(I712, "$", ""))))</f>
        <v>250</v>
      </c>
      <c r="K712">
        <f>ROUND(Sheet1[[#This Row],[CleanedUnits_sold]]*Sheet1[[#This Row],[Cleaned_Unit_Price]],2)</f>
        <v>750</v>
      </c>
      <c r="L712">
        <v>991.05</v>
      </c>
      <c r="M712" s="1" t="s">
        <v>1371</v>
      </c>
      <c r="N712" s="1" t="s">
        <v>50</v>
      </c>
      <c r="O712" s="1" t="s">
        <v>1371</v>
      </c>
    </row>
    <row r="713" spans="1:15" x14ac:dyDescent="0.35">
      <c r="A713" s="1" t="s">
        <v>1372</v>
      </c>
      <c r="B713" s="2">
        <v>45190</v>
      </c>
      <c r="C713" s="1" t="s">
        <v>58</v>
      </c>
      <c r="D713" s="1" t="s">
        <v>24</v>
      </c>
      <c r="E713" s="1" t="str">
        <f>TRIM(CLEAN(Sheet1[[#This Row],[Category]]))</f>
        <v>Electronics</v>
      </c>
      <c r="F713">
        <v>5</v>
      </c>
      <c r="G713" t="str">
        <f t="shared" si="11"/>
        <v>2. Mid-Market (4-7 Units)</v>
      </c>
      <c r="H713">
        <v>5</v>
      </c>
      <c r="I713">
        <v>199.65</v>
      </c>
      <c r="J713">
        <f>IF(ISBLANK(I713), ROUND(I713/ABS(VALUE(_xlfn.TEXTBEFORE(F713&amp;" ", " "))), 2), ABS(VALUE(SUBSTITUTE(I713, "$", ""))))</f>
        <v>199.65</v>
      </c>
      <c r="K713">
        <f>ROUND(Sheet1[[#This Row],[CleanedUnits_sold]]*Sheet1[[#This Row],[Cleaned_Unit_Price]],2)</f>
        <v>998.25</v>
      </c>
      <c r="L713">
        <v>998.25</v>
      </c>
      <c r="M713" s="1" t="s">
        <v>1373</v>
      </c>
      <c r="N713" s="1" t="s">
        <v>26</v>
      </c>
      <c r="O713" s="1" t="s">
        <v>1373</v>
      </c>
    </row>
    <row r="714" spans="1:15" x14ac:dyDescent="0.35">
      <c r="A714" s="1" t="s">
        <v>1374</v>
      </c>
      <c r="B714" s="2">
        <v>1</v>
      </c>
      <c r="C714" s="1" t="s">
        <v>19</v>
      </c>
      <c r="D714" s="1" t="s">
        <v>24</v>
      </c>
      <c r="E714" s="1" t="str">
        <f>TRIM(CLEAN(Sheet1[[#This Row],[Category]]))</f>
        <v>Electronics</v>
      </c>
      <c r="F714">
        <v>-1</v>
      </c>
      <c r="G714" t="str">
        <f t="shared" si="11"/>
        <v>1. Retail (1-3 Units)</v>
      </c>
      <c r="H714">
        <v>1</v>
      </c>
      <c r="I714">
        <v>327.14</v>
      </c>
      <c r="J714">
        <f>IF(ISBLANK(I714), ROUND(I714/ABS(VALUE(_xlfn.TEXTBEFORE(F714&amp;" ", " "))), 2), ABS(VALUE(SUBSTITUTE(I714, "$", ""))))</f>
        <v>327.14</v>
      </c>
      <c r="K714">
        <f>ROUND(Sheet1[[#This Row],[CleanedUnits_sold]]*Sheet1[[#This Row],[Cleaned_Unit_Price]],2)</f>
        <v>327.14</v>
      </c>
      <c r="L714">
        <v>3271.4</v>
      </c>
      <c r="M714" s="1" t="s">
        <v>1375</v>
      </c>
      <c r="N714" s="1" t="s">
        <v>14</v>
      </c>
      <c r="O714" s="1" t="s">
        <v>1375</v>
      </c>
    </row>
    <row r="715" spans="1:15" x14ac:dyDescent="0.35">
      <c r="A715" s="1" t="s">
        <v>1376</v>
      </c>
      <c r="B715" s="2">
        <v>45050</v>
      </c>
      <c r="C715" s="1" t="s">
        <v>11</v>
      </c>
      <c r="D715" s="1" t="s">
        <v>46</v>
      </c>
      <c r="E715" s="1" t="str">
        <f>TRIM(CLEAN(Sheet1[[#This Row],[Category]]))</f>
        <v>Furniture</v>
      </c>
      <c r="F715">
        <v>6</v>
      </c>
      <c r="G715" t="str">
        <f t="shared" si="11"/>
        <v>2. Mid-Market (4-7 Units)</v>
      </c>
      <c r="H715">
        <v>6</v>
      </c>
      <c r="I715">
        <v>31.94</v>
      </c>
      <c r="J715">
        <f>IF(ISBLANK(I715), ROUND(I715/ABS(VALUE(_xlfn.TEXTBEFORE(F715&amp;" ", " "))), 2), ABS(VALUE(SUBSTITUTE(I715, "$", ""))))</f>
        <v>31.94</v>
      </c>
      <c r="K715">
        <f>ROUND(Sheet1[[#This Row],[CleanedUnits_sold]]*Sheet1[[#This Row],[Cleaned_Unit_Price]],2)</f>
        <v>191.64</v>
      </c>
      <c r="L715">
        <v>191.64</v>
      </c>
      <c r="M715" s="1" t="s">
        <v>49</v>
      </c>
      <c r="N715" s="1" t="s">
        <v>50</v>
      </c>
      <c r="O715" s="1" t="s">
        <v>51</v>
      </c>
    </row>
    <row r="716" spans="1:15" x14ac:dyDescent="0.35">
      <c r="A716" s="1" t="s">
        <v>1377</v>
      </c>
      <c r="B716" s="2">
        <v>45054</v>
      </c>
      <c r="C716" s="1" t="s">
        <v>23</v>
      </c>
      <c r="D716" s="1" t="s">
        <v>32</v>
      </c>
      <c r="E716" s="1" t="str">
        <f>TRIM(CLEAN(Sheet1[[#This Row],[Category]]))</f>
        <v>Furniture</v>
      </c>
      <c r="F716">
        <v>4</v>
      </c>
      <c r="G716" t="str">
        <f t="shared" si="11"/>
        <v>2. Mid-Market (4-7 Units)</v>
      </c>
      <c r="H716">
        <v>4</v>
      </c>
      <c r="I716">
        <v>36.479999999999997</v>
      </c>
      <c r="J716">
        <f>IF(ISBLANK(I716), ROUND(I716/ABS(VALUE(_xlfn.TEXTBEFORE(F716&amp;" ", " "))), 2), ABS(VALUE(SUBSTITUTE(I716, "$", ""))))</f>
        <v>36.479999999999997</v>
      </c>
      <c r="K716">
        <f>ROUND(Sheet1[[#This Row],[CleanedUnits_sold]]*Sheet1[[#This Row],[Cleaned_Unit_Price]],2)</f>
        <v>145.91999999999999</v>
      </c>
      <c r="L716">
        <v>564.4</v>
      </c>
      <c r="M716" s="1" t="s">
        <v>1378</v>
      </c>
      <c r="N716" s="1" t="s">
        <v>21</v>
      </c>
      <c r="O716" s="1" t="s">
        <v>1378</v>
      </c>
    </row>
    <row r="717" spans="1:15" x14ac:dyDescent="0.35">
      <c r="A717" s="1" t="s">
        <v>1379</v>
      </c>
      <c r="B717" s="2">
        <v>45047</v>
      </c>
      <c r="C717" s="1" t="s">
        <v>58</v>
      </c>
      <c r="D717" s="1" t="s">
        <v>12</v>
      </c>
      <c r="E717" s="1" t="str">
        <f>TRIM(CLEAN(Sheet1[[#This Row],[Category]]))</f>
        <v>Office Supplies</v>
      </c>
      <c r="F717">
        <v>3</v>
      </c>
      <c r="G717" t="str">
        <f t="shared" si="11"/>
        <v>1. Retail (1-3 Units)</v>
      </c>
      <c r="H717">
        <v>3</v>
      </c>
      <c r="I717">
        <v>234.04</v>
      </c>
      <c r="J717">
        <f>IF(ISBLANK(I717), ROUND(I717/ABS(VALUE(_xlfn.TEXTBEFORE(F717&amp;" ", " "))), 2), ABS(VALUE(SUBSTITUTE(I717, "$", ""))))</f>
        <v>234.04</v>
      </c>
      <c r="K717">
        <f>ROUND(Sheet1[[#This Row],[CleanedUnits_sold]]*Sheet1[[#This Row],[Cleaned_Unit_Price]],2)</f>
        <v>702.12</v>
      </c>
      <c r="L717">
        <v>702.12</v>
      </c>
      <c r="M717" s="1" t="s">
        <v>1380</v>
      </c>
      <c r="N717" s="1" t="s">
        <v>50</v>
      </c>
      <c r="O717" s="1" t="s">
        <v>1380</v>
      </c>
    </row>
    <row r="718" spans="1:15" x14ac:dyDescent="0.35">
      <c r="A718" s="1" t="s">
        <v>1381</v>
      </c>
      <c r="B718" s="2">
        <v>45095</v>
      </c>
      <c r="C718" s="1" t="s">
        <v>19</v>
      </c>
      <c r="D718" s="1" t="s">
        <v>12</v>
      </c>
      <c r="E718" s="1" t="str">
        <f>TRIM(CLEAN(Sheet1[[#This Row],[Category]]))</f>
        <v>Office Supplies</v>
      </c>
      <c r="F718">
        <v>3</v>
      </c>
      <c r="G718" t="str">
        <f t="shared" si="11"/>
        <v>1. Retail (1-3 Units)</v>
      </c>
      <c r="H718">
        <v>3</v>
      </c>
      <c r="J718">
        <f>IF(ISBLANK(I718), ROUND(I718/ABS(VALUE(_xlfn.TEXTBEFORE(F718&amp;" ", " "))), 2), ABS(VALUE(SUBSTITUTE(I718, "$", ""))))</f>
        <v>0</v>
      </c>
      <c r="K718">
        <f>ROUND(Sheet1[[#This Row],[CleanedUnits_sold]]*Sheet1[[#This Row],[Cleaned_Unit_Price]],2)</f>
        <v>0</v>
      </c>
      <c r="L718">
        <v>837.93</v>
      </c>
      <c r="M718" s="1" t="s">
        <v>1382</v>
      </c>
      <c r="N718" s="1" t="s">
        <v>50</v>
      </c>
      <c r="O718" s="1" t="s">
        <v>1382</v>
      </c>
    </row>
    <row r="719" spans="1:15" x14ac:dyDescent="0.35">
      <c r="A719" s="1" t="s">
        <v>1383</v>
      </c>
      <c r="B719" s="2">
        <v>45220</v>
      </c>
      <c r="C719" s="1" t="s">
        <v>58</v>
      </c>
      <c r="D719" s="1" t="s">
        <v>12</v>
      </c>
      <c r="E719" s="1" t="str">
        <f>TRIM(CLEAN(Sheet1[[#This Row],[Category]]))</f>
        <v>Office Supplies</v>
      </c>
      <c r="F719">
        <v>5</v>
      </c>
      <c r="G719" t="str">
        <f t="shared" si="11"/>
        <v>2. Mid-Market (4-7 Units)</v>
      </c>
      <c r="H719">
        <v>5</v>
      </c>
      <c r="I719">
        <v>445.03</v>
      </c>
      <c r="J719">
        <f>IF(ISBLANK(I719), ROUND(I719/ABS(VALUE(_xlfn.TEXTBEFORE(F719&amp;" ", " "))), 2), ABS(VALUE(SUBSTITUTE(I719, "$", ""))))</f>
        <v>445.03</v>
      </c>
      <c r="K719">
        <f>ROUND(Sheet1[[#This Row],[CleanedUnits_sold]]*Sheet1[[#This Row],[Cleaned_Unit_Price]],2)</f>
        <v>2225.15</v>
      </c>
      <c r="L719">
        <v>2225.15</v>
      </c>
      <c r="M719" s="1" t="s">
        <v>1384</v>
      </c>
      <c r="N719" s="1" t="s">
        <v>14</v>
      </c>
      <c r="O719" s="1" t="s">
        <v>1384</v>
      </c>
    </row>
    <row r="720" spans="1:15" x14ac:dyDescent="0.35">
      <c r="A720" s="1" t="s">
        <v>1385</v>
      </c>
      <c r="B720" s="2">
        <v>45023</v>
      </c>
      <c r="C720" s="1" t="s">
        <v>11</v>
      </c>
      <c r="D720" s="1" t="s">
        <v>24</v>
      </c>
      <c r="E720" s="1" t="str">
        <f>TRIM(CLEAN(Sheet1[[#This Row],[Category]]))</f>
        <v>Electronics</v>
      </c>
      <c r="F720">
        <v>2</v>
      </c>
      <c r="G720" t="str">
        <f t="shared" si="11"/>
        <v>1. Retail (1-3 Units)</v>
      </c>
      <c r="H720">
        <v>2</v>
      </c>
      <c r="I720">
        <v>61.28</v>
      </c>
      <c r="J720">
        <f>IF(ISBLANK(I720), ROUND(I720/ABS(VALUE(_xlfn.TEXTBEFORE(F720&amp;" ", " "))), 2), ABS(VALUE(SUBSTITUTE(I720, "$", ""))))</f>
        <v>61.28</v>
      </c>
      <c r="K720">
        <f>ROUND(Sheet1[[#This Row],[CleanedUnits_sold]]*Sheet1[[#This Row],[Cleaned_Unit_Price]],2)</f>
        <v>122.56</v>
      </c>
      <c r="L720">
        <v>122.56</v>
      </c>
      <c r="M720" s="1" t="s">
        <v>1386</v>
      </c>
      <c r="N720" s="1" t="s">
        <v>50</v>
      </c>
      <c r="O720" s="1" t="s">
        <v>1386</v>
      </c>
    </row>
    <row r="721" spans="1:15" x14ac:dyDescent="0.35">
      <c r="A721" s="1" t="s">
        <v>1387</v>
      </c>
      <c r="B721" s="2">
        <v>1</v>
      </c>
      <c r="C721" s="1" t="s">
        <v>11</v>
      </c>
      <c r="D721" s="1" t="s">
        <v>24</v>
      </c>
      <c r="E721" s="1" t="str">
        <f>TRIM(CLEAN(Sheet1[[#This Row],[Category]]))</f>
        <v>Electronics</v>
      </c>
      <c r="F721">
        <v>6</v>
      </c>
      <c r="G721" t="str">
        <f t="shared" si="11"/>
        <v>2. Mid-Market (4-7 Units)</v>
      </c>
      <c r="H721">
        <v>6</v>
      </c>
      <c r="I721">
        <v>413.1</v>
      </c>
      <c r="J721">
        <f>IF(ISBLANK(I721), ROUND(I721/ABS(VALUE(_xlfn.TEXTBEFORE(F721&amp;" ", " "))), 2), ABS(VALUE(SUBSTITUTE(I721, "$", ""))))</f>
        <v>413.1</v>
      </c>
      <c r="K721">
        <f>ROUND(Sheet1[[#This Row],[CleanedUnits_sold]]*Sheet1[[#This Row],[Cleaned_Unit_Price]],2)</f>
        <v>2478.6</v>
      </c>
      <c r="L721">
        <v>2478.6</v>
      </c>
      <c r="M721" s="1" t="s">
        <v>1388</v>
      </c>
      <c r="N721" s="1" t="s">
        <v>14</v>
      </c>
      <c r="O721" s="1" t="s">
        <v>1388</v>
      </c>
    </row>
    <row r="722" spans="1:15" x14ac:dyDescent="0.35">
      <c r="A722" s="1" t="s">
        <v>1389</v>
      </c>
      <c r="B722" s="2">
        <v>45113</v>
      </c>
      <c r="C722" s="1" t="s">
        <v>11</v>
      </c>
      <c r="D722" s="1" t="s">
        <v>12</v>
      </c>
      <c r="E722" s="1" t="str">
        <f>TRIM(CLEAN(Sheet1[[#This Row],[Category]]))</f>
        <v>Office Supplies</v>
      </c>
      <c r="F722">
        <v>9999</v>
      </c>
      <c r="G722" t="str">
        <f t="shared" si="11"/>
        <v>2. Mid-Market (4-7 Units)</v>
      </c>
      <c r="H722">
        <v>5</v>
      </c>
      <c r="I722">
        <v>112.92</v>
      </c>
      <c r="J722">
        <f>IF(ISBLANK(I722), ROUND(I722/ABS(VALUE(_xlfn.TEXTBEFORE(F722&amp;" ", " "))), 2), ABS(VALUE(SUBSTITUTE(I722, "$", ""))))</f>
        <v>112.92</v>
      </c>
      <c r="K722">
        <f>ROUND(Sheet1[[#This Row],[CleanedUnits_sold]]*Sheet1[[#This Row],[Cleaned_Unit_Price]],2)</f>
        <v>564.6</v>
      </c>
      <c r="L722">
        <v>225.84</v>
      </c>
      <c r="M722" s="1" t="s">
        <v>1390</v>
      </c>
      <c r="N722" s="1" t="s">
        <v>26</v>
      </c>
      <c r="O722" s="1" t="s">
        <v>1390</v>
      </c>
    </row>
    <row r="723" spans="1:15" x14ac:dyDescent="0.35">
      <c r="A723" s="1" t="s">
        <v>1391</v>
      </c>
      <c r="B723" s="2">
        <v>45184</v>
      </c>
      <c r="C723" s="1" t="s">
        <v>19</v>
      </c>
      <c r="D723" s="1" t="s">
        <v>12</v>
      </c>
      <c r="E723" s="1" t="str">
        <f>TRIM(CLEAN(Sheet1[[#This Row],[Category]]))</f>
        <v>Office Supplies</v>
      </c>
      <c r="F723">
        <v>5</v>
      </c>
      <c r="G723" t="str">
        <f t="shared" si="11"/>
        <v>2. Mid-Market (4-7 Units)</v>
      </c>
      <c r="H723">
        <v>5</v>
      </c>
      <c r="I723">
        <v>203.1</v>
      </c>
      <c r="J723">
        <f>IF(ISBLANK(I723), ROUND(I723/ABS(VALUE(_xlfn.TEXTBEFORE(F723&amp;" ", " "))), 2), ABS(VALUE(SUBSTITUTE(I723, "$", ""))))</f>
        <v>203.1</v>
      </c>
      <c r="K723">
        <f>ROUND(Sheet1[[#This Row],[CleanedUnits_sold]]*Sheet1[[#This Row],[Cleaned_Unit_Price]],2)</f>
        <v>1015.5</v>
      </c>
      <c r="L723">
        <v>1015.5</v>
      </c>
      <c r="M723" s="1" t="s">
        <v>1392</v>
      </c>
      <c r="N723" s="1" t="s">
        <v>14</v>
      </c>
      <c r="O723" s="1" t="s">
        <v>1392</v>
      </c>
    </row>
    <row r="724" spans="1:15" x14ac:dyDescent="0.35">
      <c r="A724" s="1" t="s">
        <v>1393</v>
      </c>
      <c r="B724" s="2">
        <v>45254</v>
      </c>
      <c r="C724" s="1" t="s">
        <v>16</v>
      </c>
      <c r="D724" s="1" t="s">
        <v>12</v>
      </c>
      <c r="E724" s="1" t="str">
        <f>TRIM(CLEAN(Sheet1[[#This Row],[Category]]))</f>
        <v>Office Supplies</v>
      </c>
      <c r="F724">
        <v>2</v>
      </c>
      <c r="G724" t="str">
        <f t="shared" si="11"/>
        <v>1. Retail (1-3 Units)</v>
      </c>
      <c r="H724">
        <v>2</v>
      </c>
      <c r="I724">
        <v>165.14</v>
      </c>
      <c r="J724">
        <f>IF(ISBLANK(I724), ROUND(I724/ABS(VALUE(_xlfn.TEXTBEFORE(F724&amp;" ", " "))), 2), ABS(VALUE(SUBSTITUTE(I724, "$", ""))))</f>
        <v>165.14</v>
      </c>
      <c r="K724">
        <f>ROUND(Sheet1[[#This Row],[CleanedUnits_sold]]*Sheet1[[#This Row],[Cleaned_Unit_Price]],2)</f>
        <v>330.28</v>
      </c>
      <c r="L724">
        <v>330.28</v>
      </c>
      <c r="M724" s="1" t="s">
        <v>1394</v>
      </c>
      <c r="N724" s="1" t="s">
        <v>50</v>
      </c>
      <c r="O724" s="1" t="s">
        <v>1394</v>
      </c>
    </row>
    <row r="725" spans="1:15" x14ac:dyDescent="0.35">
      <c r="A725" s="1" t="s">
        <v>1395</v>
      </c>
      <c r="B725" s="2">
        <v>1</v>
      </c>
      <c r="C725" s="1" t="s">
        <v>16</v>
      </c>
      <c r="D725" s="1" t="s">
        <v>32</v>
      </c>
      <c r="E725" s="1" t="str">
        <f>TRIM(CLEAN(Sheet1[[#This Row],[Category]]))</f>
        <v>Furniture</v>
      </c>
      <c r="F725">
        <v>6</v>
      </c>
      <c r="G725" t="str">
        <f t="shared" si="11"/>
        <v>2. Mid-Market (4-7 Units)</v>
      </c>
      <c r="H725">
        <v>6</v>
      </c>
      <c r="I725">
        <v>206.08</v>
      </c>
      <c r="J725">
        <f>IF(ISBLANK(I725), ROUND(I725/ABS(VALUE(_xlfn.TEXTBEFORE(F725&amp;" ", " "))), 2), ABS(VALUE(SUBSTITUTE(I725, "$", ""))))</f>
        <v>206.08</v>
      </c>
      <c r="K725">
        <f>ROUND(Sheet1[[#This Row],[CleanedUnits_sold]]*Sheet1[[#This Row],[Cleaned_Unit_Price]],2)</f>
        <v>1236.48</v>
      </c>
      <c r="L725">
        <v>1236.48</v>
      </c>
      <c r="M725" s="1" t="s">
        <v>1396</v>
      </c>
      <c r="N725" s="1" t="s">
        <v>26</v>
      </c>
      <c r="O725" s="1" t="s">
        <v>1396</v>
      </c>
    </row>
    <row r="726" spans="1:15" x14ac:dyDescent="0.35">
      <c r="A726" s="1" t="s">
        <v>1397</v>
      </c>
      <c r="B726" s="2">
        <v>44966</v>
      </c>
      <c r="C726" s="1" t="s">
        <v>16</v>
      </c>
      <c r="D726" s="1" t="s">
        <v>46</v>
      </c>
      <c r="E726" s="1" t="str">
        <f>TRIM(CLEAN(Sheet1[[#This Row],[Category]]))</f>
        <v>Furniture</v>
      </c>
      <c r="F726">
        <v>3</v>
      </c>
      <c r="G726" t="str">
        <f t="shared" si="11"/>
        <v>1. Retail (1-3 Units)</v>
      </c>
      <c r="H726">
        <v>3</v>
      </c>
      <c r="I726">
        <v>83.74</v>
      </c>
      <c r="J726">
        <f>IF(ISBLANK(I726), ROUND(I726/ABS(VALUE(_xlfn.TEXTBEFORE(F726&amp;" ", " "))), 2), ABS(VALUE(SUBSTITUTE(I726, "$", ""))))</f>
        <v>83.74</v>
      </c>
      <c r="K726">
        <f>ROUND(Sheet1[[#This Row],[CleanedUnits_sold]]*Sheet1[[#This Row],[Cleaned_Unit_Price]],2)</f>
        <v>251.22</v>
      </c>
      <c r="L726">
        <v>251.22</v>
      </c>
      <c r="M726" s="1" t="s">
        <v>1398</v>
      </c>
      <c r="N726" s="1" t="s">
        <v>38</v>
      </c>
      <c r="O726" s="1" t="s">
        <v>1398</v>
      </c>
    </row>
    <row r="727" spans="1:15" x14ac:dyDescent="0.35">
      <c r="A727" s="1" t="s">
        <v>1399</v>
      </c>
      <c r="B727" s="2">
        <v>45237</v>
      </c>
      <c r="C727" s="1" t="s">
        <v>16</v>
      </c>
      <c r="D727" s="1" t="s">
        <v>32</v>
      </c>
      <c r="E727" s="1" t="str">
        <f>TRIM(CLEAN(Sheet1[[#This Row],[Category]]))</f>
        <v>Furniture</v>
      </c>
      <c r="F727">
        <v>5</v>
      </c>
      <c r="G727" t="str">
        <f t="shared" si="11"/>
        <v>2. Mid-Market (4-7 Units)</v>
      </c>
      <c r="H727">
        <v>5</v>
      </c>
      <c r="I727">
        <v>256.75</v>
      </c>
      <c r="J727">
        <f>IF(ISBLANK(I727), ROUND(I727/ABS(VALUE(_xlfn.TEXTBEFORE(F727&amp;" ", " "))), 2), ABS(VALUE(SUBSTITUTE(I727, "$", ""))))</f>
        <v>256.75</v>
      </c>
      <c r="K727">
        <f>ROUND(Sheet1[[#This Row],[CleanedUnits_sold]]*Sheet1[[#This Row],[Cleaned_Unit_Price]],2)</f>
        <v>1283.75</v>
      </c>
      <c r="L727">
        <v>1700.31</v>
      </c>
      <c r="M727" s="1" t="s">
        <v>1400</v>
      </c>
      <c r="N727" s="1" t="s">
        <v>14</v>
      </c>
      <c r="O727" s="1" t="s">
        <v>1400</v>
      </c>
    </row>
    <row r="728" spans="1:15" x14ac:dyDescent="0.35">
      <c r="A728" s="1" t="s">
        <v>1401</v>
      </c>
      <c r="B728" s="2">
        <v>45208</v>
      </c>
      <c r="C728" s="1" t="s">
        <v>19</v>
      </c>
      <c r="D728" s="1" t="s">
        <v>24</v>
      </c>
      <c r="E728" s="1" t="str">
        <f>TRIM(CLEAN(Sheet1[[#This Row],[Category]]))</f>
        <v>Electronics</v>
      </c>
      <c r="F728">
        <v>2</v>
      </c>
      <c r="G728" t="str">
        <f t="shared" si="11"/>
        <v>1. Retail (1-3 Units)</v>
      </c>
      <c r="H728">
        <v>2</v>
      </c>
      <c r="I728">
        <v>402.8</v>
      </c>
      <c r="J728">
        <f>IF(ISBLANK(I728), ROUND(I728/ABS(VALUE(_xlfn.TEXTBEFORE(F728&amp;" ", " "))), 2), ABS(VALUE(SUBSTITUTE(I728, "$", ""))))</f>
        <v>402.8</v>
      </c>
      <c r="K728">
        <f>ROUND(Sheet1[[#This Row],[CleanedUnits_sold]]*Sheet1[[#This Row],[Cleaned_Unit_Price]],2)</f>
        <v>805.6</v>
      </c>
      <c r="L728">
        <v>805.6</v>
      </c>
      <c r="M728" s="1" t="s">
        <v>1402</v>
      </c>
      <c r="N728" s="1" t="s">
        <v>26</v>
      </c>
      <c r="O728" s="1" t="s">
        <v>1402</v>
      </c>
    </row>
    <row r="729" spans="1:15" x14ac:dyDescent="0.35">
      <c r="A729" s="1" t="s">
        <v>1403</v>
      </c>
      <c r="B729" s="2">
        <v>45119</v>
      </c>
      <c r="C729" s="1" t="s">
        <v>16</v>
      </c>
      <c r="D729" s="1" t="s">
        <v>32</v>
      </c>
      <c r="E729" s="1" t="str">
        <f>TRIM(CLEAN(Sheet1[[#This Row],[Category]]))</f>
        <v>Furniture</v>
      </c>
      <c r="F729">
        <v>6</v>
      </c>
      <c r="G729" t="str">
        <f t="shared" si="11"/>
        <v>2. Mid-Market (4-7 Units)</v>
      </c>
      <c r="H729">
        <v>6</v>
      </c>
      <c r="I729">
        <v>226.35</v>
      </c>
      <c r="J729">
        <f>IF(ISBLANK(I729), ROUND(I729/ABS(VALUE(_xlfn.TEXTBEFORE(F729&amp;" ", " "))), 2), ABS(VALUE(SUBSTITUTE(I729, "$", ""))))</f>
        <v>226.35</v>
      </c>
      <c r="K729">
        <f>ROUND(Sheet1[[#This Row],[CleanedUnits_sold]]*Sheet1[[#This Row],[Cleaned_Unit_Price]],2)</f>
        <v>1358.1</v>
      </c>
      <c r="L729">
        <v>1358.1</v>
      </c>
      <c r="M729" s="1" t="s">
        <v>1404</v>
      </c>
      <c r="N729" s="1" t="s">
        <v>21</v>
      </c>
      <c r="O729" s="1" t="s">
        <v>1404</v>
      </c>
    </row>
    <row r="730" spans="1:15" x14ac:dyDescent="0.35">
      <c r="A730" s="1" t="s">
        <v>1405</v>
      </c>
      <c r="B730" s="2">
        <v>45275</v>
      </c>
      <c r="C730" s="1" t="s">
        <v>23</v>
      </c>
      <c r="D730" s="1" t="s">
        <v>12</v>
      </c>
      <c r="E730" s="1" t="str">
        <f>TRIM(CLEAN(Sheet1[[#This Row],[Category]]))</f>
        <v>Office Supplies</v>
      </c>
      <c r="F730">
        <v>6</v>
      </c>
      <c r="G730" t="str">
        <f t="shared" si="11"/>
        <v>2. Mid-Market (4-7 Units)</v>
      </c>
      <c r="H730">
        <v>6</v>
      </c>
      <c r="I730">
        <v>250.4</v>
      </c>
      <c r="J730">
        <f>IF(ISBLANK(I730), ROUND(I730/ABS(VALUE(_xlfn.TEXTBEFORE(F730&amp;" ", " "))), 2), ABS(VALUE(SUBSTITUTE(I730, "$", ""))))</f>
        <v>250.4</v>
      </c>
      <c r="K730">
        <f>ROUND(Sheet1[[#This Row],[CleanedUnits_sold]]*Sheet1[[#This Row],[Cleaned_Unit_Price]],2)</f>
        <v>1502.4</v>
      </c>
      <c r="L730">
        <v>1502.4</v>
      </c>
      <c r="M730" s="1" t="s">
        <v>1406</v>
      </c>
      <c r="N730" s="1" t="s">
        <v>14</v>
      </c>
      <c r="O730" s="1" t="s">
        <v>1406</v>
      </c>
    </row>
    <row r="731" spans="1:15" x14ac:dyDescent="0.35">
      <c r="A731" s="1" t="s">
        <v>1407</v>
      </c>
      <c r="B731" s="2">
        <v>45197</v>
      </c>
      <c r="C731" s="1" t="s">
        <v>16</v>
      </c>
      <c r="D731" s="1" t="s">
        <v>24</v>
      </c>
      <c r="E731" s="1" t="str">
        <f>TRIM(CLEAN(Sheet1[[#This Row],[Category]]))</f>
        <v>Electronics</v>
      </c>
      <c r="F731">
        <v>7</v>
      </c>
      <c r="G731" t="str">
        <f t="shared" si="11"/>
        <v>2. Mid-Market (4-7 Units)</v>
      </c>
      <c r="H731">
        <v>7</v>
      </c>
      <c r="I731">
        <v>425.9</v>
      </c>
      <c r="J731">
        <f>IF(ISBLANK(I731), ROUND(I731/ABS(VALUE(_xlfn.TEXTBEFORE(F731&amp;" ", " "))), 2), ABS(VALUE(SUBSTITUTE(I731, "$", ""))))</f>
        <v>425.9</v>
      </c>
      <c r="K731">
        <f>ROUND(Sheet1[[#This Row],[CleanedUnits_sold]]*Sheet1[[#This Row],[Cleaned_Unit_Price]],2)</f>
        <v>2981.3</v>
      </c>
      <c r="L731">
        <v>2981.3</v>
      </c>
      <c r="M731" s="1" t="s">
        <v>1408</v>
      </c>
      <c r="N731" s="1" t="s">
        <v>26</v>
      </c>
      <c r="O731" s="1" t="s">
        <v>1408</v>
      </c>
    </row>
    <row r="732" spans="1:15" x14ac:dyDescent="0.35">
      <c r="A732" s="1" t="s">
        <v>1409</v>
      </c>
      <c r="B732" s="2">
        <v>1</v>
      </c>
      <c r="C732" s="1" t="s">
        <v>23</v>
      </c>
      <c r="D732" s="1" t="s">
        <v>32</v>
      </c>
      <c r="E732" s="1" t="str">
        <f>TRIM(CLEAN(Sheet1[[#This Row],[Category]]))</f>
        <v>Furniture</v>
      </c>
      <c r="F732">
        <v>6</v>
      </c>
      <c r="G732" t="str">
        <f t="shared" si="11"/>
        <v>2. Mid-Market (4-7 Units)</v>
      </c>
      <c r="H732">
        <v>6</v>
      </c>
      <c r="I732">
        <v>355.97</v>
      </c>
      <c r="J732">
        <f>IF(ISBLANK(I732), ROUND(I732/ABS(VALUE(_xlfn.TEXTBEFORE(F732&amp;" ", " "))), 2), ABS(VALUE(SUBSTITUTE(I732, "$", ""))))</f>
        <v>355.97</v>
      </c>
      <c r="K732">
        <f>ROUND(Sheet1[[#This Row],[CleanedUnits_sold]]*Sheet1[[#This Row],[Cleaned_Unit_Price]],2)</f>
        <v>2135.8200000000002</v>
      </c>
      <c r="L732">
        <v>2135.8200000000002</v>
      </c>
      <c r="M732" s="1" t="s">
        <v>1410</v>
      </c>
      <c r="N732" s="1" t="s">
        <v>14</v>
      </c>
      <c r="O732" s="1" t="s">
        <v>1410</v>
      </c>
    </row>
    <row r="733" spans="1:15" x14ac:dyDescent="0.35">
      <c r="A733" s="1" t="s">
        <v>1411</v>
      </c>
      <c r="B733" s="2">
        <v>44928</v>
      </c>
      <c r="C733" s="1" t="s">
        <v>11</v>
      </c>
      <c r="D733" s="1" t="s">
        <v>46</v>
      </c>
      <c r="E733" s="1" t="str">
        <f>TRIM(CLEAN(Sheet1[[#This Row],[Category]]))</f>
        <v>Furniture</v>
      </c>
      <c r="F733">
        <v>6</v>
      </c>
      <c r="G733" t="str">
        <f t="shared" si="11"/>
        <v>2. Mid-Market (4-7 Units)</v>
      </c>
      <c r="H733">
        <v>6</v>
      </c>
      <c r="I733">
        <v>250.32</v>
      </c>
      <c r="J733">
        <f>IF(ISBLANK(I733), ROUND(I733/ABS(VALUE(_xlfn.TEXTBEFORE(F733&amp;" ", " "))), 2), ABS(VALUE(SUBSTITUTE(I733, "$", ""))))</f>
        <v>250.32</v>
      </c>
      <c r="K733">
        <f>ROUND(Sheet1[[#This Row],[CleanedUnits_sold]]*Sheet1[[#This Row],[Cleaned_Unit_Price]],2)</f>
        <v>1501.92</v>
      </c>
      <c r="L733">
        <v>1501.92</v>
      </c>
      <c r="M733" s="1" t="s">
        <v>49</v>
      </c>
      <c r="N733" s="1" t="s">
        <v>38</v>
      </c>
      <c r="O733" s="1" t="s">
        <v>51</v>
      </c>
    </row>
    <row r="734" spans="1:15" x14ac:dyDescent="0.35">
      <c r="A734" s="1" t="s">
        <v>1412</v>
      </c>
      <c r="B734" s="2">
        <v>1</v>
      </c>
      <c r="C734" s="1" t="s">
        <v>19</v>
      </c>
      <c r="D734" s="1" t="s">
        <v>24</v>
      </c>
      <c r="E734" s="1" t="str">
        <f>TRIM(CLEAN(Sheet1[[#This Row],[Category]]))</f>
        <v>Electronics</v>
      </c>
      <c r="G734" t="str">
        <f t="shared" si="11"/>
        <v>2. Mid-Market (4-7 Units)</v>
      </c>
      <c r="H734">
        <v>5</v>
      </c>
      <c r="I734">
        <v>-187.29</v>
      </c>
      <c r="J734">
        <f>IF(ISBLANK(I734), ROUND(I734/ABS(VALUE(_xlfn.TEXTBEFORE(F734&amp;" ", " "))), 2), ABS(VALUE(SUBSTITUTE(I734, "$", ""))))</f>
        <v>187.29</v>
      </c>
      <c r="K734">
        <f>ROUND(Sheet1[[#This Row],[CleanedUnits_sold]]*Sheet1[[#This Row],[Cleaned_Unit_Price]],2)</f>
        <v>936.45</v>
      </c>
      <c r="L734">
        <v>905.95</v>
      </c>
      <c r="M734" s="1" t="s">
        <v>1413</v>
      </c>
      <c r="N734" s="1" t="s">
        <v>26</v>
      </c>
      <c r="O734" s="1" t="s">
        <v>1413</v>
      </c>
    </row>
    <row r="735" spans="1:15" x14ac:dyDescent="0.35">
      <c r="A735" s="1" t="s">
        <v>1414</v>
      </c>
      <c r="B735" s="2">
        <v>45193</v>
      </c>
      <c r="C735" s="1" t="s">
        <v>11</v>
      </c>
      <c r="D735" s="1" t="s">
        <v>12</v>
      </c>
      <c r="E735" s="1" t="str">
        <f>TRIM(CLEAN(Sheet1[[#This Row],[Category]]))</f>
        <v>Office Supplies</v>
      </c>
      <c r="F735">
        <v>4</v>
      </c>
      <c r="G735" t="str">
        <f t="shared" si="11"/>
        <v>2. Mid-Market (4-7 Units)</v>
      </c>
      <c r="H735">
        <v>4</v>
      </c>
      <c r="I735">
        <v>443.61</v>
      </c>
      <c r="J735">
        <f>IF(ISBLANK(I735), ROUND(I735/ABS(VALUE(_xlfn.TEXTBEFORE(F735&amp;" ", " "))), 2), ABS(VALUE(SUBSTITUTE(I735, "$", ""))))</f>
        <v>443.61</v>
      </c>
      <c r="K735">
        <f>ROUND(Sheet1[[#This Row],[CleanedUnits_sold]]*Sheet1[[#This Row],[Cleaned_Unit_Price]],2)</f>
        <v>1774.44</v>
      </c>
      <c r="L735">
        <v>1774.44</v>
      </c>
      <c r="M735" s="1" t="s">
        <v>1415</v>
      </c>
      <c r="N735" s="1" t="s">
        <v>26</v>
      </c>
      <c r="O735" s="1" t="s">
        <v>1415</v>
      </c>
    </row>
    <row r="736" spans="1:15" x14ac:dyDescent="0.35">
      <c r="A736" s="1" t="s">
        <v>1416</v>
      </c>
      <c r="B736" s="2">
        <v>45032</v>
      </c>
      <c r="C736" s="1" t="s">
        <v>16</v>
      </c>
      <c r="D736" s="1" t="s">
        <v>12</v>
      </c>
      <c r="E736" s="1" t="str">
        <f>TRIM(CLEAN(Sheet1[[#This Row],[Category]]))</f>
        <v>Office Supplies</v>
      </c>
      <c r="F736">
        <v>7</v>
      </c>
      <c r="G736" t="str">
        <f t="shared" si="11"/>
        <v>2. Mid-Market (4-7 Units)</v>
      </c>
      <c r="H736">
        <v>7</v>
      </c>
      <c r="I736">
        <v>292.74</v>
      </c>
      <c r="J736">
        <f>IF(ISBLANK(I736), ROUND(I736/ABS(VALUE(_xlfn.TEXTBEFORE(F736&amp;" ", " "))), 2), ABS(VALUE(SUBSTITUTE(I736, "$", ""))))</f>
        <v>292.74</v>
      </c>
      <c r="K736">
        <f>ROUND(Sheet1[[#This Row],[CleanedUnits_sold]]*Sheet1[[#This Row],[Cleaned_Unit_Price]],2)</f>
        <v>2049.1799999999998</v>
      </c>
      <c r="L736">
        <v>2447.79</v>
      </c>
      <c r="M736" s="1" t="s">
        <v>1417</v>
      </c>
      <c r="N736" s="1" t="s">
        <v>26</v>
      </c>
      <c r="O736" s="1" t="s">
        <v>1417</v>
      </c>
    </row>
    <row r="737" spans="1:15" x14ac:dyDescent="0.35">
      <c r="A737" s="1" t="s">
        <v>1418</v>
      </c>
      <c r="B737" s="2">
        <v>1</v>
      </c>
      <c r="C737" s="1" t="s">
        <v>16</v>
      </c>
      <c r="D737" s="1" t="s">
        <v>24</v>
      </c>
      <c r="E737" s="1" t="str">
        <f>TRIM(CLEAN(Sheet1[[#This Row],[Category]]))</f>
        <v>Electronics</v>
      </c>
      <c r="G737" t="str">
        <f t="shared" si="11"/>
        <v>2. Mid-Market (4-7 Units)</v>
      </c>
      <c r="H737">
        <v>5</v>
      </c>
      <c r="I737">
        <v>118.36</v>
      </c>
      <c r="J737">
        <f>IF(ISBLANK(I737), ROUND(I737/ABS(VALUE(_xlfn.TEXTBEFORE(F737&amp;" ", " "))), 2), ABS(VALUE(SUBSTITUTE(I737, "$", ""))))</f>
        <v>118.36</v>
      </c>
      <c r="K737">
        <f>ROUND(Sheet1[[#This Row],[CleanedUnits_sold]]*Sheet1[[#This Row],[Cleaned_Unit_Price]],2)</f>
        <v>591.79999999999995</v>
      </c>
      <c r="L737">
        <v>591.79999999999995</v>
      </c>
      <c r="M737" s="1"/>
      <c r="N737" s="1" t="s">
        <v>26</v>
      </c>
      <c r="O737" s="1" t="s">
        <v>131</v>
      </c>
    </row>
    <row r="738" spans="1:15" x14ac:dyDescent="0.35">
      <c r="A738" s="1" t="s">
        <v>1419</v>
      </c>
      <c r="B738" s="2">
        <v>44955</v>
      </c>
      <c r="C738" s="1" t="s">
        <v>58</v>
      </c>
      <c r="D738" s="1" t="s">
        <v>24</v>
      </c>
      <c r="E738" s="1" t="str">
        <f>TRIM(CLEAN(Sheet1[[#This Row],[Category]]))</f>
        <v>Electronics</v>
      </c>
      <c r="F738">
        <v>5</v>
      </c>
      <c r="G738" t="str">
        <f t="shared" si="11"/>
        <v>2. Mid-Market (4-7 Units)</v>
      </c>
      <c r="H738">
        <v>5</v>
      </c>
      <c r="I738">
        <v>141.87</v>
      </c>
      <c r="J738">
        <f>IF(ISBLANK(I738), ROUND(I738/ABS(VALUE(_xlfn.TEXTBEFORE(F738&amp;" ", " "))), 2), ABS(VALUE(SUBSTITUTE(I738, "$", ""))))</f>
        <v>141.87</v>
      </c>
      <c r="K738">
        <f>ROUND(Sheet1[[#This Row],[CleanedUnits_sold]]*Sheet1[[#This Row],[Cleaned_Unit_Price]],2)</f>
        <v>709.35</v>
      </c>
      <c r="L738">
        <v>807.87</v>
      </c>
      <c r="M738" s="1" t="s">
        <v>1420</v>
      </c>
      <c r="N738" s="1" t="s">
        <v>38</v>
      </c>
      <c r="O738" s="1" t="s">
        <v>1420</v>
      </c>
    </row>
    <row r="739" spans="1:15" x14ac:dyDescent="0.35">
      <c r="A739" s="1" t="s">
        <v>1421</v>
      </c>
      <c r="B739" s="2">
        <v>45139</v>
      </c>
      <c r="C739" s="1" t="s">
        <v>11</v>
      </c>
      <c r="D739" s="1" t="s">
        <v>12</v>
      </c>
      <c r="E739" s="1" t="str">
        <f>TRIM(CLEAN(Sheet1[[#This Row],[Category]]))</f>
        <v>Office Supplies</v>
      </c>
      <c r="F739">
        <v>8</v>
      </c>
      <c r="G739" t="str">
        <f t="shared" si="11"/>
        <v>3. Wholesale / Bulk (8+ Units)</v>
      </c>
      <c r="H739">
        <v>8</v>
      </c>
      <c r="I739">
        <v>403.54</v>
      </c>
      <c r="J739">
        <f>IF(ISBLANK(I739), ROUND(I739/ABS(VALUE(_xlfn.TEXTBEFORE(F739&amp;" ", " "))), 2), ABS(VALUE(SUBSTITUTE(I739, "$", ""))))</f>
        <v>403.54</v>
      </c>
      <c r="K739">
        <f>ROUND(Sheet1[[#This Row],[CleanedUnits_sold]]*Sheet1[[#This Row],[Cleaned_Unit_Price]],2)</f>
        <v>3228.32</v>
      </c>
      <c r="L739">
        <v>3228.32</v>
      </c>
      <c r="M739" s="1" t="s">
        <v>1422</v>
      </c>
      <c r="N739" s="1" t="s">
        <v>26</v>
      </c>
      <c r="O739" s="1" t="s">
        <v>1422</v>
      </c>
    </row>
    <row r="740" spans="1:15" x14ac:dyDescent="0.35">
      <c r="A740" s="1" t="s">
        <v>1423</v>
      </c>
      <c r="B740" s="2">
        <v>45213</v>
      </c>
      <c r="C740" s="1" t="s">
        <v>16</v>
      </c>
      <c r="D740" s="1" t="s">
        <v>46</v>
      </c>
      <c r="E740" s="1" t="str">
        <f>TRIM(CLEAN(Sheet1[[#This Row],[Category]]))</f>
        <v>Furniture</v>
      </c>
      <c r="F740">
        <v>4</v>
      </c>
      <c r="G740" t="str">
        <f t="shared" si="11"/>
        <v>2. Mid-Market (4-7 Units)</v>
      </c>
      <c r="H740">
        <v>4</v>
      </c>
      <c r="I740">
        <v>31.63</v>
      </c>
      <c r="J740">
        <f>IF(ISBLANK(I740), ROUND(I740/ABS(VALUE(_xlfn.TEXTBEFORE(F740&amp;" ", " "))), 2), ABS(VALUE(SUBSTITUTE(I740, "$", ""))))</f>
        <v>31.63</v>
      </c>
      <c r="K740">
        <f>ROUND(Sheet1[[#This Row],[CleanedUnits_sold]]*Sheet1[[#This Row],[Cleaned_Unit_Price]],2)</f>
        <v>126.52</v>
      </c>
      <c r="L740">
        <v>126.52</v>
      </c>
      <c r="M740" s="1"/>
      <c r="N740" s="1" t="s">
        <v>14</v>
      </c>
      <c r="O740" s="1" t="s">
        <v>131</v>
      </c>
    </row>
    <row r="741" spans="1:15" x14ac:dyDescent="0.35">
      <c r="A741" s="1" t="s">
        <v>1424</v>
      </c>
      <c r="B741" s="2">
        <v>45084</v>
      </c>
      <c r="C741" s="1" t="s">
        <v>23</v>
      </c>
      <c r="D741" s="1" t="s">
        <v>12</v>
      </c>
      <c r="E741" s="1" t="str">
        <f>TRIM(CLEAN(Sheet1[[#This Row],[Category]]))</f>
        <v>Office Supplies</v>
      </c>
      <c r="F741">
        <v>2</v>
      </c>
      <c r="G741" t="str">
        <f t="shared" si="11"/>
        <v>1. Retail (1-3 Units)</v>
      </c>
      <c r="H741">
        <v>2</v>
      </c>
      <c r="I741">
        <v>496.13</v>
      </c>
      <c r="J741">
        <f>IF(ISBLANK(I741), ROUND(I741/ABS(VALUE(_xlfn.TEXTBEFORE(F741&amp;" ", " "))), 2), ABS(VALUE(SUBSTITUTE(I741, "$", ""))))</f>
        <v>496.13</v>
      </c>
      <c r="K741">
        <f>ROUND(Sheet1[[#This Row],[CleanedUnits_sold]]*Sheet1[[#This Row],[Cleaned_Unit_Price]],2)</f>
        <v>992.26</v>
      </c>
      <c r="L741">
        <v>1095.77</v>
      </c>
      <c r="M741" s="1" t="s">
        <v>1425</v>
      </c>
      <c r="N741" s="1" t="s">
        <v>14</v>
      </c>
      <c r="O741" s="1" t="s">
        <v>1425</v>
      </c>
    </row>
    <row r="742" spans="1:15" x14ac:dyDescent="0.35">
      <c r="A742" s="1" t="s">
        <v>1426</v>
      </c>
      <c r="B742" s="2">
        <v>44958</v>
      </c>
      <c r="C742" s="1" t="s">
        <v>19</v>
      </c>
      <c r="D742" s="1" t="s">
        <v>46</v>
      </c>
      <c r="E742" s="1" t="str">
        <f>TRIM(CLEAN(Sheet1[[#This Row],[Category]]))</f>
        <v>Furniture</v>
      </c>
      <c r="F742">
        <v>3</v>
      </c>
      <c r="G742" t="str">
        <f t="shared" si="11"/>
        <v>1. Retail (1-3 Units)</v>
      </c>
      <c r="H742">
        <v>3</v>
      </c>
      <c r="I742">
        <v>73.87</v>
      </c>
      <c r="J742">
        <f>IF(ISBLANK(I742), ROUND(I742/ABS(VALUE(_xlfn.TEXTBEFORE(F742&amp;" ", " "))), 2), ABS(VALUE(SUBSTITUTE(I742, "$", ""))))</f>
        <v>73.87</v>
      </c>
      <c r="K742">
        <f>ROUND(Sheet1[[#This Row],[CleanedUnits_sold]]*Sheet1[[#This Row],[Cleaned_Unit_Price]],2)</f>
        <v>221.61</v>
      </c>
      <c r="L742">
        <v>221.61</v>
      </c>
      <c r="M742" s="1" t="s">
        <v>1427</v>
      </c>
      <c r="N742" s="1" t="s">
        <v>26</v>
      </c>
      <c r="O742" s="1" t="s">
        <v>1427</v>
      </c>
    </row>
    <row r="743" spans="1:15" x14ac:dyDescent="0.35">
      <c r="A743" s="1" t="s">
        <v>1428</v>
      </c>
      <c r="B743" s="2">
        <v>44950</v>
      </c>
      <c r="C743" s="1" t="s">
        <v>16</v>
      </c>
      <c r="D743" s="1" t="s">
        <v>24</v>
      </c>
      <c r="E743" s="1" t="str">
        <f>TRIM(CLEAN(Sheet1[[#This Row],[Category]]))</f>
        <v>Electronics</v>
      </c>
      <c r="F743">
        <v>4</v>
      </c>
      <c r="G743" t="str">
        <f t="shared" si="11"/>
        <v>2. Mid-Market (4-7 Units)</v>
      </c>
      <c r="H743">
        <v>4</v>
      </c>
      <c r="I743">
        <v>400.07</v>
      </c>
      <c r="J743">
        <f>IF(ISBLANK(I743), ROUND(I743/ABS(VALUE(_xlfn.TEXTBEFORE(F743&amp;" ", " "))), 2), ABS(VALUE(SUBSTITUTE(I743, "$", ""))))</f>
        <v>400.07</v>
      </c>
      <c r="K743">
        <f>ROUND(Sheet1[[#This Row],[CleanedUnits_sold]]*Sheet1[[#This Row],[Cleaned_Unit_Price]],2)</f>
        <v>1600.28</v>
      </c>
      <c r="L743">
        <v>1950.69</v>
      </c>
      <c r="M743" s="1" t="s">
        <v>1429</v>
      </c>
      <c r="N743" s="1" t="s">
        <v>26</v>
      </c>
      <c r="O743" s="1" t="s">
        <v>1429</v>
      </c>
    </row>
    <row r="744" spans="1:15" x14ac:dyDescent="0.35">
      <c r="A744" s="1" t="s">
        <v>1430</v>
      </c>
      <c r="B744" s="2">
        <v>44959</v>
      </c>
      <c r="C744" s="1" t="s">
        <v>16</v>
      </c>
      <c r="D744" s="1" t="s">
        <v>12</v>
      </c>
      <c r="E744" s="1" t="str">
        <f>TRIM(CLEAN(Sheet1[[#This Row],[Category]]))</f>
        <v>Office Supplies</v>
      </c>
      <c r="F744">
        <v>6</v>
      </c>
      <c r="G744" t="str">
        <f t="shared" si="11"/>
        <v>2. Mid-Market (4-7 Units)</v>
      </c>
      <c r="H744">
        <v>6</v>
      </c>
      <c r="I744">
        <v>203.44</v>
      </c>
      <c r="J744">
        <f>IF(ISBLANK(I744), ROUND(I744/ABS(VALUE(_xlfn.TEXTBEFORE(F744&amp;" ", " "))), 2), ABS(VALUE(SUBSTITUTE(I744, "$", ""))))</f>
        <v>203.44</v>
      </c>
      <c r="K744">
        <f>ROUND(Sheet1[[#This Row],[CleanedUnits_sold]]*Sheet1[[#This Row],[Cleaned_Unit_Price]],2)</f>
        <v>1220.6400000000001</v>
      </c>
      <c r="L744">
        <v>1220.6400000000001</v>
      </c>
      <c r="M744" s="1" t="s">
        <v>1431</v>
      </c>
      <c r="N744" s="1" t="s">
        <v>14</v>
      </c>
      <c r="O744" s="1" t="s">
        <v>1431</v>
      </c>
    </row>
    <row r="745" spans="1:15" x14ac:dyDescent="0.35">
      <c r="A745" s="1" t="s">
        <v>1432</v>
      </c>
      <c r="B745" s="2">
        <v>44962</v>
      </c>
      <c r="C745" s="1" t="s">
        <v>16</v>
      </c>
      <c r="D745" s="1" t="s">
        <v>32</v>
      </c>
      <c r="E745" s="1" t="str">
        <f>TRIM(CLEAN(Sheet1[[#This Row],[Category]]))</f>
        <v>Furniture</v>
      </c>
      <c r="F745">
        <v>9</v>
      </c>
      <c r="G745" t="str">
        <f t="shared" si="11"/>
        <v>3. Wholesale / Bulk (8+ Units)</v>
      </c>
      <c r="H745">
        <v>9</v>
      </c>
      <c r="I745">
        <v>251.19</v>
      </c>
      <c r="J745">
        <f>IF(ISBLANK(I745), ROUND(I745/ABS(VALUE(_xlfn.TEXTBEFORE(F745&amp;" ", " "))), 2), ABS(VALUE(SUBSTITUTE(I745, "$", ""))))</f>
        <v>251.19</v>
      </c>
      <c r="K745">
        <f>ROUND(Sheet1[[#This Row],[CleanedUnits_sold]]*Sheet1[[#This Row],[Cleaned_Unit_Price]],2)</f>
        <v>2260.71</v>
      </c>
      <c r="L745">
        <v>2260.71</v>
      </c>
      <c r="M745" s="1" t="s">
        <v>1433</v>
      </c>
      <c r="N745" s="1" t="s">
        <v>38</v>
      </c>
      <c r="O745" s="1" t="s">
        <v>1433</v>
      </c>
    </row>
    <row r="746" spans="1:15" x14ac:dyDescent="0.35">
      <c r="A746" s="1" t="s">
        <v>1434</v>
      </c>
      <c r="B746" s="2">
        <v>1</v>
      </c>
      <c r="C746" s="1" t="s">
        <v>23</v>
      </c>
      <c r="D746" s="1" t="s">
        <v>12</v>
      </c>
      <c r="E746" s="1" t="str">
        <f>TRIM(CLEAN(Sheet1[[#This Row],[Category]]))</f>
        <v>Office Supplies</v>
      </c>
      <c r="F746">
        <v>3</v>
      </c>
      <c r="G746" t="str">
        <f t="shared" si="11"/>
        <v>1. Retail (1-3 Units)</v>
      </c>
      <c r="H746">
        <v>3</v>
      </c>
      <c r="I746">
        <v>441.52</v>
      </c>
      <c r="J746">
        <f>IF(ISBLANK(I746), ROUND(I746/ABS(VALUE(_xlfn.TEXTBEFORE(F746&amp;" ", " "))), 2), ABS(VALUE(SUBSTITUTE(I746, "$", ""))))</f>
        <v>441.52</v>
      </c>
      <c r="K746">
        <f>ROUND(Sheet1[[#This Row],[CleanedUnits_sold]]*Sheet1[[#This Row],[Cleaned_Unit_Price]],2)</f>
        <v>1324.56</v>
      </c>
      <c r="L746">
        <v>1324.56</v>
      </c>
      <c r="M746" s="1" t="s">
        <v>1435</v>
      </c>
      <c r="N746" s="1" t="s">
        <v>38</v>
      </c>
      <c r="O746" s="1" t="s">
        <v>1435</v>
      </c>
    </row>
    <row r="747" spans="1:15" x14ac:dyDescent="0.35">
      <c r="A747" s="1" t="s">
        <v>1436</v>
      </c>
      <c r="B747" s="2">
        <v>44996</v>
      </c>
      <c r="C747" s="1" t="s">
        <v>58</v>
      </c>
      <c r="D747" s="1" t="s">
        <v>12</v>
      </c>
      <c r="E747" s="1" t="str">
        <f>TRIM(CLEAN(Sheet1[[#This Row],[Category]]))</f>
        <v>Office Supplies</v>
      </c>
      <c r="F747">
        <v>-1</v>
      </c>
      <c r="G747" t="str">
        <f t="shared" si="11"/>
        <v>1. Retail (1-3 Units)</v>
      </c>
      <c r="H747">
        <v>1</v>
      </c>
      <c r="I747">
        <v>212.33</v>
      </c>
      <c r="J747">
        <f>IF(ISBLANK(I747), ROUND(I747/ABS(VALUE(_xlfn.TEXTBEFORE(F747&amp;" ", " "))), 2), ABS(VALUE(SUBSTITUTE(I747, "$", ""))))</f>
        <v>212.33</v>
      </c>
      <c r="K747">
        <f>ROUND(Sheet1[[#This Row],[CleanedUnits_sold]]*Sheet1[[#This Row],[Cleaned_Unit_Price]],2)</f>
        <v>212.33</v>
      </c>
      <c r="L747">
        <v>1061.6500000000001</v>
      </c>
      <c r="M747" s="1" t="s">
        <v>1437</v>
      </c>
      <c r="N747" s="1" t="s">
        <v>50</v>
      </c>
      <c r="O747" s="1" t="s">
        <v>1437</v>
      </c>
    </row>
    <row r="748" spans="1:15" x14ac:dyDescent="0.35">
      <c r="A748" s="1" t="s">
        <v>1438</v>
      </c>
      <c r="B748" s="2">
        <v>45122</v>
      </c>
      <c r="C748" s="1" t="s">
        <v>16</v>
      </c>
      <c r="D748" s="1" t="s">
        <v>24</v>
      </c>
      <c r="E748" s="1" t="str">
        <f>TRIM(CLEAN(Sheet1[[#This Row],[Category]]))</f>
        <v>Electronics</v>
      </c>
      <c r="F748">
        <v>3</v>
      </c>
      <c r="G748" t="str">
        <f t="shared" si="11"/>
        <v>1. Retail (1-3 Units)</v>
      </c>
      <c r="H748">
        <v>3</v>
      </c>
      <c r="I748">
        <v>273.37</v>
      </c>
      <c r="J748">
        <f>IF(ISBLANK(I748), ROUND(I748/ABS(VALUE(_xlfn.TEXTBEFORE(F748&amp;" ", " "))), 2), ABS(VALUE(SUBSTITUTE(I748, "$", ""))))</f>
        <v>273.37</v>
      </c>
      <c r="K748">
        <f>ROUND(Sheet1[[#This Row],[CleanedUnits_sold]]*Sheet1[[#This Row],[Cleaned_Unit_Price]],2)</f>
        <v>820.11</v>
      </c>
      <c r="L748">
        <v>820.11</v>
      </c>
      <c r="M748" s="1" t="s">
        <v>1439</v>
      </c>
      <c r="N748" s="1" t="s">
        <v>21</v>
      </c>
      <c r="O748" s="1" t="s">
        <v>1439</v>
      </c>
    </row>
    <row r="749" spans="1:15" x14ac:dyDescent="0.35">
      <c r="A749" s="1" t="s">
        <v>1440</v>
      </c>
      <c r="B749" s="2">
        <v>45120</v>
      </c>
      <c r="C749" s="1" t="s">
        <v>58</v>
      </c>
      <c r="D749" s="1" t="s">
        <v>46</v>
      </c>
      <c r="E749" s="1" t="str">
        <f>TRIM(CLEAN(Sheet1[[#This Row],[Category]]))</f>
        <v>Furniture</v>
      </c>
      <c r="F749">
        <v>2</v>
      </c>
      <c r="G749" t="str">
        <f t="shared" si="11"/>
        <v>1. Retail (1-3 Units)</v>
      </c>
      <c r="H749">
        <v>2</v>
      </c>
      <c r="I749">
        <v>34.159999999999997</v>
      </c>
      <c r="J749">
        <f>IF(ISBLANK(I749), ROUND(I749/ABS(VALUE(_xlfn.TEXTBEFORE(F749&amp;" ", " "))), 2), ABS(VALUE(SUBSTITUTE(I749, "$", ""))))</f>
        <v>34.159999999999997</v>
      </c>
      <c r="K749">
        <f>ROUND(Sheet1[[#This Row],[CleanedUnits_sold]]*Sheet1[[#This Row],[Cleaned_Unit_Price]],2)</f>
        <v>68.319999999999993</v>
      </c>
      <c r="L749">
        <v>68.319999999999993</v>
      </c>
      <c r="M749" s="1" t="s">
        <v>1441</v>
      </c>
      <c r="N749" s="1" t="s">
        <v>21</v>
      </c>
      <c r="O749" s="1" t="s">
        <v>1441</v>
      </c>
    </row>
    <row r="750" spans="1:15" x14ac:dyDescent="0.35">
      <c r="A750" s="1" t="s">
        <v>1442</v>
      </c>
      <c r="B750" s="2">
        <v>1</v>
      </c>
      <c r="C750" s="1" t="s">
        <v>11</v>
      </c>
      <c r="D750" s="1" t="s">
        <v>24</v>
      </c>
      <c r="E750" s="1" t="str">
        <f>TRIM(CLEAN(Sheet1[[#This Row],[Category]]))</f>
        <v>Electronics</v>
      </c>
      <c r="F750">
        <v>4</v>
      </c>
      <c r="G750" t="str">
        <f t="shared" si="11"/>
        <v>2. Mid-Market (4-7 Units)</v>
      </c>
      <c r="H750">
        <v>4</v>
      </c>
      <c r="I750">
        <v>11.15</v>
      </c>
      <c r="J750">
        <f>IF(ISBLANK(I750), ROUND(I750/ABS(VALUE(_xlfn.TEXTBEFORE(F750&amp;" ", " "))), 2), ABS(VALUE(SUBSTITUTE(I750, "$", ""))))</f>
        <v>11.15</v>
      </c>
      <c r="K750">
        <f>ROUND(Sheet1[[#This Row],[CleanedUnits_sold]]*Sheet1[[#This Row],[Cleaned_Unit_Price]],2)</f>
        <v>44.6</v>
      </c>
      <c r="L750">
        <v>44.6</v>
      </c>
      <c r="M750" s="1" t="s">
        <v>1443</v>
      </c>
      <c r="N750" s="1" t="s">
        <v>26</v>
      </c>
      <c r="O750" s="1" t="s">
        <v>1443</v>
      </c>
    </row>
    <row r="751" spans="1:15" x14ac:dyDescent="0.35">
      <c r="A751" s="1" t="s">
        <v>1444</v>
      </c>
      <c r="B751" s="2">
        <v>45026</v>
      </c>
      <c r="C751" s="1" t="s">
        <v>19</v>
      </c>
      <c r="D751" s="1" t="s">
        <v>46</v>
      </c>
      <c r="E751" s="1" t="str">
        <f>TRIM(CLEAN(Sheet1[[#This Row],[Category]]))</f>
        <v>Furniture</v>
      </c>
      <c r="F751">
        <v>9</v>
      </c>
      <c r="G751" t="str">
        <f t="shared" si="11"/>
        <v>3. Wholesale / Bulk (8+ Units)</v>
      </c>
      <c r="H751">
        <v>9</v>
      </c>
      <c r="I751">
        <v>129.94999999999999</v>
      </c>
      <c r="J751">
        <f>IF(ISBLANK(I751), ROUND(I751/ABS(VALUE(_xlfn.TEXTBEFORE(F751&amp;" ", " "))), 2), ABS(VALUE(SUBSTITUTE(I751, "$", ""))))</f>
        <v>129.94999999999999</v>
      </c>
      <c r="K751">
        <f>ROUND(Sheet1[[#This Row],[CleanedUnits_sold]]*Sheet1[[#This Row],[Cleaned_Unit_Price]],2)</f>
        <v>1169.55</v>
      </c>
      <c r="L751">
        <v>1600.19</v>
      </c>
      <c r="M751" s="1" t="s">
        <v>1445</v>
      </c>
      <c r="N751" s="1" t="s">
        <v>50</v>
      </c>
      <c r="O751" s="1" t="s">
        <v>1445</v>
      </c>
    </row>
    <row r="752" spans="1:15" x14ac:dyDescent="0.35">
      <c r="A752" s="1" t="s">
        <v>1446</v>
      </c>
      <c r="B752" s="2">
        <v>45105</v>
      </c>
      <c r="C752" s="1" t="s">
        <v>58</v>
      </c>
      <c r="D752" s="1" t="s">
        <v>24</v>
      </c>
      <c r="E752" s="1" t="str">
        <f>TRIM(CLEAN(Sheet1[[#This Row],[Category]]))</f>
        <v>Electronics</v>
      </c>
      <c r="F752">
        <v>4</v>
      </c>
      <c r="G752" t="str">
        <f t="shared" si="11"/>
        <v>2. Mid-Market (4-7 Units)</v>
      </c>
      <c r="H752">
        <v>4</v>
      </c>
      <c r="I752">
        <v>343.49</v>
      </c>
      <c r="J752">
        <f>IF(ISBLANK(I752), ROUND(I752/ABS(VALUE(_xlfn.TEXTBEFORE(F752&amp;" ", " "))), 2), ABS(VALUE(SUBSTITUTE(I752, "$", ""))))</f>
        <v>343.49</v>
      </c>
      <c r="K752">
        <f>ROUND(Sheet1[[#This Row],[CleanedUnits_sold]]*Sheet1[[#This Row],[Cleaned_Unit_Price]],2)</f>
        <v>1373.96</v>
      </c>
      <c r="L752">
        <v>1373.96</v>
      </c>
      <c r="M752" s="1" t="s">
        <v>1447</v>
      </c>
      <c r="N752" s="1" t="s">
        <v>14</v>
      </c>
      <c r="O752" s="1" t="s">
        <v>1447</v>
      </c>
    </row>
    <row r="753" spans="1:15" x14ac:dyDescent="0.35">
      <c r="A753" s="1" t="s">
        <v>1448</v>
      </c>
      <c r="B753" s="2">
        <v>45202</v>
      </c>
      <c r="C753" s="1" t="s">
        <v>19</v>
      </c>
      <c r="D753" s="1" t="s">
        <v>32</v>
      </c>
      <c r="E753" s="1" t="str">
        <f>TRIM(CLEAN(Sheet1[[#This Row],[Category]]))</f>
        <v>Furniture</v>
      </c>
      <c r="F753">
        <v>5</v>
      </c>
      <c r="G753" t="str">
        <f t="shared" si="11"/>
        <v>2. Mid-Market (4-7 Units)</v>
      </c>
      <c r="H753">
        <v>5</v>
      </c>
      <c r="I753">
        <v>69.42</v>
      </c>
      <c r="J753">
        <f>IF(ISBLANK(I753), ROUND(I753/ABS(VALUE(_xlfn.TEXTBEFORE(F753&amp;" ", " "))), 2), ABS(VALUE(SUBSTITUTE(I753, "$", ""))))</f>
        <v>69.42</v>
      </c>
      <c r="K753">
        <f>ROUND(Sheet1[[#This Row],[CleanedUnits_sold]]*Sheet1[[#This Row],[Cleaned_Unit_Price]],2)</f>
        <v>347.1</v>
      </c>
      <c r="L753">
        <v>347.1</v>
      </c>
      <c r="M753" s="1" t="s">
        <v>1449</v>
      </c>
      <c r="N753" s="1" t="s">
        <v>21</v>
      </c>
      <c r="O753" s="1" t="s">
        <v>1449</v>
      </c>
    </row>
    <row r="754" spans="1:15" x14ac:dyDescent="0.35">
      <c r="A754" s="1" t="s">
        <v>1450</v>
      </c>
      <c r="B754" s="2">
        <v>45041</v>
      </c>
      <c r="C754" s="1" t="s">
        <v>23</v>
      </c>
      <c r="D754" s="1" t="s">
        <v>24</v>
      </c>
      <c r="E754" s="1" t="str">
        <f>TRIM(CLEAN(Sheet1[[#This Row],[Category]]))</f>
        <v>Electronics</v>
      </c>
      <c r="F754">
        <v>8</v>
      </c>
      <c r="G754" t="str">
        <f t="shared" si="11"/>
        <v>3. Wholesale / Bulk (8+ Units)</v>
      </c>
      <c r="H754">
        <v>8</v>
      </c>
      <c r="I754">
        <v>65.739999999999995</v>
      </c>
      <c r="J754">
        <f>IF(ISBLANK(I754), ROUND(I754/ABS(VALUE(_xlfn.TEXTBEFORE(F754&amp;" ", " "))), 2), ABS(VALUE(SUBSTITUTE(I754, "$", ""))))</f>
        <v>65.739999999999995</v>
      </c>
      <c r="K754">
        <f>ROUND(Sheet1[[#This Row],[CleanedUnits_sold]]*Sheet1[[#This Row],[Cleaned_Unit_Price]],2)</f>
        <v>525.91999999999996</v>
      </c>
      <c r="L754">
        <v>525.91999999999996</v>
      </c>
      <c r="M754" s="1" t="s">
        <v>1451</v>
      </c>
      <c r="N754" s="1" t="s">
        <v>50</v>
      </c>
      <c r="O754" s="1" t="s">
        <v>1451</v>
      </c>
    </row>
    <row r="755" spans="1:15" x14ac:dyDescent="0.35">
      <c r="A755" s="1" t="s">
        <v>1452</v>
      </c>
      <c r="B755" s="2">
        <v>45079</v>
      </c>
      <c r="C755" s="1" t="s">
        <v>16</v>
      </c>
      <c r="D755" s="1" t="s">
        <v>12</v>
      </c>
      <c r="E755" s="1" t="str">
        <f>TRIM(CLEAN(Sheet1[[#This Row],[Category]]))</f>
        <v>Office Supplies</v>
      </c>
      <c r="F755">
        <v>5</v>
      </c>
      <c r="G755" t="str">
        <f t="shared" si="11"/>
        <v>2. Mid-Market (4-7 Units)</v>
      </c>
      <c r="H755">
        <v>5</v>
      </c>
      <c r="I755">
        <v>211.37</v>
      </c>
      <c r="J755">
        <f>IF(ISBLANK(I755), ROUND(I755/ABS(VALUE(_xlfn.TEXTBEFORE(F755&amp;" ", " "))), 2), ABS(VALUE(SUBSTITUTE(I755, "$", ""))))</f>
        <v>211.37</v>
      </c>
      <c r="K755">
        <f>ROUND(Sheet1[[#This Row],[CleanedUnits_sold]]*Sheet1[[#This Row],[Cleaned_Unit_Price]],2)</f>
        <v>1056.8499999999999</v>
      </c>
      <c r="L755">
        <v>1690.96</v>
      </c>
      <c r="M755" s="1"/>
      <c r="N755" s="1" t="s">
        <v>50</v>
      </c>
      <c r="O755" s="1" t="s">
        <v>131</v>
      </c>
    </row>
    <row r="756" spans="1:15" x14ac:dyDescent="0.35">
      <c r="A756" s="1" t="s">
        <v>1453</v>
      </c>
      <c r="B756" s="2">
        <v>45205</v>
      </c>
      <c r="C756" s="1" t="s">
        <v>23</v>
      </c>
      <c r="D756" s="1" t="s">
        <v>24</v>
      </c>
      <c r="E756" s="1" t="str">
        <f>TRIM(CLEAN(Sheet1[[#This Row],[Category]]))</f>
        <v>Electronics</v>
      </c>
      <c r="F756">
        <v>5</v>
      </c>
      <c r="G756" t="str">
        <f t="shared" si="11"/>
        <v>2. Mid-Market (4-7 Units)</v>
      </c>
      <c r="H756">
        <v>5</v>
      </c>
      <c r="I756">
        <v>327.44</v>
      </c>
      <c r="J756">
        <f>IF(ISBLANK(I756), ROUND(I756/ABS(VALUE(_xlfn.TEXTBEFORE(F756&amp;" ", " "))), 2), ABS(VALUE(SUBSTITUTE(I756, "$", ""))))</f>
        <v>327.44</v>
      </c>
      <c r="K756">
        <f>ROUND(Sheet1[[#This Row],[CleanedUnits_sold]]*Sheet1[[#This Row],[Cleaned_Unit_Price]],2)</f>
        <v>1637.2</v>
      </c>
      <c r="L756">
        <v>1637.2</v>
      </c>
      <c r="M756" s="1" t="s">
        <v>1454</v>
      </c>
      <c r="N756" s="1" t="s">
        <v>26</v>
      </c>
      <c r="O756" s="1" t="s">
        <v>1454</v>
      </c>
    </row>
    <row r="757" spans="1:15" x14ac:dyDescent="0.35">
      <c r="A757" s="1" t="s">
        <v>1455</v>
      </c>
      <c r="B757" s="2">
        <v>1</v>
      </c>
      <c r="C757" s="1" t="s">
        <v>19</v>
      </c>
      <c r="D757" s="1" t="s">
        <v>24</v>
      </c>
      <c r="E757" s="1" t="str">
        <f>TRIM(CLEAN(Sheet1[[#This Row],[Category]]))</f>
        <v>Electronics</v>
      </c>
      <c r="F757">
        <v>3</v>
      </c>
      <c r="G757" t="str">
        <f t="shared" si="11"/>
        <v>1. Retail (1-3 Units)</v>
      </c>
      <c r="H757">
        <v>3</v>
      </c>
      <c r="I757">
        <v>358.92</v>
      </c>
      <c r="J757">
        <f>IF(ISBLANK(I757), ROUND(I757/ABS(VALUE(_xlfn.TEXTBEFORE(F757&amp;" ", " "))), 2), ABS(VALUE(SUBSTITUTE(I757, "$", ""))))</f>
        <v>358.92</v>
      </c>
      <c r="K757">
        <f>ROUND(Sheet1[[#This Row],[CleanedUnits_sold]]*Sheet1[[#This Row],[Cleaned_Unit_Price]],2)</f>
        <v>1076.76</v>
      </c>
      <c r="L757">
        <v>1076.76</v>
      </c>
      <c r="M757" s="1" t="s">
        <v>1456</v>
      </c>
      <c r="N757" s="1" t="s">
        <v>50</v>
      </c>
      <c r="O757" s="1" t="s">
        <v>1456</v>
      </c>
    </row>
    <row r="758" spans="1:15" x14ac:dyDescent="0.35">
      <c r="A758" s="1" t="s">
        <v>1457</v>
      </c>
      <c r="B758" s="2">
        <v>45006</v>
      </c>
      <c r="C758" s="1" t="s">
        <v>11</v>
      </c>
      <c r="D758" s="1" t="s">
        <v>12</v>
      </c>
      <c r="E758" s="1" t="str">
        <f>TRIM(CLEAN(Sheet1[[#This Row],[Category]]))</f>
        <v>Office Supplies</v>
      </c>
      <c r="F758">
        <v>-7</v>
      </c>
      <c r="G758" t="str">
        <f t="shared" si="11"/>
        <v>2. Mid-Market (4-7 Units)</v>
      </c>
      <c r="H758">
        <v>7</v>
      </c>
      <c r="I758">
        <v>97.44</v>
      </c>
      <c r="J758">
        <f>IF(ISBLANK(I758), ROUND(I758/ABS(VALUE(_xlfn.TEXTBEFORE(F758&amp;" ", " "))), 2), ABS(VALUE(SUBSTITUTE(I758, "$", ""))))</f>
        <v>97.44</v>
      </c>
      <c r="K758">
        <f>ROUND(Sheet1[[#This Row],[CleanedUnits_sold]]*Sheet1[[#This Row],[Cleaned_Unit_Price]],2)</f>
        <v>682.08</v>
      </c>
      <c r="L758">
        <v>876.96</v>
      </c>
      <c r="M758" s="1" t="s">
        <v>1458</v>
      </c>
      <c r="N758" s="1" t="s">
        <v>26</v>
      </c>
      <c r="O758" s="1" t="s">
        <v>1458</v>
      </c>
    </row>
    <row r="759" spans="1:15" x14ac:dyDescent="0.35">
      <c r="A759" s="1" t="s">
        <v>1459</v>
      </c>
      <c r="B759" s="2">
        <v>44984</v>
      </c>
      <c r="C759" s="1" t="s">
        <v>16</v>
      </c>
      <c r="D759" s="1" t="s">
        <v>24</v>
      </c>
      <c r="E759" s="1" t="str">
        <f>TRIM(CLEAN(Sheet1[[#This Row],[Category]]))</f>
        <v>Electronics</v>
      </c>
      <c r="F759">
        <v>2</v>
      </c>
      <c r="G759" t="str">
        <f t="shared" si="11"/>
        <v>1. Retail (1-3 Units)</v>
      </c>
      <c r="H759">
        <v>2</v>
      </c>
      <c r="I759">
        <v>49</v>
      </c>
      <c r="J759">
        <f>IF(ISBLANK(I759), ROUND(I759/ABS(VALUE(_xlfn.TEXTBEFORE(F759&amp;" ", " "))), 2), ABS(VALUE(SUBSTITUTE(I759, "$", ""))))</f>
        <v>49</v>
      </c>
      <c r="K759">
        <f>ROUND(Sheet1[[#This Row],[CleanedUnits_sold]]*Sheet1[[#This Row],[Cleaned_Unit_Price]],2)</f>
        <v>98</v>
      </c>
      <c r="L759">
        <v>98</v>
      </c>
      <c r="M759" s="1" t="s">
        <v>1460</v>
      </c>
      <c r="N759" s="1" t="s">
        <v>50</v>
      </c>
      <c r="O759" s="1" t="s">
        <v>1460</v>
      </c>
    </row>
    <row r="760" spans="1:15" x14ac:dyDescent="0.35">
      <c r="A760" s="1" t="s">
        <v>1461</v>
      </c>
      <c r="B760" s="2">
        <v>45141</v>
      </c>
      <c r="C760" s="1" t="s">
        <v>19</v>
      </c>
      <c r="D760" s="1" t="s">
        <v>24</v>
      </c>
      <c r="E760" s="1" t="str">
        <f>TRIM(CLEAN(Sheet1[[#This Row],[Category]]))</f>
        <v>Electronics</v>
      </c>
      <c r="F760">
        <v>8</v>
      </c>
      <c r="G760" t="str">
        <f t="shared" si="11"/>
        <v>3. Wholesale / Bulk (8+ Units)</v>
      </c>
      <c r="H760">
        <v>8</v>
      </c>
      <c r="I760">
        <v>470.79</v>
      </c>
      <c r="J760">
        <f>IF(ISBLANK(I760), ROUND(I760/ABS(VALUE(_xlfn.TEXTBEFORE(F760&amp;" ", " "))), 2), ABS(VALUE(SUBSTITUTE(I760, "$", ""))))</f>
        <v>470.79</v>
      </c>
      <c r="K760">
        <f>ROUND(Sheet1[[#This Row],[CleanedUnits_sold]]*Sheet1[[#This Row],[Cleaned_Unit_Price]],2)</f>
        <v>3766.32</v>
      </c>
      <c r="L760">
        <v>4076.48</v>
      </c>
      <c r="M760" s="1" t="s">
        <v>1462</v>
      </c>
      <c r="N760" s="1" t="s">
        <v>50</v>
      </c>
      <c r="O760" s="1" t="s">
        <v>1462</v>
      </c>
    </row>
    <row r="761" spans="1:15" x14ac:dyDescent="0.35">
      <c r="A761" s="1" t="s">
        <v>1463</v>
      </c>
      <c r="B761" s="2">
        <v>44961</v>
      </c>
      <c r="C761" s="1" t="s">
        <v>16</v>
      </c>
      <c r="D761" s="1" t="s">
        <v>24</v>
      </c>
      <c r="E761" s="1" t="str">
        <f>TRIM(CLEAN(Sheet1[[#This Row],[Category]]))</f>
        <v>Electronics</v>
      </c>
      <c r="F761">
        <v>7</v>
      </c>
      <c r="G761" t="str">
        <f t="shared" si="11"/>
        <v>2. Mid-Market (4-7 Units)</v>
      </c>
      <c r="H761">
        <v>7</v>
      </c>
      <c r="I761">
        <v>137.72999999999999</v>
      </c>
      <c r="J761">
        <f>IF(ISBLANK(I761), ROUND(I761/ABS(VALUE(_xlfn.TEXTBEFORE(F761&amp;" ", " "))), 2), ABS(VALUE(SUBSTITUTE(I761, "$", ""))))</f>
        <v>137.72999999999999</v>
      </c>
      <c r="K761">
        <f>ROUND(Sheet1[[#This Row],[CleanedUnits_sold]]*Sheet1[[#This Row],[Cleaned_Unit_Price]],2)</f>
        <v>964.11</v>
      </c>
      <c r="L761">
        <v>1111.76</v>
      </c>
      <c r="M761" s="1" t="s">
        <v>1464</v>
      </c>
      <c r="N761" s="1" t="s">
        <v>50</v>
      </c>
      <c r="O761" s="1" t="s">
        <v>1464</v>
      </c>
    </row>
    <row r="762" spans="1:15" x14ac:dyDescent="0.35">
      <c r="A762" s="1" t="s">
        <v>1465</v>
      </c>
      <c r="B762" s="2">
        <v>45155</v>
      </c>
      <c r="C762" s="1" t="s">
        <v>19</v>
      </c>
      <c r="D762" s="1" t="s">
        <v>12</v>
      </c>
      <c r="E762" s="1" t="str">
        <f>TRIM(CLEAN(Sheet1[[#This Row],[Category]]))</f>
        <v>Office Supplies</v>
      </c>
      <c r="F762">
        <v>6</v>
      </c>
      <c r="G762" t="str">
        <f t="shared" si="11"/>
        <v>2. Mid-Market (4-7 Units)</v>
      </c>
      <c r="H762">
        <v>6</v>
      </c>
      <c r="I762">
        <v>428.14</v>
      </c>
      <c r="J762">
        <f>IF(ISBLANK(I762), ROUND(I762/ABS(VALUE(_xlfn.TEXTBEFORE(F762&amp;" ", " "))), 2), ABS(VALUE(SUBSTITUTE(I762, "$", ""))))</f>
        <v>428.14</v>
      </c>
      <c r="K762">
        <f>ROUND(Sheet1[[#This Row],[CleanedUnits_sold]]*Sheet1[[#This Row],[Cleaned_Unit_Price]],2)</f>
        <v>2568.84</v>
      </c>
      <c r="M762" s="1" t="s">
        <v>1466</v>
      </c>
      <c r="N762" s="1" t="s">
        <v>26</v>
      </c>
      <c r="O762" s="1" t="s">
        <v>1466</v>
      </c>
    </row>
    <row r="763" spans="1:15" x14ac:dyDescent="0.35">
      <c r="A763" s="1" t="s">
        <v>1467</v>
      </c>
      <c r="B763" s="2">
        <v>44949</v>
      </c>
      <c r="C763" s="1" t="s">
        <v>16</v>
      </c>
      <c r="D763" s="1" t="s">
        <v>24</v>
      </c>
      <c r="E763" s="1" t="str">
        <f>TRIM(CLEAN(Sheet1[[#This Row],[Category]]))</f>
        <v>Electronics</v>
      </c>
      <c r="F763">
        <v>9</v>
      </c>
      <c r="G763" t="str">
        <f t="shared" si="11"/>
        <v>3. Wholesale / Bulk (8+ Units)</v>
      </c>
      <c r="H763">
        <v>9</v>
      </c>
      <c r="I763">
        <v>433.11</v>
      </c>
      <c r="J763">
        <f>IF(ISBLANK(I763), ROUND(I763/ABS(VALUE(_xlfn.TEXTBEFORE(F763&amp;" ", " "))), 2), ABS(VALUE(SUBSTITUTE(I763, "$", ""))))</f>
        <v>433.11</v>
      </c>
      <c r="K763">
        <f>ROUND(Sheet1[[#This Row],[CleanedUnits_sold]]*Sheet1[[#This Row],[Cleaned_Unit_Price]],2)</f>
        <v>3897.99</v>
      </c>
      <c r="M763" s="1" t="s">
        <v>1468</v>
      </c>
      <c r="N763" s="1" t="s">
        <v>50</v>
      </c>
      <c r="O763" s="1" t="s">
        <v>1468</v>
      </c>
    </row>
    <row r="764" spans="1:15" x14ac:dyDescent="0.35">
      <c r="A764" s="1" t="s">
        <v>1469</v>
      </c>
      <c r="B764" s="2">
        <v>45026</v>
      </c>
      <c r="C764" s="1" t="s">
        <v>23</v>
      </c>
      <c r="D764" s="1" t="s">
        <v>24</v>
      </c>
      <c r="E764" s="1" t="str">
        <f>TRIM(CLEAN(Sheet1[[#This Row],[Category]]))</f>
        <v>Electronics</v>
      </c>
      <c r="F764">
        <v>3</v>
      </c>
      <c r="G764" t="str">
        <f t="shared" si="11"/>
        <v>1. Retail (1-3 Units)</v>
      </c>
      <c r="H764">
        <v>3</v>
      </c>
      <c r="I764">
        <v>388.54</v>
      </c>
      <c r="J764">
        <f>IF(ISBLANK(I764), ROUND(I764/ABS(VALUE(_xlfn.TEXTBEFORE(F764&amp;" ", " "))), 2), ABS(VALUE(SUBSTITUTE(I764, "$", ""))))</f>
        <v>388.54</v>
      </c>
      <c r="K764">
        <f>ROUND(Sheet1[[#This Row],[CleanedUnits_sold]]*Sheet1[[#This Row],[Cleaned_Unit_Price]],2)</f>
        <v>1165.6199999999999</v>
      </c>
      <c r="L764">
        <v>1165.6199999999999</v>
      </c>
      <c r="M764" s="1" t="s">
        <v>1470</v>
      </c>
      <c r="N764" s="1" t="s">
        <v>21</v>
      </c>
      <c r="O764" s="1" t="s">
        <v>1470</v>
      </c>
    </row>
    <row r="765" spans="1:15" x14ac:dyDescent="0.35">
      <c r="A765" s="1" t="s">
        <v>1471</v>
      </c>
      <c r="B765" s="2">
        <v>1</v>
      </c>
      <c r="C765" s="1" t="s">
        <v>19</v>
      </c>
      <c r="D765" s="1" t="s">
        <v>12</v>
      </c>
      <c r="E765" s="1" t="str">
        <f>TRIM(CLEAN(Sheet1[[#This Row],[Category]]))</f>
        <v>Office Supplies</v>
      </c>
      <c r="F765">
        <v>6</v>
      </c>
      <c r="G765" t="str">
        <f t="shared" si="11"/>
        <v>2. Mid-Market (4-7 Units)</v>
      </c>
      <c r="H765">
        <v>6</v>
      </c>
      <c r="I765">
        <v>92.73</v>
      </c>
      <c r="J765">
        <f>IF(ISBLANK(I765), ROUND(I765/ABS(VALUE(_xlfn.TEXTBEFORE(F765&amp;" ", " "))), 2), ABS(VALUE(SUBSTITUTE(I765, "$", ""))))</f>
        <v>92.73</v>
      </c>
      <c r="K765">
        <f>ROUND(Sheet1[[#This Row],[CleanedUnits_sold]]*Sheet1[[#This Row],[Cleaned_Unit_Price]],2)</f>
        <v>556.38</v>
      </c>
      <c r="L765">
        <v>556.38</v>
      </c>
      <c r="M765" s="1" t="s">
        <v>84</v>
      </c>
      <c r="N765" s="1" t="s">
        <v>50</v>
      </c>
      <c r="O765" s="1" t="s">
        <v>85</v>
      </c>
    </row>
    <row r="766" spans="1:15" x14ac:dyDescent="0.35">
      <c r="A766" s="1" t="s">
        <v>1472</v>
      </c>
      <c r="B766" s="2">
        <v>1</v>
      </c>
      <c r="C766" s="1" t="s">
        <v>19</v>
      </c>
      <c r="D766" s="1" t="s">
        <v>12</v>
      </c>
      <c r="E766" s="1" t="str">
        <f>TRIM(CLEAN(Sheet1[[#This Row],[Category]]))</f>
        <v>Office Supplies</v>
      </c>
      <c r="F766">
        <v>7</v>
      </c>
      <c r="G766" t="str">
        <f t="shared" si="11"/>
        <v>2. Mid-Market (4-7 Units)</v>
      </c>
      <c r="H766">
        <v>7</v>
      </c>
      <c r="I766">
        <v>412.68</v>
      </c>
      <c r="J766">
        <f>IF(ISBLANK(I766), ROUND(I766/ABS(VALUE(_xlfn.TEXTBEFORE(F766&amp;" ", " "))), 2), ABS(VALUE(SUBSTITUTE(I766, "$", ""))))</f>
        <v>412.68</v>
      </c>
      <c r="K766">
        <f>ROUND(Sheet1[[#This Row],[CleanedUnits_sold]]*Sheet1[[#This Row],[Cleaned_Unit_Price]],2)</f>
        <v>2888.76</v>
      </c>
      <c r="L766">
        <v>2888.76</v>
      </c>
      <c r="M766" s="1" t="s">
        <v>1473</v>
      </c>
      <c r="N766" s="1" t="s">
        <v>14</v>
      </c>
      <c r="O766" s="1" t="s">
        <v>1473</v>
      </c>
    </row>
    <row r="767" spans="1:15" x14ac:dyDescent="0.35">
      <c r="A767" s="1" t="s">
        <v>1474</v>
      </c>
      <c r="B767" s="2">
        <v>45221</v>
      </c>
      <c r="C767" s="1" t="s">
        <v>23</v>
      </c>
      <c r="D767" s="1" t="s">
        <v>12</v>
      </c>
      <c r="E767" s="1" t="str">
        <f>TRIM(CLEAN(Sheet1[[#This Row],[Category]]))</f>
        <v>Office Supplies</v>
      </c>
      <c r="F767">
        <v>7</v>
      </c>
      <c r="G767" t="str">
        <f t="shared" si="11"/>
        <v>2. Mid-Market (4-7 Units)</v>
      </c>
      <c r="H767">
        <v>7</v>
      </c>
      <c r="I767">
        <v>386.93</v>
      </c>
      <c r="J767">
        <f>IF(ISBLANK(I767), ROUND(I767/ABS(VALUE(_xlfn.TEXTBEFORE(F767&amp;" ", " "))), 2), ABS(VALUE(SUBSTITUTE(I767, "$", ""))))</f>
        <v>386.93</v>
      </c>
      <c r="K767">
        <f>ROUND(Sheet1[[#This Row],[CleanedUnits_sold]]*Sheet1[[#This Row],[Cleaned_Unit_Price]],2)</f>
        <v>2708.51</v>
      </c>
      <c r="L767">
        <v>2854.82</v>
      </c>
      <c r="M767" s="1" t="s">
        <v>1475</v>
      </c>
      <c r="N767" s="1" t="s">
        <v>14</v>
      </c>
      <c r="O767" s="1" t="s">
        <v>1475</v>
      </c>
    </row>
    <row r="768" spans="1:15" x14ac:dyDescent="0.35">
      <c r="A768" s="1" t="s">
        <v>1476</v>
      </c>
      <c r="B768" s="2">
        <v>45271</v>
      </c>
      <c r="C768" s="1" t="s">
        <v>16</v>
      </c>
      <c r="D768" s="1" t="s">
        <v>32</v>
      </c>
      <c r="E768" s="1" t="str">
        <f>TRIM(CLEAN(Sheet1[[#This Row],[Category]]))</f>
        <v>Furniture</v>
      </c>
      <c r="F768">
        <v>5</v>
      </c>
      <c r="G768" t="str">
        <f t="shared" si="11"/>
        <v>2. Mid-Market (4-7 Units)</v>
      </c>
      <c r="H768">
        <v>5</v>
      </c>
      <c r="I768">
        <v>302.39</v>
      </c>
      <c r="J768">
        <f>IF(ISBLANK(I768), ROUND(I768/ABS(VALUE(_xlfn.TEXTBEFORE(F768&amp;" ", " "))), 2), ABS(VALUE(SUBSTITUTE(I768, "$", ""))))</f>
        <v>302.39</v>
      </c>
      <c r="K768">
        <f>ROUND(Sheet1[[#This Row],[CleanedUnits_sold]]*Sheet1[[#This Row],[Cleaned_Unit_Price]],2)</f>
        <v>1511.95</v>
      </c>
      <c r="L768">
        <v>1511.95</v>
      </c>
      <c r="M768" s="1" t="s">
        <v>1477</v>
      </c>
      <c r="N768" s="1" t="s">
        <v>50</v>
      </c>
      <c r="O768" s="1" t="s">
        <v>1477</v>
      </c>
    </row>
    <row r="769" spans="1:15" x14ac:dyDescent="0.35">
      <c r="A769" s="1" t="s">
        <v>1478</v>
      </c>
      <c r="B769" s="2">
        <v>1</v>
      </c>
      <c r="C769" s="1" t="s">
        <v>23</v>
      </c>
      <c r="D769" s="1" t="s">
        <v>12</v>
      </c>
      <c r="E769" s="1" t="str">
        <f>TRIM(CLEAN(Sheet1[[#This Row],[Category]]))</f>
        <v>Office Supplies</v>
      </c>
      <c r="F769">
        <v>5</v>
      </c>
      <c r="G769" t="str">
        <f t="shared" si="11"/>
        <v>2. Mid-Market (4-7 Units)</v>
      </c>
      <c r="H769">
        <v>5</v>
      </c>
      <c r="I769">
        <v>175.23</v>
      </c>
      <c r="J769">
        <f>IF(ISBLANK(I769), ROUND(I769/ABS(VALUE(_xlfn.TEXTBEFORE(F769&amp;" ", " "))), 2), ABS(VALUE(SUBSTITUTE(I769, "$", ""))))</f>
        <v>175.23</v>
      </c>
      <c r="K769">
        <f>ROUND(Sheet1[[#This Row],[CleanedUnits_sold]]*Sheet1[[#This Row],[Cleaned_Unit_Price]],2)</f>
        <v>876.15</v>
      </c>
      <c r="L769">
        <v>876.15</v>
      </c>
      <c r="M769" s="1" t="s">
        <v>1479</v>
      </c>
      <c r="N769" s="1" t="s">
        <v>26</v>
      </c>
      <c r="O769" s="1" t="s">
        <v>1479</v>
      </c>
    </row>
    <row r="770" spans="1:15" x14ac:dyDescent="0.35">
      <c r="A770" s="1" t="s">
        <v>1480</v>
      </c>
      <c r="B770" s="2">
        <v>45067</v>
      </c>
      <c r="C770" s="1" t="s">
        <v>11</v>
      </c>
      <c r="D770" s="1" t="s">
        <v>32</v>
      </c>
      <c r="E770" s="1" t="str">
        <f>TRIM(CLEAN(Sheet1[[#This Row],[Category]]))</f>
        <v>Furniture</v>
      </c>
      <c r="F770">
        <v>1</v>
      </c>
      <c r="G770" t="str">
        <f t="shared" ref="G770:G833" si="12">IF(H770=0, "Non-Billable / Zero", IF(H770&lt;=3, "1. Retail (1-3 Units)", IF(H770&lt;=7, "2. Mid-Market (4-7 Units)", "3. Wholesale / Bulk (8+ Units)")))</f>
        <v>1. Retail (1-3 Units)</v>
      </c>
      <c r="H770">
        <v>1</v>
      </c>
      <c r="I770">
        <v>138.63</v>
      </c>
      <c r="J770">
        <f>IF(ISBLANK(I770), ROUND(I770/ABS(VALUE(_xlfn.TEXTBEFORE(F770&amp;" ", " "))), 2), ABS(VALUE(SUBSTITUTE(I770, "$", ""))))</f>
        <v>138.63</v>
      </c>
      <c r="K770">
        <f>ROUND(Sheet1[[#This Row],[CleanedUnits_sold]]*Sheet1[[#This Row],[Cleaned_Unit_Price]],2)</f>
        <v>138.63</v>
      </c>
      <c r="L770">
        <v>138.63</v>
      </c>
      <c r="M770" s="1" t="s">
        <v>1481</v>
      </c>
      <c r="N770" s="1" t="s">
        <v>21</v>
      </c>
      <c r="O770" s="1" t="s">
        <v>1481</v>
      </c>
    </row>
    <row r="771" spans="1:15" x14ac:dyDescent="0.35">
      <c r="A771" s="1" t="s">
        <v>1482</v>
      </c>
      <c r="B771" s="2">
        <v>1</v>
      </c>
      <c r="C771" s="1" t="s">
        <v>11</v>
      </c>
      <c r="D771" s="1" t="s">
        <v>24</v>
      </c>
      <c r="E771" s="1" t="str">
        <f>TRIM(CLEAN(Sheet1[[#This Row],[Category]]))</f>
        <v>Electronics</v>
      </c>
      <c r="F771">
        <v>7</v>
      </c>
      <c r="G771" t="str">
        <f t="shared" si="12"/>
        <v>2. Mid-Market (4-7 Units)</v>
      </c>
      <c r="H771">
        <v>7</v>
      </c>
      <c r="I771">
        <v>69.73</v>
      </c>
      <c r="J771">
        <f>IF(ISBLANK(I771), ROUND(I771/ABS(VALUE(_xlfn.TEXTBEFORE(F771&amp;" ", " "))), 2), ABS(VALUE(SUBSTITUTE(I771, "$", ""))))</f>
        <v>69.73</v>
      </c>
      <c r="K771">
        <f>ROUND(Sheet1[[#This Row],[CleanedUnits_sold]]*Sheet1[[#This Row],[Cleaned_Unit_Price]],2)</f>
        <v>488.11</v>
      </c>
      <c r="L771">
        <v>488.11</v>
      </c>
      <c r="M771" s="1" t="s">
        <v>1483</v>
      </c>
      <c r="N771" s="1" t="s">
        <v>14</v>
      </c>
      <c r="O771" s="1" t="s">
        <v>1483</v>
      </c>
    </row>
    <row r="772" spans="1:15" x14ac:dyDescent="0.35">
      <c r="A772" s="1" t="s">
        <v>1484</v>
      </c>
      <c r="B772" s="2">
        <v>45145</v>
      </c>
      <c r="C772" s="1" t="s">
        <v>23</v>
      </c>
      <c r="D772" s="1" t="s">
        <v>46</v>
      </c>
      <c r="E772" s="1" t="str">
        <f>TRIM(CLEAN(Sheet1[[#This Row],[Category]]))</f>
        <v>Furniture</v>
      </c>
      <c r="F772">
        <v>4</v>
      </c>
      <c r="G772" t="str">
        <f t="shared" si="12"/>
        <v>2. Mid-Market (4-7 Units)</v>
      </c>
      <c r="H772">
        <v>4</v>
      </c>
      <c r="I772">
        <v>259.77999999999997</v>
      </c>
      <c r="J772">
        <f>IF(ISBLANK(I772), ROUND(I772/ABS(VALUE(_xlfn.TEXTBEFORE(F772&amp;" ", " "))), 2), ABS(VALUE(SUBSTITUTE(I772, "$", ""))))</f>
        <v>259.77999999999997</v>
      </c>
      <c r="K772">
        <f>ROUND(Sheet1[[#This Row],[CleanedUnits_sold]]*Sheet1[[#This Row],[Cleaned_Unit_Price]],2)</f>
        <v>1039.1199999999999</v>
      </c>
      <c r="L772">
        <v>1039.1199999999999</v>
      </c>
      <c r="M772" s="1" t="s">
        <v>1485</v>
      </c>
      <c r="N772" s="1" t="s">
        <v>14</v>
      </c>
      <c r="O772" s="1" t="s">
        <v>1485</v>
      </c>
    </row>
    <row r="773" spans="1:15" x14ac:dyDescent="0.35">
      <c r="A773" s="1" t="s">
        <v>1486</v>
      </c>
      <c r="B773" s="2">
        <v>1</v>
      </c>
      <c r="C773" s="1" t="s">
        <v>23</v>
      </c>
      <c r="D773" s="1" t="s">
        <v>24</v>
      </c>
      <c r="E773" s="1" t="str">
        <f>TRIM(CLEAN(Sheet1[[#This Row],[Category]]))</f>
        <v>Electronics</v>
      </c>
      <c r="F773">
        <v>7</v>
      </c>
      <c r="G773" t="str">
        <f t="shared" si="12"/>
        <v>2. Mid-Market (4-7 Units)</v>
      </c>
      <c r="H773">
        <v>7</v>
      </c>
      <c r="I773">
        <v>296.77999999999997</v>
      </c>
      <c r="J773">
        <f>IF(ISBLANK(I773), ROUND(I773/ABS(VALUE(_xlfn.TEXTBEFORE(F773&amp;" ", " "))), 2), ABS(VALUE(SUBSTITUTE(I773, "$", ""))))</f>
        <v>296.77999999999997</v>
      </c>
      <c r="K773">
        <f>ROUND(Sheet1[[#This Row],[CleanedUnits_sold]]*Sheet1[[#This Row],[Cleaned_Unit_Price]],2)</f>
        <v>2077.46</v>
      </c>
      <c r="L773">
        <v>2077.46</v>
      </c>
      <c r="M773" s="1" t="s">
        <v>1487</v>
      </c>
      <c r="N773" s="1" t="s">
        <v>21</v>
      </c>
      <c r="O773" s="1" t="s">
        <v>1487</v>
      </c>
    </row>
    <row r="774" spans="1:15" x14ac:dyDescent="0.35">
      <c r="A774" s="1" t="s">
        <v>1488</v>
      </c>
      <c r="B774" s="2">
        <v>45256</v>
      </c>
      <c r="C774" s="1" t="s">
        <v>23</v>
      </c>
      <c r="D774" s="1" t="s">
        <v>24</v>
      </c>
      <c r="E774" s="1" t="str">
        <f>TRIM(CLEAN(Sheet1[[#This Row],[Category]]))</f>
        <v>Electronics</v>
      </c>
      <c r="F774">
        <v>5</v>
      </c>
      <c r="G774" t="str">
        <f t="shared" si="12"/>
        <v>2. Mid-Market (4-7 Units)</v>
      </c>
      <c r="H774">
        <v>5</v>
      </c>
      <c r="I774">
        <v>186.08</v>
      </c>
      <c r="J774">
        <f>IF(ISBLANK(I774), ROUND(I774/ABS(VALUE(_xlfn.TEXTBEFORE(F774&amp;" ", " "))), 2), ABS(VALUE(SUBSTITUTE(I774, "$", ""))))</f>
        <v>186.08</v>
      </c>
      <c r="K774">
        <f>ROUND(Sheet1[[#This Row],[CleanedUnits_sold]]*Sheet1[[#This Row],[Cleaned_Unit_Price]],2)</f>
        <v>930.4</v>
      </c>
      <c r="L774">
        <v>930.4</v>
      </c>
      <c r="M774" s="1" t="s">
        <v>1489</v>
      </c>
      <c r="N774" s="1" t="s">
        <v>38</v>
      </c>
      <c r="O774" s="1" t="s">
        <v>1489</v>
      </c>
    </row>
    <row r="775" spans="1:15" x14ac:dyDescent="0.35">
      <c r="A775" s="1" t="s">
        <v>1490</v>
      </c>
      <c r="B775" s="2">
        <v>45080</v>
      </c>
      <c r="C775" s="1" t="s">
        <v>11</v>
      </c>
      <c r="D775" s="1" t="s">
        <v>24</v>
      </c>
      <c r="E775" s="1" t="str">
        <f>TRIM(CLEAN(Sheet1[[#This Row],[Category]]))</f>
        <v>Electronics</v>
      </c>
      <c r="G775" t="str">
        <f t="shared" si="12"/>
        <v>1. Retail (1-3 Units)</v>
      </c>
      <c r="H775">
        <v>3</v>
      </c>
      <c r="I775">
        <v>188.12</v>
      </c>
      <c r="J775">
        <f>IF(ISBLANK(I775), ROUND(I775/ABS(VALUE(_xlfn.TEXTBEFORE(F775&amp;" ", " "))), 2), ABS(VALUE(SUBSTITUTE(I775, "$", ""))))</f>
        <v>188.12</v>
      </c>
      <c r="K775">
        <f>ROUND(Sheet1[[#This Row],[CleanedUnits_sold]]*Sheet1[[#This Row],[Cleaned_Unit_Price]],2)</f>
        <v>564.36</v>
      </c>
      <c r="L775">
        <v>564.36</v>
      </c>
      <c r="M775" s="1" t="s">
        <v>1491</v>
      </c>
      <c r="N775" s="1" t="s">
        <v>50</v>
      </c>
      <c r="O775" s="1" t="s">
        <v>1491</v>
      </c>
    </row>
    <row r="776" spans="1:15" x14ac:dyDescent="0.35">
      <c r="A776" s="1" t="s">
        <v>1492</v>
      </c>
      <c r="B776" s="2">
        <v>45202</v>
      </c>
      <c r="C776" s="1" t="s">
        <v>58</v>
      </c>
      <c r="D776" s="1" t="s">
        <v>32</v>
      </c>
      <c r="E776" s="1" t="str">
        <f>TRIM(CLEAN(Sheet1[[#This Row],[Category]]))</f>
        <v>Furniture</v>
      </c>
      <c r="F776">
        <v>5</v>
      </c>
      <c r="G776" t="str">
        <f t="shared" si="12"/>
        <v>2. Mid-Market (4-7 Units)</v>
      </c>
      <c r="H776">
        <v>5</v>
      </c>
      <c r="I776">
        <v>324.08999999999997</v>
      </c>
      <c r="J776">
        <f>IF(ISBLANK(I776), ROUND(I776/ABS(VALUE(_xlfn.TEXTBEFORE(F776&amp;" ", " "))), 2), ABS(VALUE(SUBSTITUTE(I776, "$", ""))))</f>
        <v>324.08999999999997</v>
      </c>
      <c r="K776">
        <f>ROUND(Sheet1[[#This Row],[CleanedUnits_sold]]*Sheet1[[#This Row],[Cleaned_Unit_Price]],2)</f>
        <v>1620.45</v>
      </c>
      <c r="L776">
        <v>1620.45</v>
      </c>
      <c r="M776" s="1" t="s">
        <v>1493</v>
      </c>
      <c r="N776" s="1" t="s">
        <v>14</v>
      </c>
      <c r="O776" s="1" t="s">
        <v>1493</v>
      </c>
    </row>
    <row r="777" spans="1:15" x14ac:dyDescent="0.35">
      <c r="A777" s="1" t="s">
        <v>1494</v>
      </c>
      <c r="B777" s="2">
        <v>45042</v>
      </c>
      <c r="C777" s="1" t="s">
        <v>19</v>
      </c>
      <c r="D777" s="1" t="s">
        <v>46</v>
      </c>
      <c r="E777" s="1" t="str">
        <f>TRIM(CLEAN(Sheet1[[#This Row],[Category]]))</f>
        <v>Furniture</v>
      </c>
      <c r="F777">
        <v>9999</v>
      </c>
      <c r="G777" t="str">
        <f t="shared" si="12"/>
        <v>2. Mid-Market (4-7 Units)</v>
      </c>
      <c r="H777">
        <v>5</v>
      </c>
      <c r="I777">
        <v>451.62</v>
      </c>
      <c r="J777">
        <f>IF(ISBLANK(I777), ROUND(I777/ABS(VALUE(_xlfn.TEXTBEFORE(F777&amp;" ", " "))), 2), ABS(VALUE(SUBSTITUTE(I777, "$", ""))))</f>
        <v>451.62</v>
      </c>
      <c r="K777">
        <f>ROUND(Sheet1[[#This Row],[CleanedUnits_sold]]*Sheet1[[#This Row],[Cleaned_Unit_Price]],2)</f>
        <v>2258.1</v>
      </c>
      <c r="L777">
        <v>2258.1</v>
      </c>
      <c r="M777" s="1" t="s">
        <v>1495</v>
      </c>
      <c r="N777" s="1" t="s">
        <v>26</v>
      </c>
      <c r="O777" s="1" t="s">
        <v>1495</v>
      </c>
    </row>
    <row r="778" spans="1:15" x14ac:dyDescent="0.35">
      <c r="A778" s="1" t="s">
        <v>1496</v>
      </c>
      <c r="B778" s="2">
        <v>45000</v>
      </c>
      <c r="C778" s="1" t="s">
        <v>19</v>
      </c>
      <c r="D778" s="1" t="s">
        <v>46</v>
      </c>
      <c r="E778" s="1" t="str">
        <f>TRIM(CLEAN(Sheet1[[#This Row],[Category]]))</f>
        <v>Furniture</v>
      </c>
      <c r="F778">
        <v>4</v>
      </c>
      <c r="G778" t="str">
        <f t="shared" si="12"/>
        <v>2. Mid-Market (4-7 Units)</v>
      </c>
      <c r="H778">
        <v>4</v>
      </c>
      <c r="I778">
        <v>90.32</v>
      </c>
      <c r="J778">
        <f>IF(ISBLANK(I778), ROUND(I778/ABS(VALUE(_xlfn.TEXTBEFORE(F778&amp;" ", " "))), 2), ABS(VALUE(SUBSTITUTE(I778, "$", ""))))</f>
        <v>90.32</v>
      </c>
      <c r="K778">
        <f>ROUND(Sheet1[[#This Row],[CleanedUnits_sold]]*Sheet1[[#This Row],[Cleaned_Unit_Price]],2)</f>
        <v>361.28</v>
      </c>
      <c r="L778">
        <v>361.28</v>
      </c>
      <c r="M778" s="1" t="s">
        <v>1497</v>
      </c>
      <c r="N778" s="1" t="s">
        <v>50</v>
      </c>
      <c r="O778" s="1" t="s">
        <v>1497</v>
      </c>
    </row>
    <row r="779" spans="1:15" x14ac:dyDescent="0.35">
      <c r="A779" s="1" t="s">
        <v>1498</v>
      </c>
      <c r="B779" s="2">
        <v>45214</v>
      </c>
      <c r="C779" s="1" t="s">
        <v>19</v>
      </c>
      <c r="D779" s="1" t="s">
        <v>46</v>
      </c>
      <c r="E779" s="1" t="str">
        <f>TRIM(CLEAN(Sheet1[[#This Row],[Category]]))</f>
        <v>Furniture</v>
      </c>
      <c r="F779">
        <v>5</v>
      </c>
      <c r="G779" t="str">
        <f t="shared" si="12"/>
        <v>2. Mid-Market (4-7 Units)</v>
      </c>
      <c r="H779">
        <v>5</v>
      </c>
      <c r="I779">
        <v>196.89</v>
      </c>
      <c r="J779">
        <f>IF(ISBLANK(I779), ROUND(I779/ABS(VALUE(_xlfn.TEXTBEFORE(F779&amp;" ", " "))), 2), ABS(VALUE(SUBSTITUTE(I779, "$", ""))))</f>
        <v>196.89</v>
      </c>
      <c r="K779">
        <f>ROUND(Sheet1[[#This Row],[CleanedUnits_sold]]*Sheet1[[#This Row],[Cleaned_Unit_Price]],2)</f>
        <v>984.45</v>
      </c>
      <c r="L779">
        <v>590.66999999999996</v>
      </c>
      <c r="M779" s="1" t="s">
        <v>1499</v>
      </c>
      <c r="N779" s="1" t="s">
        <v>21</v>
      </c>
      <c r="O779" s="1" t="s">
        <v>1499</v>
      </c>
    </row>
    <row r="780" spans="1:15" x14ac:dyDescent="0.35">
      <c r="A780" s="1" t="s">
        <v>1500</v>
      </c>
      <c r="B780" s="2">
        <v>1</v>
      </c>
      <c r="C780" s="1" t="s">
        <v>16</v>
      </c>
      <c r="D780" s="1" t="s">
        <v>24</v>
      </c>
      <c r="E780" s="1" t="str">
        <f>TRIM(CLEAN(Sheet1[[#This Row],[Category]]))</f>
        <v>Electronics</v>
      </c>
      <c r="F780">
        <v>-6</v>
      </c>
      <c r="G780" t="str">
        <f t="shared" si="12"/>
        <v>2. Mid-Market (4-7 Units)</v>
      </c>
      <c r="H780">
        <v>6</v>
      </c>
      <c r="I780">
        <v>79.03</v>
      </c>
      <c r="J780">
        <f>IF(ISBLANK(I780), ROUND(I780/ABS(VALUE(_xlfn.TEXTBEFORE(F780&amp;" ", " "))), 2), ABS(VALUE(SUBSTITUTE(I780, "$", ""))))</f>
        <v>79.03</v>
      </c>
      <c r="K780">
        <f>ROUND(Sheet1[[#This Row],[CleanedUnits_sold]]*Sheet1[[#This Row],[Cleaned_Unit_Price]],2)</f>
        <v>474.18</v>
      </c>
      <c r="L780">
        <v>237.09</v>
      </c>
      <c r="M780" s="1" t="s">
        <v>1501</v>
      </c>
      <c r="N780" s="1" t="s">
        <v>26</v>
      </c>
      <c r="O780" s="1" t="s">
        <v>1501</v>
      </c>
    </row>
    <row r="781" spans="1:15" x14ac:dyDescent="0.35">
      <c r="A781" s="1" t="s">
        <v>1502</v>
      </c>
      <c r="B781" s="2">
        <v>45235</v>
      </c>
      <c r="C781" s="1" t="s">
        <v>16</v>
      </c>
      <c r="D781" s="1" t="s">
        <v>12</v>
      </c>
      <c r="E781" s="1" t="str">
        <f>TRIM(CLEAN(Sheet1[[#This Row],[Category]]))</f>
        <v>Office Supplies</v>
      </c>
      <c r="F781">
        <v>5</v>
      </c>
      <c r="G781" t="str">
        <f t="shared" si="12"/>
        <v>2. Mid-Market (4-7 Units)</v>
      </c>
      <c r="H781">
        <v>5</v>
      </c>
      <c r="I781">
        <v>316.22000000000003</v>
      </c>
      <c r="J781">
        <f>IF(ISBLANK(I781), ROUND(I781/ABS(VALUE(_xlfn.TEXTBEFORE(F781&amp;" ", " "))), 2), ABS(VALUE(SUBSTITUTE(I781, "$", ""))))</f>
        <v>316.22000000000003</v>
      </c>
      <c r="K781">
        <f>ROUND(Sheet1[[#This Row],[CleanedUnits_sold]]*Sheet1[[#This Row],[Cleaned_Unit_Price]],2)</f>
        <v>1581.1</v>
      </c>
      <c r="L781">
        <v>1581.1</v>
      </c>
      <c r="M781" s="1" t="s">
        <v>1503</v>
      </c>
      <c r="N781" s="1" t="s">
        <v>38</v>
      </c>
      <c r="O781" s="1" t="s">
        <v>1503</v>
      </c>
    </row>
    <row r="782" spans="1:15" x14ac:dyDescent="0.35">
      <c r="A782" s="1" t="s">
        <v>1504</v>
      </c>
      <c r="B782" s="2">
        <v>44967</v>
      </c>
      <c r="C782" s="1" t="s">
        <v>23</v>
      </c>
      <c r="D782" s="1" t="s">
        <v>24</v>
      </c>
      <c r="E782" s="1" t="str">
        <f>TRIM(CLEAN(Sheet1[[#This Row],[Category]]))</f>
        <v>Electronics</v>
      </c>
      <c r="F782">
        <v>10</v>
      </c>
      <c r="G782" t="str">
        <f t="shared" si="12"/>
        <v>3. Wholesale / Bulk (8+ Units)</v>
      </c>
      <c r="H782">
        <v>10</v>
      </c>
      <c r="I782">
        <v>367.15</v>
      </c>
      <c r="J782">
        <f>IF(ISBLANK(I782), ROUND(I782/ABS(VALUE(_xlfn.TEXTBEFORE(F782&amp;" ", " "))), 2), ABS(VALUE(SUBSTITUTE(I782, "$", ""))))</f>
        <v>367.15</v>
      </c>
      <c r="K782">
        <f>ROUND(Sheet1[[#This Row],[CleanedUnits_sold]]*Sheet1[[#This Row],[Cleaned_Unit_Price]],2)</f>
        <v>3671.5</v>
      </c>
      <c r="L782">
        <v>3671.5</v>
      </c>
      <c r="M782" s="1" t="s">
        <v>1505</v>
      </c>
      <c r="N782" s="1" t="s">
        <v>26</v>
      </c>
      <c r="O782" s="1" t="s">
        <v>1505</v>
      </c>
    </row>
    <row r="783" spans="1:15" x14ac:dyDescent="0.35">
      <c r="A783" s="1" t="s">
        <v>1506</v>
      </c>
      <c r="B783" s="2">
        <v>1</v>
      </c>
      <c r="C783" s="1" t="s">
        <v>19</v>
      </c>
      <c r="D783" s="1" t="s">
        <v>12</v>
      </c>
      <c r="E783" s="1" t="str">
        <f>TRIM(CLEAN(Sheet1[[#This Row],[Category]]))</f>
        <v>Office Supplies</v>
      </c>
      <c r="F783">
        <v>2</v>
      </c>
      <c r="G783" t="str">
        <f t="shared" si="12"/>
        <v>1. Retail (1-3 Units)</v>
      </c>
      <c r="H783">
        <v>2</v>
      </c>
      <c r="I783">
        <v>466.64</v>
      </c>
      <c r="J783">
        <f>IF(ISBLANK(I783), ROUND(I783/ABS(VALUE(_xlfn.TEXTBEFORE(F783&amp;" ", " "))), 2), ABS(VALUE(SUBSTITUTE(I783, "$", ""))))</f>
        <v>466.64</v>
      </c>
      <c r="K783">
        <f>ROUND(Sheet1[[#This Row],[CleanedUnits_sold]]*Sheet1[[#This Row],[Cleaned_Unit_Price]],2)</f>
        <v>933.28</v>
      </c>
      <c r="L783">
        <v>933.28</v>
      </c>
      <c r="M783" s="1" t="s">
        <v>1507</v>
      </c>
      <c r="N783" s="1" t="s">
        <v>14</v>
      </c>
      <c r="O783" s="1" t="s">
        <v>1507</v>
      </c>
    </row>
    <row r="784" spans="1:15" x14ac:dyDescent="0.35">
      <c r="A784" s="1" t="s">
        <v>1508</v>
      </c>
      <c r="B784" s="2">
        <v>1</v>
      </c>
      <c r="C784" s="1" t="s">
        <v>11</v>
      </c>
      <c r="D784" s="1" t="s">
        <v>24</v>
      </c>
      <c r="E784" s="1" t="str">
        <f>TRIM(CLEAN(Sheet1[[#This Row],[Category]]))</f>
        <v>Electronics</v>
      </c>
      <c r="F784">
        <v>5</v>
      </c>
      <c r="G784" t="str">
        <f t="shared" si="12"/>
        <v>2. Mid-Market (4-7 Units)</v>
      </c>
      <c r="H784">
        <v>5</v>
      </c>
      <c r="I784">
        <v>146.65</v>
      </c>
      <c r="J784">
        <f>IF(ISBLANK(I784), ROUND(I784/ABS(VALUE(_xlfn.TEXTBEFORE(F784&amp;" ", " "))), 2), ABS(VALUE(SUBSTITUTE(I784, "$", ""))))</f>
        <v>146.65</v>
      </c>
      <c r="K784">
        <f>ROUND(Sheet1[[#This Row],[CleanedUnits_sold]]*Sheet1[[#This Row],[Cleaned_Unit_Price]],2)</f>
        <v>733.25</v>
      </c>
      <c r="M784" s="1" t="s">
        <v>1509</v>
      </c>
      <c r="N784" s="1" t="s">
        <v>38</v>
      </c>
      <c r="O784" s="1" t="s">
        <v>1509</v>
      </c>
    </row>
    <row r="785" spans="1:15" x14ac:dyDescent="0.35">
      <c r="A785" s="1" t="s">
        <v>1510</v>
      </c>
      <c r="B785" s="2">
        <v>45236</v>
      </c>
      <c r="C785" s="1" t="s">
        <v>58</v>
      </c>
      <c r="D785" s="1" t="s">
        <v>12</v>
      </c>
      <c r="E785" s="1" t="str">
        <f>TRIM(CLEAN(Sheet1[[#This Row],[Category]]))</f>
        <v>Office Supplies</v>
      </c>
      <c r="F785">
        <v>3</v>
      </c>
      <c r="G785" t="str">
        <f t="shared" si="12"/>
        <v>1. Retail (1-3 Units)</v>
      </c>
      <c r="H785">
        <v>3</v>
      </c>
      <c r="I785">
        <v>475.6</v>
      </c>
      <c r="J785">
        <f>IF(ISBLANK(I785), ROUND(I785/ABS(VALUE(_xlfn.TEXTBEFORE(F785&amp;" ", " "))), 2), ABS(VALUE(SUBSTITUTE(I785, "$", ""))))</f>
        <v>475.6</v>
      </c>
      <c r="K785">
        <f>ROUND(Sheet1[[#This Row],[CleanedUnits_sold]]*Sheet1[[#This Row],[Cleaned_Unit_Price]],2)</f>
        <v>1426.8</v>
      </c>
      <c r="L785">
        <v>1426.8</v>
      </c>
      <c r="M785" s="1" t="s">
        <v>1511</v>
      </c>
      <c r="N785" s="1" t="s">
        <v>38</v>
      </c>
      <c r="O785" s="1" t="s">
        <v>1511</v>
      </c>
    </row>
    <row r="786" spans="1:15" x14ac:dyDescent="0.35">
      <c r="A786" s="1" t="s">
        <v>1512</v>
      </c>
      <c r="B786" s="2">
        <v>45111</v>
      </c>
      <c r="C786" s="1" t="s">
        <v>58</v>
      </c>
      <c r="D786" s="1" t="s">
        <v>12</v>
      </c>
      <c r="E786" s="1" t="str">
        <f>TRIM(CLEAN(Sheet1[[#This Row],[Category]]))</f>
        <v>Office Supplies</v>
      </c>
      <c r="F786">
        <v>9999</v>
      </c>
      <c r="G786" t="str">
        <f t="shared" si="12"/>
        <v>2. Mid-Market (4-7 Units)</v>
      </c>
      <c r="H786">
        <v>5</v>
      </c>
      <c r="I786">
        <v>41</v>
      </c>
      <c r="J786">
        <f>IF(ISBLANK(I786), ROUND(I786/ABS(VALUE(_xlfn.TEXTBEFORE(F786&amp;" ", " "))), 2), ABS(VALUE(SUBSTITUTE(I786, "$", ""))))</f>
        <v>41</v>
      </c>
      <c r="K786">
        <f>ROUND(Sheet1[[#This Row],[CleanedUnits_sold]]*Sheet1[[#This Row],[Cleaned_Unit_Price]],2)</f>
        <v>205</v>
      </c>
      <c r="L786">
        <v>361.65</v>
      </c>
      <c r="M786" s="1" t="s">
        <v>1513</v>
      </c>
      <c r="N786" s="1" t="s">
        <v>38</v>
      </c>
      <c r="O786" s="1" t="s">
        <v>1513</v>
      </c>
    </row>
    <row r="787" spans="1:15" x14ac:dyDescent="0.35">
      <c r="A787" s="1" t="s">
        <v>1514</v>
      </c>
      <c r="B787" s="2">
        <v>45097</v>
      </c>
      <c r="C787" s="1" t="s">
        <v>11</v>
      </c>
      <c r="D787" s="1" t="s">
        <v>24</v>
      </c>
      <c r="E787" s="1" t="str">
        <f>TRIM(CLEAN(Sheet1[[#This Row],[Category]]))</f>
        <v>Electronics</v>
      </c>
      <c r="G787" t="str">
        <f t="shared" si="12"/>
        <v>2. Mid-Market (4-7 Units)</v>
      </c>
      <c r="H787">
        <v>6</v>
      </c>
      <c r="I787">
        <v>305.48</v>
      </c>
      <c r="J787">
        <f>IF(ISBLANK(I787), ROUND(I787/ABS(VALUE(_xlfn.TEXTBEFORE(F787&amp;" ", " "))), 2), ABS(VALUE(SUBSTITUTE(I787, "$", ""))))</f>
        <v>305.48</v>
      </c>
      <c r="K787">
        <f>ROUND(Sheet1[[#This Row],[CleanedUnits_sold]]*Sheet1[[#This Row],[Cleaned_Unit_Price]],2)</f>
        <v>1832.88</v>
      </c>
      <c r="L787">
        <v>1832.88</v>
      </c>
      <c r="M787" s="1" t="s">
        <v>1515</v>
      </c>
      <c r="N787" s="1" t="s">
        <v>50</v>
      </c>
      <c r="O787" s="1" t="s">
        <v>1515</v>
      </c>
    </row>
    <row r="788" spans="1:15" x14ac:dyDescent="0.35">
      <c r="A788" s="1" t="s">
        <v>1516</v>
      </c>
      <c r="B788" s="2">
        <v>45139</v>
      </c>
      <c r="C788" s="1" t="s">
        <v>16</v>
      </c>
      <c r="D788" s="1" t="s">
        <v>12</v>
      </c>
      <c r="E788" s="1" t="str">
        <f>TRIM(CLEAN(Sheet1[[#This Row],[Category]]))</f>
        <v>Office Supplies</v>
      </c>
      <c r="F788">
        <v>3</v>
      </c>
      <c r="G788" t="str">
        <f t="shared" si="12"/>
        <v>1. Retail (1-3 Units)</v>
      </c>
      <c r="H788">
        <v>3</v>
      </c>
      <c r="I788">
        <v>38</v>
      </c>
      <c r="J788">
        <f>IF(ISBLANK(I788), ROUND(I788/ABS(VALUE(_xlfn.TEXTBEFORE(F788&amp;" ", " "))), 2), ABS(VALUE(SUBSTITUTE(I788, "$", ""))))</f>
        <v>38</v>
      </c>
      <c r="K788">
        <f>ROUND(Sheet1[[#This Row],[CleanedUnits_sold]]*Sheet1[[#This Row],[Cleaned_Unit_Price]],2)</f>
        <v>114</v>
      </c>
      <c r="L788">
        <v>114</v>
      </c>
      <c r="M788" s="1" t="s">
        <v>49</v>
      </c>
      <c r="N788" s="1" t="s">
        <v>14</v>
      </c>
      <c r="O788" s="1" t="s">
        <v>51</v>
      </c>
    </row>
    <row r="789" spans="1:15" x14ac:dyDescent="0.35">
      <c r="A789" s="1" t="s">
        <v>1517</v>
      </c>
      <c r="B789" s="2">
        <v>1</v>
      </c>
      <c r="C789" s="1" t="s">
        <v>23</v>
      </c>
      <c r="D789" s="1" t="s">
        <v>12</v>
      </c>
      <c r="E789" s="1" t="str">
        <f>TRIM(CLEAN(Sheet1[[#This Row],[Category]]))</f>
        <v>Office Supplies</v>
      </c>
      <c r="F789">
        <v>4</v>
      </c>
      <c r="G789" t="str">
        <f t="shared" si="12"/>
        <v>2. Mid-Market (4-7 Units)</v>
      </c>
      <c r="H789">
        <v>4</v>
      </c>
      <c r="I789">
        <v>269.61</v>
      </c>
      <c r="J789">
        <f>IF(ISBLANK(I789), ROUND(I789/ABS(VALUE(_xlfn.TEXTBEFORE(F789&amp;" ", " "))), 2), ABS(VALUE(SUBSTITUTE(I789, "$", ""))))</f>
        <v>269.61</v>
      </c>
      <c r="K789">
        <f>ROUND(Sheet1[[#This Row],[CleanedUnits_sold]]*Sheet1[[#This Row],[Cleaned_Unit_Price]],2)</f>
        <v>1078.44</v>
      </c>
      <c r="L789">
        <v>1078.44</v>
      </c>
      <c r="M789" s="1" t="s">
        <v>1518</v>
      </c>
      <c r="N789" s="1" t="s">
        <v>14</v>
      </c>
      <c r="O789" s="1" t="s">
        <v>1518</v>
      </c>
    </row>
    <row r="790" spans="1:15" x14ac:dyDescent="0.35">
      <c r="A790" s="1" t="s">
        <v>1519</v>
      </c>
      <c r="B790" s="2">
        <v>45049</v>
      </c>
      <c r="C790" s="1" t="s">
        <v>16</v>
      </c>
      <c r="D790" s="1" t="s">
        <v>24</v>
      </c>
      <c r="E790" s="1" t="str">
        <f>TRIM(CLEAN(Sheet1[[#This Row],[Category]]))</f>
        <v>Electronics</v>
      </c>
      <c r="F790">
        <v>5</v>
      </c>
      <c r="G790" t="str">
        <f t="shared" si="12"/>
        <v>2. Mid-Market (4-7 Units)</v>
      </c>
      <c r="H790">
        <v>5</v>
      </c>
      <c r="I790">
        <v>337.98</v>
      </c>
      <c r="J790">
        <f>IF(ISBLANK(I790), ROUND(I790/ABS(VALUE(_xlfn.TEXTBEFORE(F790&amp;" ", " "))), 2), ABS(VALUE(SUBSTITUTE(I790, "$", ""))))</f>
        <v>337.98</v>
      </c>
      <c r="K790">
        <f>ROUND(Sheet1[[#This Row],[CleanedUnits_sold]]*Sheet1[[#This Row],[Cleaned_Unit_Price]],2)</f>
        <v>1689.9</v>
      </c>
      <c r="L790">
        <v>1689.9</v>
      </c>
      <c r="M790" s="1" t="s">
        <v>1520</v>
      </c>
      <c r="N790" s="1" t="s">
        <v>21</v>
      </c>
      <c r="O790" s="1" t="s">
        <v>1520</v>
      </c>
    </row>
    <row r="791" spans="1:15" x14ac:dyDescent="0.35">
      <c r="A791" s="1" t="s">
        <v>1521</v>
      </c>
      <c r="B791" s="2">
        <v>45121</v>
      </c>
      <c r="C791" s="1" t="s">
        <v>23</v>
      </c>
      <c r="D791" s="1" t="s">
        <v>24</v>
      </c>
      <c r="E791" s="1" t="str">
        <f>TRIM(CLEAN(Sheet1[[#This Row],[Category]]))</f>
        <v>Electronics</v>
      </c>
      <c r="F791">
        <v>8</v>
      </c>
      <c r="G791" t="str">
        <f t="shared" si="12"/>
        <v>3. Wholesale / Bulk (8+ Units)</v>
      </c>
      <c r="H791">
        <v>8</v>
      </c>
      <c r="I791">
        <v>417.47</v>
      </c>
      <c r="J791">
        <f>IF(ISBLANK(I791), ROUND(I791/ABS(VALUE(_xlfn.TEXTBEFORE(F791&amp;" ", " "))), 2), ABS(VALUE(SUBSTITUTE(I791, "$", ""))))</f>
        <v>417.47</v>
      </c>
      <c r="K791">
        <f>ROUND(Sheet1[[#This Row],[CleanedUnits_sold]]*Sheet1[[#This Row],[Cleaned_Unit_Price]],2)</f>
        <v>3339.76</v>
      </c>
      <c r="L791">
        <v>3339.76</v>
      </c>
      <c r="M791" s="1" t="s">
        <v>1522</v>
      </c>
      <c r="N791" s="1" t="s">
        <v>38</v>
      </c>
      <c r="O791" s="1" t="s">
        <v>1522</v>
      </c>
    </row>
    <row r="792" spans="1:15" x14ac:dyDescent="0.35">
      <c r="A792" s="1" t="s">
        <v>1523</v>
      </c>
      <c r="B792" s="2">
        <v>45110</v>
      </c>
      <c r="C792" s="1" t="s">
        <v>11</v>
      </c>
      <c r="D792" s="1" t="s">
        <v>46</v>
      </c>
      <c r="E792" s="1" t="str">
        <f>TRIM(CLEAN(Sheet1[[#This Row],[Category]]))</f>
        <v>Furniture</v>
      </c>
      <c r="F792">
        <v>5</v>
      </c>
      <c r="G792" t="str">
        <f t="shared" si="12"/>
        <v>2. Mid-Market (4-7 Units)</v>
      </c>
      <c r="H792">
        <v>5</v>
      </c>
      <c r="I792" t="s">
        <v>332</v>
      </c>
      <c r="J792">
        <f>IF(ISBLANK(I792), ROUND(I792/ABS(VALUE(_xlfn.TEXTBEFORE(F792&amp;" ", " "))), 2), ABS(VALUE(SUBSTITUTE(I792, "$", ""))))</f>
        <v>250</v>
      </c>
      <c r="K792">
        <f>ROUND(Sheet1[[#This Row],[CleanedUnits_sold]]*Sheet1[[#This Row],[Cleaned_Unit_Price]],2)</f>
        <v>1250</v>
      </c>
      <c r="L792">
        <v>418.25</v>
      </c>
      <c r="M792" s="1" t="s">
        <v>1524</v>
      </c>
      <c r="N792" s="1" t="s">
        <v>21</v>
      </c>
      <c r="O792" s="1" t="s">
        <v>1524</v>
      </c>
    </row>
    <row r="793" spans="1:15" x14ac:dyDescent="0.35">
      <c r="A793" s="1" t="s">
        <v>1525</v>
      </c>
      <c r="B793" s="2">
        <v>45189</v>
      </c>
      <c r="C793" s="1" t="s">
        <v>19</v>
      </c>
      <c r="D793" s="1" t="s">
        <v>46</v>
      </c>
      <c r="E793" s="1" t="str">
        <f>TRIM(CLEAN(Sheet1[[#This Row],[Category]]))</f>
        <v>Furniture</v>
      </c>
      <c r="F793">
        <v>6</v>
      </c>
      <c r="G793" t="str">
        <f t="shared" si="12"/>
        <v>2. Mid-Market (4-7 Units)</v>
      </c>
      <c r="H793">
        <v>6</v>
      </c>
      <c r="I793">
        <v>28.91</v>
      </c>
      <c r="J793">
        <f>IF(ISBLANK(I793), ROUND(I793/ABS(VALUE(_xlfn.TEXTBEFORE(F793&amp;" ", " "))), 2), ABS(VALUE(SUBSTITUTE(I793, "$", ""))))</f>
        <v>28.91</v>
      </c>
      <c r="K793">
        <f>ROUND(Sheet1[[#This Row],[CleanedUnits_sold]]*Sheet1[[#This Row],[Cleaned_Unit_Price]],2)</f>
        <v>173.46</v>
      </c>
      <c r="L793">
        <v>173.46</v>
      </c>
      <c r="M793" s="1" t="s">
        <v>1526</v>
      </c>
      <c r="N793" s="1" t="s">
        <v>14</v>
      </c>
      <c r="O793" s="1" t="s">
        <v>1526</v>
      </c>
    </row>
    <row r="794" spans="1:15" x14ac:dyDescent="0.35">
      <c r="A794" s="1" t="s">
        <v>1527</v>
      </c>
      <c r="B794" s="2">
        <v>45167</v>
      </c>
      <c r="C794" s="1" t="s">
        <v>11</v>
      </c>
      <c r="D794" s="1" t="s">
        <v>24</v>
      </c>
      <c r="E794" s="1" t="str">
        <f>TRIM(CLEAN(Sheet1[[#This Row],[Category]]))</f>
        <v>Electronics</v>
      </c>
      <c r="F794">
        <v>3</v>
      </c>
      <c r="G794" t="str">
        <f t="shared" si="12"/>
        <v>1. Retail (1-3 Units)</v>
      </c>
      <c r="H794">
        <v>3</v>
      </c>
      <c r="I794">
        <v>440.65</v>
      </c>
      <c r="J794">
        <f>IF(ISBLANK(I794), ROUND(I794/ABS(VALUE(_xlfn.TEXTBEFORE(F794&amp;" ", " "))), 2), ABS(VALUE(SUBSTITUTE(I794, "$", ""))))</f>
        <v>440.65</v>
      </c>
      <c r="K794">
        <f>ROUND(Sheet1[[#This Row],[CleanedUnits_sold]]*Sheet1[[#This Row],[Cleaned_Unit_Price]],2)</f>
        <v>1321.95</v>
      </c>
      <c r="L794">
        <v>1321.95</v>
      </c>
      <c r="M794" s="1"/>
      <c r="N794" s="1" t="s">
        <v>50</v>
      </c>
      <c r="O794" s="1" t="s">
        <v>131</v>
      </c>
    </row>
    <row r="795" spans="1:15" x14ac:dyDescent="0.35">
      <c r="A795" s="1" t="s">
        <v>1528</v>
      </c>
      <c r="B795" s="2">
        <v>45116</v>
      </c>
      <c r="C795" s="1" t="s">
        <v>16</v>
      </c>
      <c r="D795" s="1" t="s">
        <v>12</v>
      </c>
      <c r="E795" s="1" t="str">
        <f>TRIM(CLEAN(Sheet1[[#This Row],[Category]]))</f>
        <v>Office Supplies</v>
      </c>
      <c r="F795">
        <v>4</v>
      </c>
      <c r="G795" t="str">
        <f t="shared" si="12"/>
        <v>2. Mid-Market (4-7 Units)</v>
      </c>
      <c r="H795">
        <v>4</v>
      </c>
      <c r="I795">
        <v>164.32</v>
      </c>
      <c r="J795">
        <f>IF(ISBLANK(I795), ROUND(I795/ABS(VALUE(_xlfn.TEXTBEFORE(F795&amp;" ", " "))), 2), ABS(VALUE(SUBSTITUTE(I795, "$", ""))))</f>
        <v>164.32</v>
      </c>
      <c r="K795">
        <f>ROUND(Sheet1[[#This Row],[CleanedUnits_sold]]*Sheet1[[#This Row],[Cleaned_Unit_Price]],2)</f>
        <v>657.28</v>
      </c>
      <c r="M795" s="1" t="s">
        <v>1529</v>
      </c>
      <c r="N795" s="1" t="s">
        <v>38</v>
      </c>
      <c r="O795" s="1" t="s">
        <v>1529</v>
      </c>
    </row>
    <row r="796" spans="1:15" x14ac:dyDescent="0.35">
      <c r="A796" s="1" t="s">
        <v>1530</v>
      </c>
      <c r="B796" s="2">
        <v>1</v>
      </c>
      <c r="C796" s="1" t="s">
        <v>19</v>
      </c>
      <c r="D796" s="1" t="s">
        <v>24</v>
      </c>
      <c r="E796" s="1" t="str">
        <f>TRIM(CLEAN(Sheet1[[#This Row],[Category]]))</f>
        <v>Electronics</v>
      </c>
      <c r="F796">
        <v>5</v>
      </c>
      <c r="G796" t="str">
        <f t="shared" si="12"/>
        <v>2. Mid-Market (4-7 Units)</v>
      </c>
      <c r="H796">
        <v>5</v>
      </c>
      <c r="I796">
        <v>73.2</v>
      </c>
      <c r="J796">
        <f>IF(ISBLANK(I796), ROUND(I796/ABS(VALUE(_xlfn.TEXTBEFORE(F796&amp;" ", " "))), 2), ABS(VALUE(SUBSTITUTE(I796, "$", ""))))</f>
        <v>73.2</v>
      </c>
      <c r="K796">
        <f>ROUND(Sheet1[[#This Row],[CleanedUnits_sold]]*Sheet1[[#This Row],[Cleaned_Unit_Price]],2)</f>
        <v>366</v>
      </c>
      <c r="L796">
        <v>794.48</v>
      </c>
      <c r="M796" s="1"/>
      <c r="N796" s="1" t="s">
        <v>14</v>
      </c>
      <c r="O796" s="1" t="s">
        <v>131</v>
      </c>
    </row>
    <row r="797" spans="1:15" x14ac:dyDescent="0.35">
      <c r="A797" s="1" t="s">
        <v>1531</v>
      </c>
      <c r="B797" s="2">
        <v>44935</v>
      </c>
      <c r="C797" s="1" t="s">
        <v>23</v>
      </c>
      <c r="D797" s="1" t="s">
        <v>32</v>
      </c>
      <c r="E797" s="1" t="str">
        <f>TRIM(CLEAN(Sheet1[[#This Row],[Category]]))</f>
        <v>Furniture</v>
      </c>
      <c r="F797">
        <v>6</v>
      </c>
      <c r="G797" t="str">
        <f t="shared" si="12"/>
        <v>2. Mid-Market (4-7 Units)</v>
      </c>
      <c r="H797">
        <v>6</v>
      </c>
      <c r="I797">
        <v>239.55</v>
      </c>
      <c r="J797">
        <f>IF(ISBLANK(I797), ROUND(I797/ABS(VALUE(_xlfn.TEXTBEFORE(F797&amp;" ", " "))), 2), ABS(VALUE(SUBSTITUTE(I797, "$", ""))))</f>
        <v>239.55</v>
      </c>
      <c r="K797">
        <f>ROUND(Sheet1[[#This Row],[CleanedUnits_sold]]*Sheet1[[#This Row],[Cleaned_Unit_Price]],2)</f>
        <v>1437.3</v>
      </c>
      <c r="L797">
        <v>1437.3</v>
      </c>
      <c r="M797" s="1" t="s">
        <v>1532</v>
      </c>
      <c r="N797" s="1" t="s">
        <v>14</v>
      </c>
      <c r="O797" s="1" t="s">
        <v>1532</v>
      </c>
    </row>
    <row r="798" spans="1:15" x14ac:dyDescent="0.35">
      <c r="A798" s="1" t="s">
        <v>1533</v>
      </c>
      <c r="B798" s="2">
        <v>45226</v>
      </c>
      <c r="C798" s="1" t="s">
        <v>19</v>
      </c>
      <c r="D798" s="1" t="s">
        <v>12</v>
      </c>
      <c r="E798" s="1" t="str">
        <f>TRIM(CLEAN(Sheet1[[#This Row],[Category]]))</f>
        <v>Office Supplies</v>
      </c>
      <c r="F798">
        <v>7</v>
      </c>
      <c r="G798" t="str">
        <f t="shared" si="12"/>
        <v>2. Mid-Market (4-7 Units)</v>
      </c>
      <c r="H798">
        <v>7</v>
      </c>
      <c r="I798">
        <v>303.17</v>
      </c>
      <c r="J798">
        <f>IF(ISBLANK(I798), ROUND(I798/ABS(VALUE(_xlfn.TEXTBEFORE(F798&amp;" ", " "))), 2), ABS(VALUE(SUBSTITUTE(I798, "$", ""))))</f>
        <v>303.17</v>
      </c>
      <c r="K798">
        <f>ROUND(Sheet1[[#This Row],[CleanedUnits_sold]]*Sheet1[[#This Row],[Cleaned_Unit_Price]],2)</f>
        <v>2122.19</v>
      </c>
      <c r="L798">
        <v>2122.19</v>
      </c>
      <c r="M798" s="1" t="s">
        <v>1534</v>
      </c>
      <c r="N798" s="1" t="s">
        <v>50</v>
      </c>
      <c r="O798" s="1" t="s">
        <v>1534</v>
      </c>
    </row>
    <row r="799" spans="1:15" x14ac:dyDescent="0.35">
      <c r="A799" s="1" t="s">
        <v>1535</v>
      </c>
      <c r="B799" s="2">
        <v>45027</v>
      </c>
      <c r="C799" s="1" t="s">
        <v>19</v>
      </c>
      <c r="D799" s="1" t="s">
        <v>46</v>
      </c>
      <c r="E799" s="1" t="str">
        <f>TRIM(CLEAN(Sheet1[[#This Row],[Category]]))</f>
        <v>Furniture</v>
      </c>
      <c r="G799" t="str">
        <f t="shared" si="12"/>
        <v>2. Mid-Market (4-7 Units)</v>
      </c>
      <c r="H799">
        <v>5</v>
      </c>
      <c r="I799">
        <v>25.18</v>
      </c>
      <c r="J799">
        <f>IF(ISBLANK(I799), ROUND(I799/ABS(VALUE(_xlfn.TEXTBEFORE(F799&amp;" ", " "))), 2), ABS(VALUE(SUBSTITUTE(I799, "$", ""))))</f>
        <v>25.18</v>
      </c>
      <c r="K799">
        <f>ROUND(Sheet1[[#This Row],[CleanedUnits_sold]]*Sheet1[[#This Row],[Cleaned_Unit_Price]],2)</f>
        <v>125.9</v>
      </c>
      <c r="L799">
        <v>125.9</v>
      </c>
      <c r="M799" s="1" t="s">
        <v>49</v>
      </c>
      <c r="N799" s="1" t="s">
        <v>14</v>
      </c>
      <c r="O799" s="1" t="s">
        <v>51</v>
      </c>
    </row>
    <row r="800" spans="1:15" x14ac:dyDescent="0.35">
      <c r="A800" s="1" t="s">
        <v>1536</v>
      </c>
      <c r="B800" s="2">
        <v>1</v>
      </c>
      <c r="C800" s="1" t="s">
        <v>19</v>
      </c>
      <c r="D800" s="1" t="s">
        <v>46</v>
      </c>
      <c r="E800" s="1" t="str">
        <f>TRIM(CLEAN(Sheet1[[#This Row],[Category]]))</f>
        <v>Furniture</v>
      </c>
      <c r="G800" t="str">
        <f t="shared" si="12"/>
        <v>1. Retail (1-3 Units)</v>
      </c>
      <c r="H800">
        <v>2</v>
      </c>
      <c r="I800">
        <v>144.69999999999999</v>
      </c>
      <c r="J800">
        <f>IF(ISBLANK(I800), ROUND(I800/ABS(VALUE(_xlfn.TEXTBEFORE(F800&amp;" ", " "))), 2), ABS(VALUE(SUBSTITUTE(I800, "$", ""))))</f>
        <v>144.69999999999999</v>
      </c>
      <c r="K800">
        <f>ROUND(Sheet1[[#This Row],[CleanedUnits_sold]]*Sheet1[[#This Row],[Cleaned_Unit_Price]],2)</f>
        <v>289.39999999999998</v>
      </c>
      <c r="L800">
        <v>289.39999999999998</v>
      </c>
      <c r="M800" s="1" t="s">
        <v>1537</v>
      </c>
      <c r="N800" s="1" t="s">
        <v>26</v>
      </c>
      <c r="O800" s="1" t="s">
        <v>1537</v>
      </c>
    </row>
    <row r="801" spans="1:15" x14ac:dyDescent="0.35">
      <c r="A801" s="1" t="s">
        <v>1538</v>
      </c>
      <c r="B801" s="2">
        <v>45262</v>
      </c>
      <c r="C801" s="1" t="s">
        <v>19</v>
      </c>
      <c r="D801" s="1" t="s">
        <v>46</v>
      </c>
      <c r="E801" s="1" t="str">
        <f>TRIM(CLEAN(Sheet1[[#This Row],[Category]]))</f>
        <v>Furniture</v>
      </c>
      <c r="F801">
        <v>6</v>
      </c>
      <c r="G801" t="str">
        <f t="shared" si="12"/>
        <v>2. Mid-Market (4-7 Units)</v>
      </c>
      <c r="H801">
        <v>6</v>
      </c>
      <c r="I801">
        <v>26.07</v>
      </c>
      <c r="J801">
        <f>IF(ISBLANK(I801), ROUND(I801/ABS(VALUE(_xlfn.TEXTBEFORE(F801&amp;" ", " "))), 2), ABS(VALUE(SUBSTITUTE(I801, "$", ""))))</f>
        <v>26.07</v>
      </c>
      <c r="K801">
        <f>ROUND(Sheet1[[#This Row],[CleanedUnits_sold]]*Sheet1[[#This Row],[Cleaned_Unit_Price]],2)</f>
        <v>156.41999999999999</v>
      </c>
      <c r="L801">
        <v>156.41999999999999</v>
      </c>
      <c r="M801" s="1" t="s">
        <v>1539</v>
      </c>
      <c r="N801" s="1" t="s">
        <v>26</v>
      </c>
      <c r="O801" s="1" t="s">
        <v>1539</v>
      </c>
    </row>
    <row r="802" spans="1:15" x14ac:dyDescent="0.35">
      <c r="A802" s="1" t="s">
        <v>1540</v>
      </c>
      <c r="B802" s="2">
        <v>45177</v>
      </c>
      <c r="C802" s="1" t="s">
        <v>16</v>
      </c>
      <c r="D802" s="1" t="s">
        <v>24</v>
      </c>
      <c r="E802" s="1" t="str">
        <f>TRIM(CLEAN(Sheet1[[#This Row],[Category]]))</f>
        <v>Electronics</v>
      </c>
      <c r="F802">
        <v>4</v>
      </c>
      <c r="G802" t="str">
        <f t="shared" si="12"/>
        <v>2. Mid-Market (4-7 Units)</v>
      </c>
      <c r="H802">
        <v>4</v>
      </c>
      <c r="I802">
        <v>215.96</v>
      </c>
      <c r="J802">
        <f>IF(ISBLANK(I802), ROUND(I802/ABS(VALUE(_xlfn.TEXTBEFORE(F802&amp;" ", " "))), 2), ABS(VALUE(SUBSTITUTE(I802, "$", ""))))</f>
        <v>215.96</v>
      </c>
      <c r="K802">
        <f>ROUND(Sheet1[[#This Row],[CleanedUnits_sold]]*Sheet1[[#This Row],[Cleaned_Unit_Price]],2)</f>
        <v>863.84</v>
      </c>
      <c r="L802">
        <v>863.84</v>
      </c>
      <c r="M802" s="1" t="s">
        <v>1541</v>
      </c>
      <c r="N802" s="1" t="s">
        <v>14</v>
      </c>
      <c r="O802" s="1" t="s">
        <v>1541</v>
      </c>
    </row>
    <row r="803" spans="1:15" x14ac:dyDescent="0.35">
      <c r="A803" s="1" t="s">
        <v>1542</v>
      </c>
      <c r="B803" s="2">
        <v>1</v>
      </c>
      <c r="C803" s="1" t="s">
        <v>11</v>
      </c>
      <c r="D803" s="1" t="s">
        <v>24</v>
      </c>
      <c r="E803" s="1" t="str">
        <f>TRIM(CLEAN(Sheet1[[#This Row],[Category]]))</f>
        <v>Electronics</v>
      </c>
      <c r="F803">
        <v>2</v>
      </c>
      <c r="G803" t="str">
        <f t="shared" si="12"/>
        <v>1. Retail (1-3 Units)</v>
      </c>
      <c r="H803">
        <v>2</v>
      </c>
      <c r="I803">
        <v>448.6</v>
      </c>
      <c r="J803">
        <f>IF(ISBLANK(I803), ROUND(I803/ABS(VALUE(_xlfn.TEXTBEFORE(F803&amp;" ", " "))), 2), ABS(VALUE(SUBSTITUTE(I803, "$", ""))))</f>
        <v>448.6</v>
      </c>
      <c r="K803">
        <f>ROUND(Sheet1[[#This Row],[CleanedUnits_sold]]*Sheet1[[#This Row],[Cleaned_Unit_Price]],2)</f>
        <v>897.2</v>
      </c>
      <c r="L803">
        <v>897.2</v>
      </c>
      <c r="M803" s="1" t="s">
        <v>1543</v>
      </c>
      <c r="N803" s="1" t="s">
        <v>38</v>
      </c>
      <c r="O803" s="1" t="s">
        <v>1543</v>
      </c>
    </row>
    <row r="804" spans="1:15" x14ac:dyDescent="0.35">
      <c r="A804" s="1" t="s">
        <v>1544</v>
      </c>
      <c r="B804" s="2">
        <v>45206</v>
      </c>
      <c r="C804" s="1" t="s">
        <v>11</v>
      </c>
      <c r="D804" s="1" t="s">
        <v>12</v>
      </c>
      <c r="E804" s="1" t="str">
        <f>TRIM(CLEAN(Sheet1[[#This Row],[Category]]))</f>
        <v>Office Supplies</v>
      </c>
      <c r="F804">
        <v>4</v>
      </c>
      <c r="G804" t="str">
        <f t="shared" si="12"/>
        <v>2. Mid-Market (4-7 Units)</v>
      </c>
      <c r="H804">
        <v>4</v>
      </c>
      <c r="I804">
        <v>491.5</v>
      </c>
      <c r="J804">
        <f>IF(ISBLANK(I804), ROUND(I804/ABS(VALUE(_xlfn.TEXTBEFORE(F804&amp;" ", " "))), 2), ABS(VALUE(SUBSTITUTE(I804, "$", ""))))</f>
        <v>491.5</v>
      </c>
      <c r="K804">
        <f>ROUND(Sheet1[[#This Row],[CleanedUnits_sold]]*Sheet1[[#This Row],[Cleaned_Unit_Price]],2)</f>
        <v>1966</v>
      </c>
      <c r="L804">
        <v>1966</v>
      </c>
      <c r="M804" s="1" t="s">
        <v>1545</v>
      </c>
      <c r="N804" s="1" t="s">
        <v>50</v>
      </c>
      <c r="O804" s="1" t="s">
        <v>1545</v>
      </c>
    </row>
    <row r="805" spans="1:15" x14ac:dyDescent="0.35">
      <c r="A805" s="1" t="s">
        <v>1546</v>
      </c>
      <c r="B805" s="2">
        <v>45204</v>
      </c>
      <c r="C805" s="1" t="s">
        <v>23</v>
      </c>
      <c r="D805" s="1" t="s">
        <v>12</v>
      </c>
      <c r="E805" s="1" t="str">
        <f>TRIM(CLEAN(Sheet1[[#This Row],[Category]]))</f>
        <v>Office Supplies</v>
      </c>
      <c r="F805">
        <v>2</v>
      </c>
      <c r="G805" t="str">
        <f t="shared" si="12"/>
        <v>1. Retail (1-3 Units)</v>
      </c>
      <c r="H805">
        <v>2</v>
      </c>
      <c r="I805">
        <v>322.14999999999998</v>
      </c>
      <c r="J805">
        <f>IF(ISBLANK(I805), ROUND(I805/ABS(VALUE(_xlfn.TEXTBEFORE(F805&amp;" ", " "))), 2), ABS(VALUE(SUBSTITUTE(I805, "$", ""))))</f>
        <v>322.14999999999998</v>
      </c>
      <c r="K805">
        <f>ROUND(Sheet1[[#This Row],[CleanedUnits_sold]]*Sheet1[[#This Row],[Cleaned_Unit_Price]],2)</f>
        <v>644.29999999999995</v>
      </c>
      <c r="L805">
        <v>758.82</v>
      </c>
      <c r="M805" s="1" t="s">
        <v>1547</v>
      </c>
      <c r="N805" s="1" t="s">
        <v>14</v>
      </c>
      <c r="O805" s="1" t="s">
        <v>1547</v>
      </c>
    </row>
    <row r="806" spans="1:15" x14ac:dyDescent="0.35">
      <c r="A806" s="1" t="s">
        <v>1548</v>
      </c>
      <c r="B806" s="2">
        <v>44965</v>
      </c>
      <c r="C806" s="1" t="s">
        <v>19</v>
      </c>
      <c r="D806" s="1" t="s">
        <v>12</v>
      </c>
      <c r="E806" s="1" t="str">
        <f>TRIM(CLEAN(Sheet1[[#This Row],[Category]]))</f>
        <v>Office Supplies</v>
      </c>
      <c r="F806">
        <v>3</v>
      </c>
      <c r="G806" t="str">
        <f t="shared" si="12"/>
        <v>1. Retail (1-3 Units)</v>
      </c>
      <c r="H806">
        <v>3</v>
      </c>
      <c r="I806">
        <v>89.2</v>
      </c>
      <c r="J806">
        <f>IF(ISBLANK(I806), ROUND(I806/ABS(VALUE(_xlfn.TEXTBEFORE(F806&amp;" ", " "))), 2), ABS(VALUE(SUBSTITUTE(I806, "$", ""))))</f>
        <v>89.2</v>
      </c>
      <c r="K806">
        <f>ROUND(Sheet1[[#This Row],[CleanedUnits_sold]]*Sheet1[[#This Row],[Cleaned_Unit_Price]],2)</f>
        <v>267.60000000000002</v>
      </c>
      <c r="L806">
        <v>267.60000000000002</v>
      </c>
      <c r="M806" s="1" t="s">
        <v>1549</v>
      </c>
      <c r="N806" s="1" t="s">
        <v>50</v>
      </c>
      <c r="O806" s="1" t="s">
        <v>1549</v>
      </c>
    </row>
    <row r="807" spans="1:15" x14ac:dyDescent="0.35">
      <c r="A807" s="1" t="s">
        <v>1550</v>
      </c>
      <c r="B807" s="2">
        <v>1</v>
      </c>
      <c r="C807" s="1" t="s">
        <v>16</v>
      </c>
      <c r="D807" s="1" t="s">
        <v>12</v>
      </c>
      <c r="E807" s="1" t="str">
        <f>TRIM(CLEAN(Sheet1[[#This Row],[Category]]))</f>
        <v>Office Supplies</v>
      </c>
      <c r="F807">
        <v>4</v>
      </c>
      <c r="G807" t="str">
        <f t="shared" si="12"/>
        <v>2. Mid-Market (4-7 Units)</v>
      </c>
      <c r="H807">
        <v>4</v>
      </c>
      <c r="I807">
        <v>453.87</v>
      </c>
      <c r="J807">
        <f>IF(ISBLANK(I807), ROUND(I807/ABS(VALUE(_xlfn.TEXTBEFORE(F807&amp;" ", " "))), 2), ABS(VALUE(SUBSTITUTE(I807, "$", ""))))</f>
        <v>453.87</v>
      </c>
      <c r="K807">
        <f>ROUND(Sheet1[[#This Row],[CleanedUnits_sold]]*Sheet1[[#This Row],[Cleaned_Unit_Price]],2)</f>
        <v>1815.48</v>
      </c>
      <c r="L807">
        <v>1815.48</v>
      </c>
      <c r="M807" s="1" t="s">
        <v>1551</v>
      </c>
      <c r="N807" s="1" t="s">
        <v>26</v>
      </c>
      <c r="O807" s="1" t="s">
        <v>1551</v>
      </c>
    </row>
    <row r="808" spans="1:15" x14ac:dyDescent="0.35">
      <c r="A808" s="1" t="s">
        <v>1552</v>
      </c>
      <c r="B808" s="2">
        <v>45045</v>
      </c>
      <c r="C808" s="1" t="s">
        <v>16</v>
      </c>
      <c r="D808" s="1" t="s">
        <v>46</v>
      </c>
      <c r="E808" s="1" t="str">
        <f>TRIM(CLEAN(Sheet1[[#This Row],[Category]]))</f>
        <v>Furniture</v>
      </c>
      <c r="F808">
        <v>7</v>
      </c>
      <c r="G808" t="str">
        <f t="shared" si="12"/>
        <v>2. Mid-Market (4-7 Units)</v>
      </c>
      <c r="H808">
        <v>7</v>
      </c>
      <c r="I808" t="s">
        <v>332</v>
      </c>
      <c r="J808">
        <f>IF(ISBLANK(I808), ROUND(I808/ABS(VALUE(_xlfn.TEXTBEFORE(F808&amp;" ", " "))), 2), ABS(VALUE(SUBSTITUTE(I808, "$", ""))))</f>
        <v>250</v>
      </c>
      <c r="K808">
        <f>ROUND(Sheet1[[#This Row],[CleanedUnits_sold]]*Sheet1[[#This Row],[Cleaned_Unit_Price]],2)</f>
        <v>1750</v>
      </c>
      <c r="L808">
        <v>1840.72</v>
      </c>
      <c r="M808" s="1" t="s">
        <v>1553</v>
      </c>
      <c r="N808" s="1" t="s">
        <v>38</v>
      </c>
      <c r="O808" s="1" t="s">
        <v>1553</v>
      </c>
    </row>
    <row r="809" spans="1:15" x14ac:dyDescent="0.35">
      <c r="A809" s="1" t="s">
        <v>1554</v>
      </c>
      <c r="B809" s="2">
        <v>45047</v>
      </c>
      <c r="C809" s="1" t="s">
        <v>16</v>
      </c>
      <c r="D809" s="1" t="s">
        <v>12</v>
      </c>
      <c r="E809" s="1" t="str">
        <f>TRIM(CLEAN(Sheet1[[#This Row],[Category]]))</f>
        <v>Office Supplies</v>
      </c>
      <c r="F809">
        <v>5</v>
      </c>
      <c r="G809" t="str">
        <f t="shared" si="12"/>
        <v>2. Mid-Market (4-7 Units)</v>
      </c>
      <c r="H809">
        <v>5</v>
      </c>
      <c r="I809">
        <v>85.34</v>
      </c>
      <c r="J809">
        <f>IF(ISBLANK(I809), ROUND(I809/ABS(VALUE(_xlfn.TEXTBEFORE(F809&amp;" ", " "))), 2), ABS(VALUE(SUBSTITUTE(I809, "$", ""))))</f>
        <v>85.34</v>
      </c>
      <c r="K809">
        <f>ROUND(Sheet1[[#This Row],[CleanedUnits_sold]]*Sheet1[[#This Row],[Cleaned_Unit_Price]],2)</f>
        <v>426.7</v>
      </c>
      <c r="L809">
        <v>426.7</v>
      </c>
      <c r="M809" s="1" t="s">
        <v>1555</v>
      </c>
      <c r="N809" s="1" t="s">
        <v>26</v>
      </c>
      <c r="O809" s="1" t="s">
        <v>1555</v>
      </c>
    </row>
    <row r="810" spans="1:15" x14ac:dyDescent="0.35">
      <c r="A810" s="1" t="s">
        <v>1556</v>
      </c>
      <c r="B810" s="2">
        <v>45118</v>
      </c>
      <c r="C810" s="1" t="s">
        <v>19</v>
      </c>
      <c r="D810" s="1" t="s">
        <v>12</v>
      </c>
      <c r="E810" s="1" t="str">
        <f>TRIM(CLEAN(Sheet1[[#This Row],[Category]]))</f>
        <v>Office Supplies</v>
      </c>
      <c r="F810">
        <v>5</v>
      </c>
      <c r="G810" t="str">
        <f t="shared" si="12"/>
        <v>2. Mid-Market (4-7 Units)</v>
      </c>
      <c r="H810">
        <v>5</v>
      </c>
      <c r="I810">
        <v>461.65</v>
      </c>
      <c r="J810">
        <f>IF(ISBLANK(I810), ROUND(I810/ABS(VALUE(_xlfn.TEXTBEFORE(F810&amp;" ", " "))), 2), ABS(VALUE(SUBSTITUTE(I810, "$", ""))))</f>
        <v>461.65</v>
      </c>
      <c r="K810">
        <f>ROUND(Sheet1[[#This Row],[CleanedUnits_sold]]*Sheet1[[#This Row],[Cleaned_Unit_Price]],2)</f>
        <v>2308.25</v>
      </c>
      <c r="L810">
        <v>2308.25</v>
      </c>
      <c r="M810" s="1" t="s">
        <v>1557</v>
      </c>
      <c r="N810" s="1" t="s">
        <v>21</v>
      </c>
      <c r="O810" s="1" t="s">
        <v>1557</v>
      </c>
    </row>
    <row r="811" spans="1:15" x14ac:dyDescent="0.35">
      <c r="A811" s="1" t="s">
        <v>1558</v>
      </c>
      <c r="B811" s="2">
        <v>45268</v>
      </c>
      <c r="C811" s="1" t="s">
        <v>19</v>
      </c>
      <c r="D811" s="1" t="s">
        <v>24</v>
      </c>
      <c r="E811" s="1" t="str">
        <f>TRIM(CLEAN(Sheet1[[#This Row],[Category]]))</f>
        <v>Electronics</v>
      </c>
      <c r="F811">
        <v>7</v>
      </c>
      <c r="G811" t="str">
        <f t="shared" si="12"/>
        <v>2. Mid-Market (4-7 Units)</v>
      </c>
      <c r="H811">
        <v>7</v>
      </c>
      <c r="I811">
        <v>381.16</v>
      </c>
      <c r="J811">
        <f>IF(ISBLANK(I811), ROUND(I811/ABS(VALUE(_xlfn.TEXTBEFORE(F811&amp;" ", " "))), 2), ABS(VALUE(SUBSTITUTE(I811, "$", ""))))</f>
        <v>381.16</v>
      </c>
      <c r="K811">
        <f>ROUND(Sheet1[[#This Row],[CleanedUnits_sold]]*Sheet1[[#This Row],[Cleaned_Unit_Price]],2)</f>
        <v>2668.12</v>
      </c>
      <c r="L811">
        <v>3156.96</v>
      </c>
      <c r="M811" s="1" t="s">
        <v>1559</v>
      </c>
      <c r="N811" s="1" t="s">
        <v>26</v>
      </c>
      <c r="O811" s="1" t="s">
        <v>1559</v>
      </c>
    </row>
    <row r="812" spans="1:15" x14ac:dyDescent="0.35">
      <c r="A812" s="1" t="s">
        <v>1560</v>
      </c>
      <c r="B812" s="2">
        <v>44935</v>
      </c>
      <c r="C812" s="1" t="s">
        <v>16</v>
      </c>
      <c r="D812" s="1" t="s">
        <v>12</v>
      </c>
      <c r="E812" s="1" t="str">
        <f>TRIM(CLEAN(Sheet1[[#This Row],[Category]]))</f>
        <v>Office Supplies</v>
      </c>
      <c r="F812">
        <v>9</v>
      </c>
      <c r="G812" t="str">
        <f t="shared" si="12"/>
        <v>3. Wholesale / Bulk (8+ Units)</v>
      </c>
      <c r="H812">
        <v>9</v>
      </c>
      <c r="I812">
        <v>368.54</v>
      </c>
      <c r="J812">
        <f>IF(ISBLANK(I812), ROUND(I812/ABS(VALUE(_xlfn.TEXTBEFORE(F812&amp;" ", " "))), 2), ABS(VALUE(SUBSTITUTE(I812, "$", ""))))</f>
        <v>368.54</v>
      </c>
      <c r="K812">
        <f>ROUND(Sheet1[[#This Row],[CleanedUnits_sold]]*Sheet1[[#This Row],[Cleaned_Unit_Price]],2)</f>
        <v>3316.86</v>
      </c>
      <c r="L812">
        <v>3316.86</v>
      </c>
      <c r="M812" s="1" t="s">
        <v>1561</v>
      </c>
      <c r="N812" s="1" t="s">
        <v>50</v>
      </c>
      <c r="O812" s="1" t="s">
        <v>1561</v>
      </c>
    </row>
    <row r="813" spans="1:15" x14ac:dyDescent="0.35">
      <c r="A813" s="1" t="s">
        <v>1562</v>
      </c>
      <c r="B813" s="2">
        <v>45137</v>
      </c>
      <c r="C813" s="1" t="s">
        <v>16</v>
      </c>
      <c r="D813" s="1" t="s">
        <v>12</v>
      </c>
      <c r="E813" s="1" t="str">
        <f>TRIM(CLEAN(Sheet1[[#This Row],[Category]]))</f>
        <v>Office Supplies</v>
      </c>
      <c r="F813">
        <v>7</v>
      </c>
      <c r="G813" t="str">
        <f t="shared" si="12"/>
        <v>2. Mid-Market (4-7 Units)</v>
      </c>
      <c r="H813">
        <v>7</v>
      </c>
      <c r="I813">
        <v>357.5</v>
      </c>
      <c r="J813">
        <f>IF(ISBLANK(I813), ROUND(I813/ABS(VALUE(_xlfn.TEXTBEFORE(F813&amp;" ", " "))), 2), ABS(VALUE(SUBSTITUTE(I813, "$", ""))))</f>
        <v>357.5</v>
      </c>
      <c r="K813">
        <f>ROUND(Sheet1[[#This Row],[CleanedUnits_sold]]*Sheet1[[#This Row],[Cleaned_Unit_Price]],2)</f>
        <v>2502.5</v>
      </c>
      <c r="L813">
        <v>2502.5</v>
      </c>
      <c r="M813" s="1" t="s">
        <v>1563</v>
      </c>
      <c r="N813" s="1" t="s">
        <v>26</v>
      </c>
      <c r="O813" s="1" t="s">
        <v>1563</v>
      </c>
    </row>
    <row r="814" spans="1:15" x14ac:dyDescent="0.35">
      <c r="A814" s="1" t="s">
        <v>1564</v>
      </c>
      <c r="B814" s="2">
        <v>1</v>
      </c>
      <c r="C814" s="1" t="s">
        <v>11</v>
      </c>
      <c r="D814" s="1" t="s">
        <v>12</v>
      </c>
      <c r="E814" s="1" t="str">
        <f>TRIM(CLEAN(Sheet1[[#This Row],[Category]]))</f>
        <v>Office Supplies</v>
      </c>
      <c r="F814">
        <v>6</v>
      </c>
      <c r="G814" t="str">
        <f t="shared" si="12"/>
        <v>2. Mid-Market (4-7 Units)</v>
      </c>
      <c r="H814">
        <v>6</v>
      </c>
      <c r="I814">
        <v>108.17</v>
      </c>
      <c r="J814">
        <f>IF(ISBLANK(I814), ROUND(I814/ABS(VALUE(_xlfn.TEXTBEFORE(F814&amp;" ", " "))), 2), ABS(VALUE(SUBSTITUTE(I814, "$", ""))))</f>
        <v>108.17</v>
      </c>
      <c r="K814">
        <f>ROUND(Sheet1[[#This Row],[CleanedUnits_sold]]*Sheet1[[#This Row],[Cleaned_Unit_Price]],2)</f>
        <v>649.02</v>
      </c>
      <c r="L814">
        <v>649.02</v>
      </c>
      <c r="M814" s="1" t="s">
        <v>1565</v>
      </c>
      <c r="N814" s="1" t="s">
        <v>21</v>
      </c>
      <c r="O814" s="1" t="s">
        <v>1565</v>
      </c>
    </row>
    <row r="815" spans="1:15" x14ac:dyDescent="0.35">
      <c r="A815" s="1" t="s">
        <v>1566</v>
      </c>
      <c r="B815" s="2">
        <v>45201</v>
      </c>
      <c r="C815" s="1" t="s">
        <v>11</v>
      </c>
      <c r="D815" s="1" t="s">
        <v>24</v>
      </c>
      <c r="E815" s="1" t="str">
        <f>TRIM(CLEAN(Sheet1[[#This Row],[Category]]))</f>
        <v>Electronics</v>
      </c>
      <c r="F815">
        <v>6</v>
      </c>
      <c r="G815" t="str">
        <f t="shared" si="12"/>
        <v>2. Mid-Market (4-7 Units)</v>
      </c>
      <c r="H815">
        <v>6</v>
      </c>
      <c r="I815">
        <v>113.39</v>
      </c>
      <c r="J815">
        <f>IF(ISBLANK(I815), ROUND(I815/ABS(VALUE(_xlfn.TEXTBEFORE(F815&amp;" ", " "))), 2), ABS(VALUE(SUBSTITUTE(I815, "$", ""))))</f>
        <v>113.39</v>
      </c>
      <c r="K815">
        <f>ROUND(Sheet1[[#This Row],[CleanedUnits_sold]]*Sheet1[[#This Row],[Cleaned_Unit_Price]],2)</f>
        <v>680.34</v>
      </c>
      <c r="L815">
        <v>680.34</v>
      </c>
      <c r="M815" s="1" t="s">
        <v>1567</v>
      </c>
      <c r="N815" s="1" t="s">
        <v>50</v>
      </c>
      <c r="O815" s="1" t="s">
        <v>1567</v>
      </c>
    </row>
    <row r="816" spans="1:15" x14ac:dyDescent="0.35">
      <c r="A816" s="1" t="s">
        <v>1568</v>
      </c>
      <c r="B816" s="2">
        <v>1</v>
      </c>
      <c r="C816" s="1" t="s">
        <v>23</v>
      </c>
      <c r="D816" s="1" t="s">
        <v>24</v>
      </c>
      <c r="E816" s="1" t="str">
        <f>TRIM(CLEAN(Sheet1[[#This Row],[Category]]))</f>
        <v>Electronics</v>
      </c>
      <c r="F816">
        <v>9</v>
      </c>
      <c r="G816" t="str">
        <f t="shared" si="12"/>
        <v>3. Wholesale / Bulk (8+ Units)</v>
      </c>
      <c r="H816">
        <v>9</v>
      </c>
      <c r="I816">
        <v>347.26</v>
      </c>
      <c r="J816">
        <f>IF(ISBLANK(I816), ROUND(I816/ABS(VALUE(_xlfn.TEXTBEFORE(F816&amp;" ", " "))), 2), ABS(VALUE(SUBSTITUTE(I816, "$", ""))))</f>
        <v>347.26</v>
      </c>
      <c r="K816">
        <f>ROUND(Sheet1[[#This Row],[CleanedUnits_sold]]*Sheet1[[#This Row],[Cleaned_Unit_Price]],2)</f>
        <v>3125.34</v>
      </c>
      <c r="L816">
        <v>3125.34</v>
      </c>
      <c r="M816" s="1" t="s">
        <v>1569</v>
      </c>
      <c r="N816" s="1" t="s">
        <v>14</v>
      </c>
      <c r="O816" s="1" t="s">
        <v>1569</v>
      </c>
    </row>
    <row r="817" spans="1:15" x14ac:dyDescent="0.35">
      <c r="A817" s="1" t="s">
        <v>1570</v>
      </c>
      <c r="B817" s="2">
        <v>45272</v>
      </c>
      <c r="C817" s="1" t="s">
        <v>16</v>
      </c>
      <c r="D817" s="1" t="s">
        <v>12</v>
      </c>
      <c r="E817" s="1" t="str">
        <f>TRIM(CLEAN(Sheet1[[#This Row],[Category]]))</f>
        <v>Office Supplies</v>
      </c>
      <c r="F817">
        <v>2</v>
      </c>
      <c r="G817" t="str">
        <f t="shared" si="12"/>
        <v>1. Retail (1-3 Units)</v>
      </c>
      <c r="H817">
        <v>2</v>
      </c>
      <c r="I817">
        <v>117.66</v>
      </c>
      <c r="J817">
        <f>IF(ISBLANK(I817), ROUND(I817/ABS(VALUE(_xlfn.TEXTBEFORE(F817&amp;" ", " "))), 2), ABS(VALUE(SUBSTITUTE(I817, "$", ""))))</f>
        <v>117.66</v>
      </c>
      <c r="K817">
        <f>ROUND(Sheet1[[#This Row],[CleanedUnits_sold]]*Sheet1[[#This Row],[Cleaned_Unit_Price]],2)</f>
        <v>235.32</v>
      </c>
      <c r="L817">
        <v>235.32</v>
      </c>
      <c r="M817" s="1" t="s">
        <v>1571</v>
      </c>
      <c r="N817" s="1" t="s">
        <v>21</v>
      </c>
      <c r="O817" s="1" t="s">
        <v>1571</v>
      </c>
    </row>
    <row r="818" spans="1:15" x14ac:dyDescent="0.35">
      <c r="A818" s="1" t="s">
        <v>1572</v>
      </c>
      <c r="B818" s="2">
        <v>45018</v>
      </c>
      <c r="C818" s="1" t="s">
        <v>11</v>
      </c>
      <c r="D818" s="1" t="s">
        <v>12</v>
      </c>
      <c r="E818" s="1" t="str">
        <f>TRIM(CLEAN(Sheet1[[#This Row],[Category]]))</f>
        <v>Office Supplies</v>
      </c>
      <c r="F818">
        <v>3</v>
      </c>
      <c r="G818" t="str">
        <f t="shared" si="12"/>
        <v>1. Retail (1-3 Units)</v>
      </c>
      <c r="H818">
        <v>3</v>
      </c>
      <c r="I818">
        <v>224.95</v>
      </c>
      <c r="J818">
        <f>IF(ISBLANK(I818), ROUND(I818/ABS(VALUE(_xlfn.TEXTBEFORE(F818&amp;" ", " "))), 2), ABS(VALUE(SUBSTITUTE(I818, "$", ""))))</f>
        <v>224.95</v>
      </c>
      <c r="K818">
        <f>ROUND(Sheet1[[#This Row],[CleanedUnits_sold]]*Sheet1[[#This Row],[Cleaned_Unit_Price]],2)</f>
        <v>674.85</v>
      </c>
      <c r="L818">
        <v>674.85</v>
      </c>
      <c r="M818" s="1" t="s">
        <v>1573</v>
      </c>
      <c r="N818" s="1" t="s">
        <v>50</v>
      </c>
      <c r="O818" s="1" t="s">
        <v>1573</v>
      </c>
    </row>
    <row r="819" spans="1:15" x14ac:dyDescent="0.35">
      <c r="A819" s="1" t="s">
        <v>1574</v>
      </c>
      <c r="B819" s="2">
        <v>1</v>
      </c>
      <c r="C819" s="1" t="s">
        <v>19</v>
      </c>
      <c r="D819" s="1" t="s">
        <v>24</v>
      </c>
      <c r="E819" s="1" t="str">
        <f>TRIM(CLEAN(Sheet1[[#This Row],[Category]]))</f>
        <v>Electronics</v>
      </c>
      <c r="F819">
        <v>9</v>
      </c>
      <c r="G819" t="str">
        <f t="shared" si="12"/>
        <v>3. Wholesale / Bulk (8+ Units)</v>
      </c>
      <c r="H819">
        <v>9</v>
      </c>
      <c r="I819">
        <v>393.18</v>
      </c>
      <c r="J819">
        <f>IF(ISBLANK(I819), ROUND(I819/ABS(VALUE(_xlfn.TEXTBEFORE(F819&amp;" ", " "))), 2), ABS(VALUE(SUBSTITUTE(I819, "$", ""))))</f>
        <v>393.18</v>
      </c>
      <c r="K819">
        <f>ROUND(Sheet1[[#This Row],[CleanedUnits_sold]]*Sheet1[[#This Row],[Cleaned_Unit_Price]],2)</f>
        <v>3538.62</v>
      </c>
      <c r="L819">
        <v>3538.62</v>
      </c>
      <c r="M819" s="1" t="s">
        <v>1575</v>
      </c>
      <c r="N819" s="1" t="s">
        <v>14</v>
      </c>
      <c r="O819" s="1" t="s">
        <v>1575</v>
      </c>
    </row>
    <row r="820" spans="1:15" x14ac:dyDescent="0.35">
      <c r="A820" s="1" t="s">
        <v>1576</v>
      </c>
      <c r="B820" s="2">
        <v>45244</v>
      </c>
      <c r="C820" s="1" t="s">
        <v>23</v>
      </c>
      <c r="D820" s="1" t="s">
        <v>46</v>
      </c>
      <c r="E820" s="1" t="str">
        <f>TRIM(CLEAN(Sheet1[[#This Row],[Category]]))</f>
        <v>Furniture</v>
      </c>
      <c r="F820">
        <v>3</v>
      </c>
      <c r="G820" t="str">
        <f t="shared" si="12"/>
        <v>1. Retail (1-3 Units)</v>
      </c>
      <c r="H820">
        <v>3</v>
      </c>
      <c r="I820">
        <v>394.14</v>
      </c>
      <c r="J820">
        <f>IF(ISBLANK(I820), ROUND(I820/ABS(VALUE(_xlfn.TEXTBEFORE(F820&amp;" ", " "))), 2), ABS(VALUE(SUBSTITUTE(I820, "$", ""))))</f>
        <v>394.14</v>
      </c>
      <c r="K820">
        <f>ROUND(Sheet1[[#This Row],[CleanedUnits_sold]]*Sheet1[[#This Row],[Cleaned_Unit_Price]],2)</f>
        <v>1182.42</v>
      </c>
      <c r="L820">
        <v>1182.42</v>
      </c>
      <c r="M820" s="1" t="s">
        <v>1577</v>
      </c>
      <c r="N820" s="1" t="s">
        <v>14</v>
      </c>
      <c r="O820" s="1" t="s">
        <v>1577</v>
      </c>
    </row>
    <row r="821" spans="1:15" x14ac:dyDescent="0.35">
      <c r="A821" s="1" t="s">
        <v>1578</v>
      </c>
      <c r="B821" s="2">
        <v>45063</v>
      </c>
      <c r="C821" s="1" t="s">
        <v>16</v>
      </c>
      <c r="D821" s="1" t="s">
        <v>12</v>
      </c>
      <c r="E821" s="1" t="str">
        <f>TRIM(CLEAN(Sheet1[[#This Row],[Category]]))</f>
        <v>Office Supplies</v>
      </c>
      <c r="F821">
        <v>8</v>
      </c>
      <c r="G821" t="str">
        <f t="shared" si="12"/>
        <v>3. Wholesale / Bulk (8+ Units)</v>
      </c>
      <c r="H821">
        <v>8</v>
      </c>
      <c r="J821">
        <f>IF(ISBLANK(I821), ROUND(I821/ABS(VALUE(_xlfn.TEXTBEFORE(F821&amp;" ", " "))), 2), ABS(VALUE(SUBSTITUTE(I821, "$", ""))))</f>
        <v>0</v>
      </c>
      <c r="K821">
        <f>ROUND(Sheet1[[#This Row],[CleanedUnits_sold]]*Sheet1[[#This Row],[Cleaned_Unit_Price]],2)</f>
        <v>0</v>
      </c>
      <c r="L821">
        <v>1856.8</v>
      </c>
      <c r="M821" s="1" t="s">
        <v>1579</v>
      </c>
      <c r="N821" s="1" t="s">
        <v>50</v>
      </c>
      <c r="O821" s="1" t="s">
        <v>1579</v>
      </c>
    </row>
    <row r="822" spans="1:15" x14ac:dyDescent="0.35">
      <c r="A822" s="1" t="s">
        <v>1580</v>
      </c>
      <c r="B822" s="2">
        <v>1</v>
      </c>
      <c r="C822" s="1" t="s">
        <v>16</v>
      </c>
      <c r="D822" s="1" t="s">
        <v>24</v>
      </c>
      <c r="E822" s="1" t="str">
        <f>TRIM(CLEAN(Sheet1[[#This Row],[Category]]))</f>
        <v>Electronics</v>
      </c>
      <c r="F822">
        <v>5</v>
      </c>
      <c r="G822" t="str">
        <f t="shared" si="12"/>
        <v>2. Mid-Market (4-7 Units)</v>
      </c>
      <c r="H822">
        <v>5</v>
      </c>
      <c r="I822">
        <v>398.17</v>
      </c>
      <c r="J822">
        <f>IF(ISBLANK(I822), ROUND(I822/ABS(VALUE(_xlfn.TEXTBEFORE(F822&amp;" ", " "))), 2), ABS(VALUE(SUBSTITUTE(I822, "$", ""))))</f>
        <v>398.17</v>
      </c>
      <c r="K822">
        <f>ROUND(Sheet1[[#This Row],[CleanedUnits_sold]]*Sheet1[[#This Row],[Cleaned_Unit_Price]],2)</f>
        <v>1990.85</v>
      </c>
      <c r="L822">
        <v>1990.85</v>
      </c>
      <c r="M822" s="1" t="s">
        <v>1581</v>
      </c>
      <c r="N822" s="1" t="s">
        <v>14</v>
      </c>
      <c r="O822" s="1" t="s">
        <v>1581</v>
      </c>
    </row>
    <row r="823" spans="1:15" x14ac:dyDescent="0.35">
      <c r="A823" s="1" t="s">
        <v>1582</v>
      </c>
      <c r="B823" s="2">
        <v>1</v>
      </c>
      <c r="C823" s="1" t="s">
        <v>16</v>
      </c>
      <c r="D823" s="1" t="s">
        <v>12</v>
      </c>
      <c r="E823" s="1" t="str">
        <f>TRIM(CLEAN(Sheet1[[#This Row],[Category]]))</f>
        <v>Office Supplies</v>
      </c>
      <c r="F823">
        <v>4</v>
      </c>
      <c r="G823" t="str">
        <f t="shared" si="12"/>
        <v>2. Mid-Market (4-7 Units)</v>
      </c>
      <c r="H823">
        <v>4</v>
      </c>
      <c r="I823">
        <v>-154.13999999999999</v>
      </c>
      <c r="J823">
        <f>IF(ISBLANK(I823), ROUND(I823/ABS(VALUE(_xlfn.TEXTBEFORE(F823&amp;" ", " "))), 2), ABS(VALUE(SUBSTITUTE(I823, "$", ""))))</f>
        <v>154.13999999999999</v>
      </c>
      <c r="K823">
        <f>ROUND(Sheet1[[#This Row],[CleanedUnits_sold]]*Sheet1[[#This Row],[Cleaned_Unit_Price]],2)</f>
        <v>616.55999999999995</v>
      </c>
      <c r="L823">
        <v>1683.68</v>
      </c>
      <c r="M823" s="1" t="s">
        <v>1583</v>
      </c>
      <c r="N823" s="1" t="s">
        <v>14</v>
      </c>
      <c r="O823" s="1" t="s">
        <v>1583</v>
      </c>
    </row>
    <row r="824" spans="1:15" x14ac:dyDescent="0.35">
      <c r="A824" s="1" t="s">
        <v>1584</v>
      </c>
      <c r="B824" s="2">
        <v>45042</v>
      </c>
      <c r="C824" s="1" t="s">
        <v>19</v>
      </c>
      <c r="D824" s="1" t="s">
        <v>24</v>
      </c>
      <c r="E824" s="1" t="str">
        <f>TRIM(CLEAN(Sheet1[[#This Row],[Category]]))</f>
        <v>Electronics</v>
      </c>
      <c r="F824">
        <v>9</v>
      </c>
      <c r="G824" t="str">
        <f t="shared" si="12"/>
        <v>3. Wholesale / Bulk (8+ Units)</v>
      </c>
      <c r="H824">
        <v>9</v>
      </c>
      <c r="I824">
        <v>330.84</v>
      </c>
      <c r="J824">
        <f>IF(ISBLANK(I824), ROUND(I824/ABS(VALUE(_xlfn.TEXTBEFORE(F824&amp;" ", " "))), 2), ABS(VALUE(SUBSTITUTE(I824, "$", ""))))</f>
        <v>330.84</v>
      </c>
      <c r="K824">
        <f>ROUND(Sheet1[[#This Row],[CleanedUnits_sold]]*Sheet1[[#This Row],[Cleaned_Unit_Price]],2)</f>
        <v>2977.56</v>
      </c>
      <c r="L824">
        <v>2977.56</v>
      </c>
      <c r="M824" s="1" t="s">
        <v>1585</v>
      </c>
      <c r="N824" s="1" t="s">
        <v>14</v>
      </c>
      <c r="O824" s="1" t="s">
        <v>1585</v>
      </c>
    </row>
    <row r="825" spans="1:15" x14ac:dyDescent="0.35">
      <c r="A825" s="1" t="s">
        <v>1586</v>
      </c>
      <c r="B825" s="2">
        <v>44968</v>
      </c>
      <c r="C825" s="1" t="s">
        <v>23</v>
      </c>
      <c r="D825" s="1" t="s">
        <v>46</v>
      </c>
      <c r="E825" s="1" t="str">
        <f>TRIM(CLEAN(Sheet1[[#This Row],[Category]]))</f>
        <v>Furniture</v>
      </c>
      <c r="F825">
        <v>2</v>
      </c>
      <c r="G825" t="str">
        <f t="shared" si="12"/>
        <v>1. Retail (1-3 Units)</v>
      </c>
      <c r="H825">
        <v>2</v>
      </c>
      <c r="I825">
        <v>121.93</v>
      </c>
      <c r="J825">
        <f>IF(ISBLANK(I825), ROUND(I825/ABS(VALUE(_xlfn.TEXTBEFORE(F825&amp;" ", " "))), 2), ABS(VALUE(SUBSTITUTE(I825, "$", ""))))</f>
        <v>121.93</v>
      </c>
      <c r="K825">
        <f>ROUND(Sheet1[[#This Row],[CleanedUnits_sold]]*Sheet1[[#This Row],[Cleaned_Unit_Price]],2)</f>
        <v>243.86</v>
      </c>
      <c r="L825">
        <v>243.86</v>
      </c>
      <c r="M825" s="1" t="s">
        <v>1587</v>
      </c>
      <c r="N825" s="1" t="s">
        <v>21</v>
      </c>
      <c r="O825" s="1" t="s">
        <v>1587</v>
      </c>
    </row>
    <row r="826" spans="1:15" x14ac:dyDescent="0.35">
      <c r="A826" s="1" t="s">
        <v>1588</v>
      </c>
      <c r="B826" s="2">
        <v>1</v>
      </c>
      <c r="C826" s="1" t="s">
        <v>16</v>
      </c>
      <c r="D826" s="1" t="s">
        <v>32</v>
      </c>
      <c r="E826" s="1" t="str">
        <f>TRIM(CLEAN(Sheet1[[#This Row],[Category]]))</f>
        <v>Furniture</v>
      </c>
      <c r="F826">
        <v>5</v>
      </c>
      <c r="G826" t="str">
        <f t="shared" si="12"/>
        <v>2. Mid-Market (4-7 Units)</v>
      </c>
      <c r="H826">
        <v>5</v>
      </c>
      <c r="I826">
        <v>144.27000000000001</v>
      </c>
      <c r="J826">
        <f>IF(ISBLANK(I826), ROUND(I826/ABS(VALUE(_xlfn.TEXTBEFORE(F826&amp;" ", " "))), 2), ABS(VALUE(SUBSTITUTE(I826, "$", ""))))</f>
        <v>144.27000000000001</v>
      </c>
      <c r="K826">
        <f>ROUND(Sheet1[[#This Row],[CleanedUnits_sold]]*Sheet1[[#This Row],[Cleaned_Unit_Price]],2)</f>
        <v>721.35</v>
      </c>
      <c r="L826">
        <v>721.35</v>
      </c>
      <c r="M826" s="1" t="s">
        <v>1589</v>
      </c>
      <c r="N826" s="1" t="s">
        <v>50</v>
      </c>
      <c r="O826" s="1" t="s">
        <v>1589</v>
      </c>
    </row>
    <row r="827" spans="1:15" x14ac:dyDescent="0.35">
      <c r="A827" s="1" t="s">
        <v>1590</v>
      </c>
      <c r="B827" s="2">
        <v>45209</v>
      </c>
      <c r="C827" s="1" t="s">
        <v>16</v>
      </c>
      <c r="D827" s="1" t="s">
        <v>12</v>
      </c>
      <c r="E827" s="1" t="str">
        <f>TRIM(CLEAN(Sheet1[[#This Row],[Category]]))</f>
        <v>Office Supplies</v>
      </c>
      <c r="F827">
        <v>10</v>
      </c>
      <c r="G827" t="str">
        <f t="shared" si="12"/>
        <v>3. Wholesale / Bulk (8+ Units)</v>
      </c>
      <c r="H827">
        <v>10</v>
      </c>
      <c r="I827">
        <v>164.27</v>
      </c>
      <c r="J827">
        <f>IF(ISBLANK(I827), ROUND(I827/ABS(VALUE(_xlfn.TEXTBEFORE(F827&amp;" ", " "))), 2), ABS(VALUE(SUBSTITUTE(I827, "$", ""))))</f>
        <v>164.27</v>
      </c>
      <c r="K827">
        <f>ROUND(Sheet1[[#This Row],[CleanedUnits_sold]]*Sheet1[[#This Row],[Cleaned_Unit_Price]],2)</f>
        <v>1642.7</v>
      </c>
      <c r="M827" s="1" t="s">
        <v>1591</v>
      </c>
      <c r="N827" s="1" t="s">
        <v>14</v>
      </c>
      <c r="O827" s="1" t="s">
        <v>1591</v>
      </c>
    </row>
    <row r="828" spans="1:15" x14ac:dyDescent="0.35">
      <c r="A828" s="1" t="s">
        <v>1592</v>
      </c>
      <c r="B828" s="2">
        <v>1</v>
      </c>
      <c r="C828" s="1" t="s">
        <v>16</v>
      </c>
      <c r="D828" s="1" t="s">
        <v>12</v>
      </c>
      <c r="E828" s="1" t="str">
        <f>TRIM(CLEAN(Sheet1[[#This Row],[Category]]))</f>
        <v>Office Supplies</v>
      </c>
      <c r="F828">
        <v>5</v>
      </c>
      <c r="G828" t="str">
        <f t="shared" si="12"/>
        <v>2. Mid-Market (4-7 Units)</v>
      </c>
      <c r="H828">
        <v>5</v>
      </c>
      <c r="I828">
        <v>67.23</v>
      </c>
      <c r="J828">
        <f>IF(ISBLANK(I828), ROUND(I828/ABS(VALUE(_xlfn.TEXTBEFORE(F828&amp;" ", " "))), 2), ABS(VALUE(SUBSTITUTE(I828, "$", ""))))</f>
        <v>67.23</v>
      </c>
      <c r="K828">
        <f>ROUND(Sheet1[[#This Row],[CleanedUnits_sold]]*Sheet1[[#This Row],[Cleaned_Unit_Price]],2)</f>
        <v>336.15</v>
      </c>
      <c r="L828">
        <v>336.15</v>
      </c>
      <c r="M828" s="1" t="s">
        <v>1593</v>
      </c>
      <c r="N828" s="1" t="s">
        <v>26</v>
      </c>
      <c r="O828" s="1" t="s">
        <v>1593</v>
      </c>
    </row>
    <row r="829" spans="1:15" x14ac:dyDescent="0.35">
      <c r="A829" s="1" t="s">
        <v>1594</v>
      </c>
      <c r="B829" s="2">
        <v>1</v>
      </c>
      <c r="C829" s="1" t="s">
        <v>16</v>
      </c>
      <c r="D829" s="1" t="s">
        <v>32</v>
      </c>
      <c r="E829" s="1" t="str">
        <f>TRIM(CLEAN(Sheet1[[#This Row],[Category]]))</f>
        <v>Furniture</v>
      </c>
      <c r="F829">
        <v>4</v>
      </c>
      <c r="G829" t="str">
        <f t="shared" si="12"/>
        <v>2. Mid-Market (4-7 Units)</v>
      </c>
      <c r="H829">
        <v>4</v>
      </c>
      <c r="I829">
        <v>143.85</v>
      </c>
      <c r="J829">
        <f>IF(ISBLANK(I829), ROUND(I829/ABS(VALUE(_xlfn.TEXTBEFORE(F829&amp;" ", " "))), 2), ABS(VALUE(SUBSTITUTE(I829, "$", ""))))</f>
        <v>143.85</v>
      </c>
      <c r="K829">
        <f>ROUND(Sheet1[[#This Row],[CleanedUnits_sold]]*Sheet1[[#This Row],[Cleaned_Unit_Price]],2)</f>
        <v>575.4</v>
      </c>
      <c r="L829">
        <v>575.4</v>
      </c>
      <c r="M829" s="1" t="s">
        <v>1595</v>
      </c>
      <c r="N829" s="1" t="s">
        <v>26</v>
      </c>
      <c r="O829" s="1" t="s">
        <v>1595</v>
      </c>
    </row>
    <row r="830" spans="1:15" x14ac:dyDescent="0.35">
      <c r="A830" s="1" t="s">
        <v>1596</v>
      </c>
      <c r="B830" s="2">
        <v>45182</v>
      </c>
      <c r="C830" s="1" t="s">
        <v>16</v>
      </c>
      <c r="D830" s="1" t="s">
        <v>32</v>
      </c>
      <c r="E830" s="1" t="str">
        <f>TRIM(CLEAN(Sheet1[[#This Row],[Category]]))</f>
        <v>Furniture</v>
      </c>
      <c r="F830">
        <v>7</v>
      </c>
      <c r="G830" t="str">
        <f t="shared" si="12"/>
        <v>2. Mid-Market (4-7 Units)</v>
      </c>
      <c r="H830">
        <v>7</v>
      </c>
      <c r="I830">
        <v>112.66</v>
      </c>
      <c r="J830">
        <f>IF(ISBLANK(I830), ROUND(I830/ABS(VALUE(_xlfn.TEXTBEFORE(F830&amp;" ", " "))), 2), ABS(VALUE(SUBSTITUTE(I830, "$", ""))))</f>
        <v>112.66</v>
      </c>
      <c r="K830">
        <f>ROUND(Sheet1[[#This Row],[CleanedUnits_sold]]*Sheet1[[#This Row],[Cleaned_Unit_Price]],2)</f>
        <v>788.62</v>
      </c>
      <c r="L830">
        <v>788.62</v>
      </c>
      <c r="M830" s="1" t="s">
        <v>1597</v>
      </c>
      <c r="N830" s="1" t="s">
        <v>14</v>
      </c>
      <c r="O830" s="1" t="s">
        <v>1597</v>
      </c>
    </row>
    <row r="831" spans="1:15" x14ac:dyDescent="0.35">
      <c r="A831" s="1" t="s">
        <v>1598</v>
      </c>
      <c r="B831" s="2">
        <v>45096</v>
      </c>
      <c r="C831" s="1" t="s">
        <v>11</v>
      </c>
      <c r="D831" s="1" t="s">
        <v>12</v>
      </c>
      <c r="E831" s="1" t="str">
        <f>TRIM(CLEAN(Sheet1[[#This Row],[Category]]))</f>
        <v>Office Supplies</v>
      </c>
      <c r="F831">
        <v>3</v>
      </c>
      <c r="G831" t="str">
        <f t="shared" si="12"/>
        <v>1. Retail (1-3 Units)</v>
      </c>
      <c r="H831">
        <v>3</v>
      </c>
      <c r="I831">
        <v>233.11</v>
      </c>
      <c r="J831">
        <f>IF(ISBLANK(I831), ROUND(I831/ABS(VALUE(_xlfn.TEXTBEFORE(F831&amp;" ", " "))), 2), ABS(VALUE(SUBSTITUTE(I831, "$", ""))))</f>
        <v>233.11</v>
      </c>
      <c r="K831">
        <f>ROUND(Sheet1[[#This Row],[CleanedUnits_sold]]*Sheet1[[#This Row],[Cleaned_Unit_Price]],2)</f>
        <v>699.33</v>
      </c>
      <c r="L831">
        <v>699.33</v>
      </c>
      <c r="M831" s="1" t="s">
        <v>1599</v>
      </c>
      <c r="N831" s="1" t="s">
        <v>14</v>
      </c>
      <c r="O831" s="1" t="s">
        <v>1599</v>
      </c>
    </row>
    <row r="832" spans="1:15" x14ac:dyDescent="0.35">
      <c r="A832" s="1" t="s">
        <v>1600</v>
      </c>
      <c r="B832" s="2">
        <v>1</v>
      </c>
      <c r="C832" s="1" t="s">
        <v>19</v>
      </c>
      <c r="D832" s="1" t="s">
        <v>24</v>
      </c>
      <c r="E832" s="1" t="str">
        <f>TRIM(CLEAN(Sheet1[[#This Row],[Category]]))</f>
        <v>Electronics</v>
      </c>
      <c r="F832">
        <v>6</v>
      </c>
      <c r="G832" t="str">
        <f t="shared" si="12"/>
        <v>2. Mid-Market (4-7 Units)</v>
      </c>
      <c r="H832">
        <v>6</v>
      </c>
      <c r="I832">
        <v>455.13</v>
      </c>
      <c r="J832">
        <f>IF(ISBLANK(I832), ROUND(I832/ABS(VALUE(_xlfn.TEXTBEFORE(F832&amp;" ", " "))), 2), ABS(VALUE(SUBSTITUTE(I832, "$", ""))))</f>
        <v>455.13</v>
      </c>
      <c r="K832">
        <f>ROUND(Sheet1[[#This Row],[CleanedUnits_sold]]*Sheet1[[#This Row],[Cleaned_Unit_Price]],2)</f>
        <v>2730.78</v>
      </c>
      <c r="L832">
        <v>2730.78</v>
      </c>
      <c r="M832" s="1" t="s">
        <v>49</v>
      </c>
      <c r="N832" s="1" t="s">
        <v>14</v>
      </c>
      <c r="O832" s="1" t="s">
        <v>51</v>
      </c>
    </row>
    <row r="833" spans="1:15" x14ac:dyDescent="0.35">
      <c r="A833" s="1" t="s">
        <v>1601</v>
      </c>
      <c r="B833" s="2">
        <v>45281</v>
      </c>
      <c r="C833" s="1" t="s">
        <v>16</v>
      </c>
      <c r="D833" s="1" t="s">
        <v>12</v>
      </c>
      <c r="E833" s="1" t="str">
        <f>TRIM(CLEAN(Sheet1[[#This Row],[Category]]))</f>
        <v>Office Supplies</v>
      </c>
      <c r="F833">
        <v>3</v>
      </c>
      <c r="G833" t="str">
        <f t="shared" si="12"/>
        <v>1. Retail (1-3 Units)</v>
      </c>
      <c r="H833">
        <v>3</v>
      </c>
      <c r="I833">
        <v>61.2</v>
      </c>
      <c r="J833">
        <f>IF(ISBLANK(I833), ROUND(I833/ABS(VALUE(_xlfn.TEXTBEFORE(F833&amp;" ", " "))), 2), ABS(VALUE(SUBSTITUTE(I833, "$", ""))))</f>
        <v>61.2</v>
      </c>
      <c r="K833">
        <f>ROUND(Sheet1[[#This Row],[CleanedUnits_sold]]*Sheet1[[#This Row],[Cleaned_Unit_Price]],2)</f>
        <v>183.6</v>
      </c>
      <c r="L833">
        <v>183.6</v>
      </c>
      <c r="M833" s="1" t="s">
        <v>1602</v>
      </c>
      <c r="N833" s="1" t="s">
        <v>38</v>
      </c>
      <c r="O833" s="1" t="s">
        <v>1602</v>
      </c>
    </row>
    <row r="834" spans="1:15" x14ac:dyDescent="0.35">
      <c r="A834" s="1" t="s">
        <v>1603</v>
      </c>
      <c r="B834" s="2">
        <v>44965</v>
      </c>
      <c r="C834" s="1" t="s">
        <v>58</v>
      </c>
      <c r="D834" s="1" t="s">
        <v>32</v>
      </c>
      <c r="E834" s="1" t="str">
        <f>TRIM(CLEAN(Sheet1[[#This Row],[Category]]))</f>
        <v>Furniture</v>
      </c>
      <c r="F834">
        <v>3</v>
      </c>
      <c r="G834" t="str">
        <f t="shared" ref="G834:G897" si="13">IF(H834=0, "Non-Billable / Zero", IF(H834&lt;=3, "1. Retail (1-3 Units)", IF(H834&lt;=7, "2. Mid-Market (4-7 Units)", "3. Wholesale / Bulk (8+ Units)")))</f>
        <v>1. Retail (1-3 Units)</v>
      </c>
      <c r="H834">
        <v>3</v>
      </c>
      <c r="I834">
        <v>362.93</v>
      </c>
      <c r="J834">
        <f>IF(ISBLANK(I834), ROUND(I834/ABS(VALUE(_xlfn.TEXTBEFORE(F834&amp;" ", " "))), 2), ABS(VALUE(SUBSTITUTE(I834, "$", ""))))</f>
        <v>362.93</v>
      </c>
      <c r="K834">
        <f>ROUND(Sheet1[[#This Row],[CleanedUnits_sold]]*Sheet1[[#This Row],[Cleaned_Unit_Price]],2)</f>
        <v>1088.79</v>
      </c>
      <c r="L834">
        <v>1088.79</v>
      </c>
      <c r="M834" s="1" t="s">
        <v>1604</v>
      </c>
      <c r="N834" s="1" t="s">
        <v>14</v>
      </c>
      <c r="O834" s="1" t="s">
        <v>1604</v>
      </c>
    </row>
    <row r="835" spans="1:15" x14ac:dyDescent="0.35">
      <c r="A835" s="1" t="s">
        <v>1605</v>
      </c>
      <c r="B835" s="2">
        <v>45215</v>
      </c>
      <c r="C835" s="1" t="s">
        <v>11</v>
      </c>
      <c r="D835" s="1" t="s">
        <v>24</v>
      </c>
      <c r="E835" s="1" t="str">
        <f>TRIM(CLEAN(Sheet1[[#This Row],[Category]]))</f>
        <v>Electronics</v>
      </c>
      <c r="F835">
        <v>4</v>
      </c>
      <c r="G835" t="str">
        <f t="shared" si="13"/>
        <v>2. Mid-Market (4-7 Units)</v>
      </c>
      <c r="H835">
        <v>4</v>
      </c>
      <c r="I835">
        <v>346.77</v>
      </c>
      <c r="J835">
        <f>IF(ISBLANK(I835), ROUND(I835/ABS(VALUE(_xlfn.TEXTBEFORE(F835&amp;" ", " "))), 2), ABS(VALUE(SUBSTITUTE(I835, "$", ""))))</f>
        <v>346.77</v>
      </c>
      <c r="K835">
        <f>ROUND(Sheet1[[#This Row],[CleanedUnits_sold]]*Sheet1[[#This Row],[Cleaned_Unit_Price]],2)</f>
        <v>1387.08</v>
      </c>
      <c r="L835">
        <v>1387.08</v>
      </c>
      <c r="M835" s="1" t="s">
        <v>1606</v>
      </c>
      <c r="N835" s="1" t="s">
        <v>50</v>
      </c>
      <c r="O835" s="1" t="s">
        <v>1606</v>
      </c>
    </row>
    <row r="836" spans="1:15" x14ac:dyDescent="0.35">
      <c r="A836" s="1" t="s">
        <v>1607</v>
      </c>
      <c r="B836" s="2">
        <v>45088</v>
      </c>
      <c r="C836" s="1" t="s">
        <v>11</v>
      </c>
      <c r="D836" s="1" t="s">
        <v>24</v>
      </c>
      <c r="E836" s="1" t="str">
        <f>TRIM(CLEAN(Sheet1[[#This Row],[Category]]))</f>
        <v>Electronics</v>
      </c>
      <c r="F836">
        <v>1</v>
      </c>
      <c r="G836" t="str">
        <f t="shared" si="13"/>
        <v>1. Retail (1-3 Units)</v>
      </c>
      <c r="H836">
        <v>1</v>
      </c>
      <c r="I836">
        <v>-180.34</v>
      </c>
      <c r="J836">
        <f>IF(ISBLANK(I836), ROUND(I836/ABS(VALUE(_xlfn.TEXTBEFORE(F836&amp;" ", " "))), 2), ABS(VALUE(SUBSTITUTE(I836, "$", ""))))</f>
        <v>180.34</v>
      </c>
      <c r="K836">
        <f>ROUND(Sheet1[[#This Row],[CleanedUnits_sold]]*Sheet1[[#This Row],[Cleaned_Unit_Price]],2)</f>
        <v>180.34</v>
      </c>
      <c r="L836">
        <v>130.69999999999999</v>
      </c>
      <c r="M836" s="1" t="s">
        <v>1608</v>
      </c>
      <c r="N836" s="1" t="s">
        <v>14</v>
      </c>
      <c r="O836" s="1" t="s">
        <v>1608</v>
      </c>
    </row>
    <row r="837" spans="1:15" x14ac:dyDescent="0.35">
      <c r="A837" s="1" t="s">
        <v>1609</v>
      </c>
      <c r="B837" s="2">
        <v>1</v>
      </c>
      <c r="C837" s="1" t="s">
        <v>23</v>
      </c>
      <c r="D837" s="1" t="s">
        <v>12</v>
      </c>
      <c r="E837" s="1" t="str">
        <f>TRIM(CLEAN(Sheet1[[#This Row],[Category]]))</f>
        <v>Office Supplies</v>
      </c>
      <c r="F837">
        <v>2</v>
      </c>
      <c r="G837" t="str">
        <f t="shared" si="13"/>
        <v>1. Retail (1-3 Units)</v>
      </c>
      <c r="H837">
        <v>2</v>
      </c>
      <c r="I837">
        <v>462.06</v>
      </c>
      <c r="J837">
        <f>IF(ISBLANK(I837), ROUND(I837/ABS(VALUE(_xlfn.TEXTBEFORE(F837&amp;" ", " "))), 2), ABS(VALUE(SUBSTITUTE(I837, "$", ""))))</f>
        <v>462.06</v>
      </c>
      <c r="K837">
        <f>ROUND(Sheet1[[#This Row],[CleanedUnits_sold]]*Sheet1[[#This Row],[Cleaned_Unit_Price]],2)</f>
        <v>924.12</v>
      </c>
      <c r="L837">
        <v>1279.27</v>
      </c>
      <c r="M837" s="1" t="s">
        <v>1610</v>
      </c>
      <c r="N837" s="1" t="s">
        <v>14</v>
      </c>
      <c r="O837" s="1" t="s">
        <v>1610</v>
      </c>
    </row>
    <row r="838" spans="1:15" x14ac:dyDescent="0.35">
      <c r="A838" s="1" t="s">
        <v>1611</v>
      </c>
      <c r="B838" s="2">
        <v>45291</v>
      </c>
      <c r="C838" s="1" t="s">
        <v>23</v>
      </c>
      <c r="D838" s="1" t="s">
        <v>12</v>
      </c>
      <c r="E838" s="1" t="str">
        <f>TRIM(CLEAN(Sheet1[[#This Row],[Category]]))</f>
        <v>Office Supplies</v>
      </c>
      <c r="F838">
        <v>4</v>
      </c>
      <c r="G838" t="str">
        <f t="shared" si="13"/>
        <v>2. Mid-Market (4-7 Units)</v>
      </c>
      <c r="H838">
        <v>4</v>
      </c>
      <c r="I838">
        <v>288.55</v>
      </c>
      <c r="J838">
        <f>IF(ISBLANK(I838), ROUND(I838/ABS(VALUE(_xlfn.TEXTBEFORE(F838&amp;" ", " "))), 2), ABS(VALUE(SUBSTITUTE(I838, "$", ""))))</f>
        <v>288.55</v>
      </c>
      <c r="K838">
        <f>ROUND(Sheet1[[#This Row],[CleanedUnits_sold]]*Sheet1[[#This Row],[Cleaned_Unit_Price]],2)</f>
        <v>1154.2</v>
      </c>
      <c r="L838">
        <v>1154.2</v>
      </c>
      <c r="M838" s="1" t="s">
        <v>1612</v>
      </c>
      <c r="N838" s="1" t="s">
        <v>50</v>
      </c>
      <c r="O838" s="1" t="s">
        <v>1612</v>
      </c>
    </row>
    <row r="839" spans="1:15" x14ac:dyDescent="0.35">
      <c r="A839" s="1" t="s">
        <v>1613</v>
      </c>
      <c r="B839" s="2">
        <v>44991</v>
      </c>
      <c r="C839" s="1" t="s">
        <v>19</v>
      </c>
      <c r="D839" s="1" t="s">
        <v>24</v>
      </c>
      <c r="E839" s="1" t="str">
        <f>TRIM(CLEAN(Sheet1[[#This Row],[Category]]))</f>
        <v>Electronics</v>
      </c>
      <c r="F839">
        <v>5</v>
      </c>
      <c r="G839" t="str">
        <f t="shared" si="13"/>
        <v>2. Mid-Market (4-7 Units)</v>
      </c>
      <c r="H839">
        <v>5</v>
      </c>
      <c r="I839">
        <v>188.23</v>
      </c>
      <c r="J839">
        <f>IF(ISBLANK(I839), ROUND(I839/ABS(VALUE(_xlfn.TEXTBEFORE(F839&amp;" ", " "))), 2), ABS(VALUE(SUBSTITUTE(I839, "$", ""))))</f>
        <v>188.23</v>
      </c>
      <c r="K839">
        <f>ROUND(Sheet1[[#This Row],[CleanedUnits_sold]]*Sheet1[[#This Row],[Cleaned_Unit_Price]],2)</f>
        <v>941.15</v>
      </c>
      <c r="L839">
        <v>941.15</v>
      </c>
      <c r="M839" s="1" t="s">
        <v>1614</v>
      </c>
      <c r="N839" s="1" t="s">
        <v>50</v>
      </c>
      <c r="O839" s="1" t="s">
        <v>1614</v>
      </c>
    </row>
    <row r="840" spans="1:15" x14ac:dyDescent="0.35">
      <c r="A840" s="1" t="s">
        <v>1615</v>
      </c>
      <c r="B840" s="2">
        <v>45217</v>
      </c>
      <c r="C840" s="1" t="s">
        <v>23</v>
      </c>
      <c r="D840" s="1" t="s">
        <v>24</v>
      </c>
      <c r="E840" s="1" t="str">
        <f>TRIM(CLEAN(Sheet1[[#This Row],[Category]]))</f>
        <v>Electronics</v>
      </c>
      <c r="F840">
        <v>8</v>
      </c>
      <c r="G840" t="str">
        <f t="shared" si="13"/>
        <v>3. Wholesale / Bulk (8+ Units)</v>
      </c>
      <c r="H840">
        <v>8</v>
      </c>
      <c r="I840">
        <v>380.7</v>
      </c>
      <c r="J840">
        <f>IF(ISBLANK(I840), ROUND(I840/ABS(VALUE(_xlfn.TEXTBEFORE(F840&amp;" ", " "))), 2), ABS(VALUE(SUBSTITUTE(I840, "$", ""))))</f>
        <v>380.7</v>
      </c>
      <c r="K840">
        <f>ROUND(Sheet1[[#This Row],[CleanedUnits_sold]]*Sheet1[[#This Row],[Cleaned_Unit_Price]],2)</f>
        <v>3045.6</v>
      </c>
      <c r="L840">
        <v>3045.6</v>
      </c>
      <c r="M840" s="1" t="s">
        <v>1616</v>
      </c>
      <c r="N840" s="1" t="s">
        <v>50</v>
      </c>
      <c r="O840" s="1" t="s">
        <v>1616</v>
      </c>
    </row>
    <row r="841" spans="1:15" x14ac:dyDescent="0.35">
      <c r="A841" s="1" t="s">
        <v>1617</v>
      </c>
      <c r="B841" s="2">
        <v>45203</v>
      </c>
      <c r="C841" s="1" t="s">
        <v>23</v>
      </c>
      <c r="D841" s="1" t="s">
        <v>24</v>
      </c>
      <c r="E841" s="1" t="str">
        <f>TRIM(CLEAN(Sheet1[[#This Row],[Category]]))</f>
        <v>Electronics</v>
      </c>
      <c r="F841">
        <v>9999</v>
      </c>
      <c r="G841" t="str">
        <f t="shared" si="13"/>
        <v>2. Mid-Market (4-7 Units)</v>
      </c>
      <c r="H841">
        <v>5</v>
      </c>
      <c r="I841">
        <v>136.11000000000001</v>
      </c>
      <c r="J841">
        <f>IF(ISBLANK(I841), ROUND(I841/ABS(VALUE(_xlfn.TEXTBEFORE(F841&amp;" ", " "))), 2), ABS(VALUE(SUBSTITUTE(I841, "$", ""))))</f>
        <v>136.11000000000001</v>
      </c>
      <c r="K841">
        <f>ROUND(Sheet1[[#This Row],[CleanedUnits_sold]]*Sheet1[[#This Row],[Cleaned_Unit_Price]],2)</f>
        <v>680.55</v>
      </c>
      <c r="L841">
        <v>952.77</v>
      </c>
      <c r="M841" s="1" t="s">
        <v>1618</v>
      </c>
      <c r="N841" s="1" t="s">
        <v>50</v>
      </c>
      <c r="O841" s="1" t="s">
        <v>1618</v>
      </c>
    </row>
    <row r="842" spans="1:15" x14ac:dyDescent="0.35">
      <c r="A842" s="1" t="s">
        <v>1619</v>
      </c>
      <c r="B842" s="2">
        <v>44998</v>
      </c>
      <c r="C842" s="1" t="s">
        <v>23</v>
      </c>
      <c r="D842" s="1" t="s">
        <v>24</v>
      </c>
      <c r="E842" s="1" t="str">
        <f>TRIM(CLEAN(Sheet1[[#This Row],[Category]]))</f>
        <v>Electronics</v>
      </c>
      <c r="F842">
        <v>7</v>
      </c>
      <c r="G842" t="str">
        <f t="shared" si="13"/>
        <v>2. Mid-Market (4-7 Units)</v>
      </c>
      <c r="H842">
        <v>7</v>
      </c>
      <c r="I842">
        <v>349.82</v>
      </c>
      <c r="J842">
        <f>IF(ISBLANK(I842), ROUND(I842/ABS(VALUE(_xlfn.TEXTBEFORE(F842&amp;" ", " "))), 2), ABS(VALUE(SUBSTITUTE(I842, "$", ""))))</f>
        <v>349.82</v>
      </c>
      <c r="K842">
        <f>ROUND(Sheet1[[#This Row],[CleanedUnits_sold]]*Sheet1[[#This Row],[Cleaned_Unit_Price]],2)</f>
        <v>2448.7399999999998</v>
      </c>
      <c r="L842">
        <v>2448.7399999999998</v>
      </c>
      <c r="M842" s="1" t="s">
        <v>1620</v>
      </c>
      <c r="N842" s="1" t="s">
        <v>38</v>
      </c>
      <c r="O842" s="1" t="s">
        <v>1620</v>
      </c>
    </row>
    <row r="843" spans="1:15" x14ac:dyDescent="0.35">
      <c r="A843" s="1" t="s">
        <v>1621</v>
      </c>
      <c r="B843" s="2">
        <v>45104</v>
      </c>
      <c r="C843" s="1" t="s">
        <v>16</v>
      </c>
      <c r="D843" s="1" t="s">
        <v>12</v>
      </c>
      <c r="E843" s="1" t="str">
        <f>TRIM(CLEAN(Sheet1[[#This Row],[Category]]))</f>
        <v>Office Supplies</v>
      </c>
      <c r="F843">
        <v>2</v>
      </c>
      <c r="G843" t="str">
        <f t="shared" si="13"/>
        <v>1. Retail (1-3 Units)</v>
      </c>
      <c r="H843">
        <v>2</v>
      </c>
      <c r="I843">
        <v>29.46</v>
      </c>
      <c r="J843">
        <f>IF(ISBLANK(I843), ROUND(I843/ABS(VALUE(_xlfn.TEXTBEFORE(F843&amp;" ", " "))), 2), ABS(VALUE(SUBSTITUTE(I843, "$", ""))))</f>
        <v>29.46</v>
      </c>
      <c r="K843">
        <f>ROUND(Sheet1[[#This Row],[CleanedUnits_sold]]*Sheet1[[#This Row],[Cleaned_Unit_Price]],2)</f>
        <v>58.92</v>
      </c>
      <c r="L843">
        <v>143.35</v>
      </c>
      <c r="M843" s="1" t="s">
        <v>1622</v>
      </c>
      <c r="N843" s="1" t="s">
        <v>14</v>
      </c>
      <c r="O843" s="1" t="s">
        <v>1622</v>
      </c>
    </row>
    <row r="844" spans="1:15" x14ac:dyDescent="0.35">
      <c r="A844" s="1" t="s">
        <v>1623</v>
      </c>
      <c r="B844" s="2">
        <v>1</v>
      </c>
      <c r="C844" s="1" t="s">
        <v>23</v>
      </c>
      <c r="D844" s="1" t="s">
        <v>12</v>
      </c>
      <c r="E844" s="1" t="str">
        <f>TRIM(CLEAN(Sheet1[[#This Row],[Category]]))</f>
        <v>Office Supplies</v>
      </c>
      <c r="F844">
        <v>6</v>
      </c>
      <c r="G844" t="str">
        <f t="shared" si="13"/>
        <v>2. Mid-Market (4-7 Units)</v>
      </c>
      <c r="H844">
        <v>6</v>
      </c>
      <c r="I844">
        <v>421.31</v>
      </c>
      <c r="J844">
        <f>IF(ISBLANK(I844), ROUND(I844/ABS(VALUE(_xlfn.TEXTBEFORE(F844&amp;" ", " "))), 2), ABS(VALUE(SUBSTITUTE(I844, "$", ""))))</f>
        <v>421.31</v>
      </c>
      <c r="K844">
        <f>ROUND(Sheet1[[#This Row],[CleanedUnits_sold]]*Sheet1[[#This Row],[Cleaned_Unit_Price]],2)</f>
        <v>2527.86</v>
      </c>
      <c r="L844">
        <v>2527.86</v>
      </c>
      <c r="M844" s="1" t="s">
        <v>1624</v>
      </c>
      <c r="N844" s="1" t="s">
        <v>50</v>
      </c>
      <c r="O844" s="1" t="s">
        <v>1624</v>
      </c>
    </row>
    <row r="845" spans="1:15" x14ac:dyDescent="0.35">
      <c r="A845" s="1" t="s">
        <v>1625</v>
      </c>
      <c r="B845" s="2">
        <v>44965</v>
      </c>
      <c r="C845" s="1" t="s">
        <v>16</v>
      </c>
      <c r="D845" s="1" t="s">
        <v>12</v>
      </c>
      <c r="E845" s="1" t="str">
        <f>TRIM(CLEAN(Sheet1[[#This Row],[Category]]))</f>
        <v>Office Supplies</v>
      </c>
      <c r="F845">
        <v>8</v>
      </c>
      <c r="G845" t="str">
        <f t="shared" si="13"/>
        <v>3. Wholesale / Bulk (8+ Units)</v>
      </c>
      <c r="H845">
        <v>8</v>
      </c>
      <c r="I845">
        <v>229.6</v>
      </c>
      <c r="J845">
        <f>IF(ISBLANK(I845), ROUND(I845/ABS(VALUE(_xlfn.TEXTBEFORE(F845&amp;" ", " "))), 2), ABS(VALUE(SUBSTITUTE(I845, "$", ""))))</f>
        <v>229.6</v>
      </c>
      <c r="K845">
        <f>ROUND(Sheet1[[#This Row],[CleanedUnits_sold]]*Sheet1[[#This Row],[Cleaned_Unit_Price]],2)</f>
        <v>1836.8</v>
      </c>
      <c r="L845">
        <v>1836.8</v>
      </c>
      <c r="M845" s="1" t="s">
        <v>1626</v>
      </c>
      <c r="N845" s="1" t="s">
        <v>14</v>
      </c>
      <c r="O845" s="1" t="s">
        <v>1626</v>
      </c>
    </row>
    <row r="846" spans="1:15" x14ac:dyDescent="0.35">
      <c r="A846" s="1" t="s">
        <v>1627</v>
      </c>
      <c r="B846" s="2">
        <v>45241</v>
      </c>
      <c r="C846" s="1" t="s">
        <v>19</v>
      </c>
      <c r="D846" s="1" t="s">
        <v>12</v>
      </c>
      <c r="E846" s="1" t="str">
        <f>TRIM(CLEAN(Sheet1[[#This Row],[Category]]))</f>
        <v>Office Supplies</v>
      </c>
      <c r="F846">
        <v>6</v>
      </c>
      <c r="G846" t="str">
        <f t="shared" si="13"/>
        <v>2. Mid-Market (4-7 Units)</v>
      </c>
      <c r="H846">
        <v>6</v>
      </c>
      <c r="I846">
        <v>321.98</v>
      </c>
      <c r="J846">
        <f>IF(ISBLANK(I846), ROUND(I846/ABS(VALUE(_xlfn.TEXTBEFORE(F846&amp;" ", " "))), 2), ABS(VALUE(SUBSTITUTE(I846, "$", ""))))</f>
        <v>321.98</v>
      </c>
      <c r="K846">
        <f>ROUND(Sheet1[[#This Row],[CleanedUnits_sold]]*Sheet1[[#This Row],[Cleaned_Unit_Price]],2)</f>
        <v>1931.88</v>
      </c>
      <c r="L846">
        <v>1931.88</v>
      </c>
      <c r="M846" s="1" t="s">
        <v>49</v>
      </c>
      <c r="N846" s="1" t="s">
        <v>14</v>
      </c>
      <c r="O846" s="1" t="s">
        <v>51</v>
      </c>
    </row>
    <row r="847" spans="1:15" x14ac:dyDescent="0.35">
      <c r="A847" s="1" t="s">
        <v>1628</v>
      </c>
      <c r="B847" s="2">
        <v>45094</v>
      </c>
      <c r="C847" s="1" t="s">
        <v>16</v>
      </c>
      <c r="D847" s="1" t="s">
        <v>24</v>
      </c>
      <c r="E847" s="1" t="str">
        <f>TRIM(CLEAN(Sheet1[[#This Row],[Category]]))</f>
        <v>Electronics</v>
      </c>
      <c r="F847">
        <v>4</v>
      </c>
      <c r="G847" t="str">
        <f t="shared" si="13"/>
        <v>2. Mid-Market (4-7 Units)</v>
      </c>
      <c r="H847">
        <v>4</v>
      </c>
      <c r="I847">
        <v>118.41</v>
      </c>
      <c r="J847">
        <f>IF(ISBLANK(I847), ROUND(I847/ABS(VALUE(_xlfn.TEXTBEFORE(F847&amp;" ", " "))), 2), ABS(VALUE(SUBSTITUTE(I847, "$", ""))))</f>
        <v>118.41</v>
      </c>
      <c r="K847">
        <f>ROUND(Sheet1[[#This Row],[CleanedUnits_sold]]*Sheet1[[#This Row],[Cleaned_Unit_Price]],2)</f>
        <v>473.64</v>
      </c>
      <c r="L847">
        <v>473.64</v>
      </c>
      <c r="M847" s="1" t="s">
        <v>1629</v>
      </c>
      <c r="N847" s="1" t="s">
        <v>26</v>
      </c>
      <c r="O847" s="1" t="s">
        <v>1629</v>
      </c>
    </row>
    <row r="848" spans="1:15" x14ac:dyDescent="0.35">
      <c r="A848" s="1" t="s">
        <v>1630</v>
      </c>
      <c r="B848" s="2">
        <v>45157</v>
      </c>
      <c r="C848" s="1" t="s">
        <v>58</v>
      </c>
      <c r="D848" s="1" t="s">
        <v>24</v>
      </c>
      <c r="E848" s="1" t="str">
        <f>TRIM(CLEAN(Sheet1[[#This Row],[Category]]))</f>
        <v>Electronics</v>
      </c>
      <c r="F848">
        <v>4</v>
      </c>
      <c r="G848" t="str">
        <f t="shared" si="13"/>
        <v>2. Mid-Market (4-7 Units)</v>
      </c>
      <c r="H848">
        <v>4</v>
      </c>
      <c r="I848">
        <v>341.77</v>
      </c>
      <c r="J848">
        <f>IF(ISBLANK(I848), ROUND(I848/ABS(VALUE(_xlfn.TEXTBEFORE(F848&amp;" ", " "))), 2), ABS(VALUE(SUBSTITUTE(I848, "$", ""))))</f>
        <v>341.77</v>
      </c>
      <c r="K848">
        <f>ROUND(Sheet1[[#This Row],[CleanedUnits_sold]]*Sheet1[[#This Row],[Cleaned_Unit_Price]],2)</f>
        <v>1367.08</v>
      </c>
      <c r="L848">
        <v>1367.08</v>
      </c>
      <c r="M848" s="1" t="s">
        <v>1631</v>
      </c>
      <c r="N848" s="1" t="s">
        <v>50</v>
      </c>
      <c r="O848" s="1" t="s">
        <v>1631</v>
      </c>
    </row>
    <row r="849" spans="1:15" x14ac:dyDescent="0.35">
      <c r="A849" s="1" t="s">
        <v>1632</v>
      </c>
      <c r="B849" s="2">
        <v>45210</v>
      </c>
      <c r="C849" s="1" t="s">
        <v>16</v>
      </c>
      <c r="D849" s="1" t="s">
        <v>12</v>
      </c>
      <c r="E849" s="1" t="str">
        <f>TRIM(CLEAN(Sheet1[[#This Row],[Category]]))</f>
        <v>Office Supplies</v>
      </c>
      <c r="F849">
        <v>4</v>
      </c>
      <c r="G849" t="str">
        <f t="shared" si="13"/>
        <v>2. Mid-Market (4-7 Units)</v>
      </c>
      <c r="H849">
        <v>4</v>
      </c>
      <c r="I849">
        <v>388.4</v>
      </c>
      <c r="J849">
        <f>IF(ISBLANK(I849), ROUND(I849/ABS(VALUE(_xlfn.TEXTBEFORE(F849&amp;" ", " "))), 2), ABS(VALUE(SUBSTITUTE(I849, "$", ""))))</f>
        <v>388.4</v>
      </c>
      <c r="K849">
        <f>ROUND(Sheet1[[#This Row],[CleanedUnits_sold]]*Sheet1[[#This Row],[Cleaned_Unit_Price]],2)</f>
        <v>1553.6</v>
      </c>
      <c r="L849">
        <v>1553.6</v>
      </c>
      <c r="M849" s="1" t="s">
        <v>1633</v>
      </c>
      <c r="N849" s="1" t="s">
        <v>14</v>
      </c>
      <c r="O849" s="1" t="s">
        <v>1633</v>
      </c>
    </row>
    <row r="850" spans="1:15" x14ac:dyDescent="0.35">
      <c r="A850" s="1" t="s">
        <v>1634</v>
      </c>
      <c r="B850" s="2">
        <v>45275</v>
      </c>
      <c r="C850" s="1" t="s">
        <v>58</v>
      </c>
      <c r="D850" s="1" t="s">
        <v>46</v>
      </c>
      <c r="E850" s="1" t="str">
        <f>TRIM(CLEAN(Sheet1[[#This Row],[Category]]))</f>
        <v>Furniture</v>
      </c>
      <c r="F850">
        <v>1</v>
      </c>
      <c r="G850" t="str">
        <f t="shared" si="13"/>
        <v>1. Retail (1-3 Units)</v>
      </c>
      <c r="H850">
        <v>1</v>
      </c>
      <c r="I850">
        <v>241.87</v>
      </c>
      <c r="J850">
        <f>IF(ISBLANK(I850), ROUND(I850/ABS(VALUE(_xlfn.TEXTBEFORE(F850&amp;" ", " "))), 2), ABS(VALUE(SUBSTITUTE(I850, "$", ""))))</f>
        <v>241.87</v>
      </c>
      <c r="K850">
        <f>ROUND(Sheet1[[#This Row],[CleanedUnits_sold]]*Sheet1[[#This Row],[Cleaned_Unit_Price]],2)</f>
        <v>241.87</v>
      </c>
      <c r="L850">
        <v>241.87</v>
      </c>
      <c r="M850" s="1" t="s">
        <v>1635</v>
      </c>
      <c r="N850" s="1" t="s">
        <v>50</v>
      </c>
      <c r="O850" s="1" t="s">
        <v>1635</v>
      </c>
    </row>
    <row r="851" spans="1:15" x14ac:dyDescent="0.35">
      <c r="A851" s="1" t="s">
        <v>1636</v>
      </c>
      <c r="B851" s="2">
        <v>1</v>
      </c>
      <c r="C851" s="1" t="s">
        <v>16</v>
      </c>
      <c r="D851" s="1" t="s">
        <v>12</v>
      </c>
      <c r="E851" s="1" t="str">
        <f>TRIM(CLEAN(Sheet1[[#This Row],[Category]]))</f>
        <v>Office Supplies</v>
      </c>
      <c r="F851">
        <v>6</v>
      </c>
      <c r="G851" t="str">
        <f t="shared" si="13"/>
        <v>2. Mid-Market (4-7 Units)</v>
      </c>
      <c r="H851">
        <v>6</v>
      </c>
      <c r="I851">
        <v>312.69</v>
      </c>
      <c r="J851">
        <f>IF(ISBLANK(I851), ROUND(I851/ABS(VALUE(_xlfn.TEXTBEFORE(F851&amp;" ", " "))), 2), ABS(VALUE(SUBSTITUTE(I851, "$", ""))))</f>
        <v>312.69</v>
      </c>
      <c r="K851">
        <f>ROUND(Sheet1[[#This Row],[CleanedUnits_sold]]*Sheet1[[#This Row],[Cleaned_Unit_Price]],2)</f>
        <v>1876.14</v>
      </c>
      <c r="L851">
        <v>1876.14</v>
      </c>
      <c r="M851" s="1" t="s">
        <v>49</v>
      </c>
      <c r="N851" s="1" t="s">
        <v>26</v>
      </c>
      <c r="O851" s="1" t="s">
        <v>51</v>
      </c>
    </row>
    <row r="852" spans="1:15" x14ac:dyDescent="0.35">
      <c r="A852" s="1" t="s">
        <v>1637</v>
      </c>
      <c r="B852" s="2">
        <v>45053</v>
      </c>
      <c r="C852" s="1" t="s">
        <v>16</v>
      </c>
      <c r="D852" s="1" t="s">
        <v>24</v>
      </c>
      <c r="E852" s="1" t="str">
        <f>TRIM(CLEAN(Sheet1[[#This Row],[Category]]))</f>
        <v>Electronics</v>
      </c>
      <c r="F852">
        <v>8</v>
      </c>
      <c r="G852" t="str">
        <f t="shared" si="13"/>
        <v>3. Wholesale / Bulk (8+ Units)</v>
      </c>
      <c r="H852">
        <v>8</v>
      </c>
      <c r="I852">
        <v>233.6</v>
      </c>
      <c r="J852">
        <f>IF(ISBLANK(I852), ROUND(I852/ABS(VALUE(_xlfn.TEXTBEFORE(F852&amp;" ", " "))), 2), ABS(VALUE(SUBSTITUTE(I852, "$", ""))))</f>
        <v>233.6</v>
      </c>
      <c r="K852">
        <f>ROUND(Sheet1[[#This Row],[CleanedUnits_sold]]*Sheet1[[#This Row],[Cleaned_Unit_Price]],2)</f>
        <v>1868.8</v>
      </c>
      <c r="L852">
        <v>1868.8</v>
      </c>
      <c r="M852" s="1" t="s">
        <v>1638</v>
      </c>
      <c r="N852" s="1" t="s">
        <v>38</v>
      </c>
      <c r="O852" s="1" t="s">
        <v>1638</v>
      </c>
    </row>
    <row r="853" spans="1:15" x14ac:dyDescent="0.35">
      <c r="A853" s="1" t="s">
        <v>1639</v>
      </c>
      <c r="B853" s="2">
        <v>1</v>
      </c>
      <c r="C853" s="1" t="s">
        <v>23</v>
      </c>
      <c r="D853" s="1" t="s">
        <v>32</v>
      </c>
      <c r="E853" s="1" t="str">
        <f>TRIM(CLEAN(Sheet1[[#This Row],[Category]]))</f>
        <v>Furniture</v>
      </c>
      <c r="F853">
        <v>7</v>
      </c>
      <c r="G853" t="str">
        <f t="shared" si="13"/>
        <v>2. Mid-Market (4-7 Units)</v>
      </c>
      <c r="H853">
        <v>7</v>
      </c>
      <c r="I853">
        <v>448.1</v>
      </c>
      <c r="J853">
        <f>IF(ISBLANK(I853), ROUND(I853/ABS(VALUE(_xlfn.TEXTBEFORE(F853&amp;" ", " "))), 2), ABS(VALUE(SUBSTITUTE(I853, "$", ""))))</f>
        <v>448.1</v>
      </c>
      <c r="K853">
        <f>ROUND(Sheet1[[#This Row],[CleanedUnits_sold]]*Sheet1[[#This Row],[Cleaned_Unit_Price]],2)</f>
        <v>3136.7</v>
      </c>
      <c r="L853">
        <v>3136.7</v>
      </c>
      <c r="M853" s="1" t="s">
        <v>1640</v>
      </c>
      <c r="N853" s="1" t="s">
        <v>14</v>
      </c>
      <c r="O853" s="1" t="s">
        <v>1640</v>
      </c>
    </row>
    <row r="854" spans="1:15" x14ac:dyDescent="0.35">
      <c r="A854" s="1" t="s">
        <v>1641</v>
      </c>
      <c r="B854" s="2">
        <v>1</v>
      </c>
      <c r="C854" s="1" t="s">
        <v>19</v>
      </c>
      <c r="D854" s="1" t="s">
        <v>12</v>
      </c>
      <c r="E854" s="1" t="str">
        <f>TRIM(CLEAN(Sheet1[[#This Row],[Category]]))</f>
        <v>Office Supplies</v>
      </c>
      <c r="F854">
        <v>7</v>
      </c>
      <c r="G854" t="str">
        <f t="shared" si="13"/>
        <v>2. Mid-Market (4-7 Units)</v>
      </c>
      <c r="H854">
        <v>7</v>
      </c>
      <c r="I854">
        <v>253.96</v>
      </c>
      <c r="J854">
        <f>IF(ISBLANK(I854), ROUND(I854/ABS(VALUE(_xlfn.TEXTBEFORE(F854&amp;" ", " "))), 2), ABS(VALUE(SUBSTITUTE(I854, "$", ""))))</f>
        <v>253.96</v>
      </c>
      <c r="K854">
        <f>ROUND(Sheet1[[#This Row],[CleanedUnits_sold]]*Sheet1[[#This Row],[Cleaned_Unit_Price]],2)</f>
        <v>1777.72</v>
      </c>
      <c r="L854">
        <v>1777.72</v>
      </c>
      <c r="M854" s="1"/>
      <c r="N854" s="1" t="s">
        <v>14</v>
      </c>
      <c r="O854" s="1" t="s">
        <v>131</v>
      </c>
    </row>
    <row r="855" spans="1:15" x14ac:dyDescent="0.35">
      <c r="A855" s="1" t="s">
        <v>1642</v>
      </c>
      <c r="B855" s="2">
        <v>45089</v>
      </c>
      <c r="C855" s="1" t="s">
        <v>16</v>
      </c>
      <c r="D855" s="1" t="s">
        <v>24</v>
      </c>
      <c r="E855" s="1" t="str">
        <f>TRIM(CLEAN(Sheet1[[#This Row],[Category]]))</f>
        <v>Electronics</v>
      </c>
      <c r="F855">
        <v>-7</v>
      </c>
      <c r="G855" t="str">
        <f t="shared" si="13"/>
        <v>2. Mid-Market (4-7 Units)</v>
      </c>
      <c r="H855">
        <v>7</v>
      </c>
      <c r="I855">
        <v>422.49</v>
      </c>
      <c r="J855">
        <f>IF(ISBLANK(I855), ROUND(I855/ABS(VALUE(_xlfn.TEXTBEFORE(F855&amp;" ", " "))), 2), ABS(VALUE(SUBSTITUTE(I855, "$", ""))))</f>
        <v>422.49</v>
      </c>
      <c r="K855">
        <f>ROUND(Sheet1[[#This Row],[CleanedUnits_sold]]*Sheet1[[#This Row],[Cleaned_Unit_Price]],2)</f>
        <v>2957.43</v>
      </c>
      <c r="L855">
        <v>2778.62</v>
      </c>
      <c r="M855" s="1"/>
      <c r="N855" s="1" t="s">
        <v>26</v>
      </c>
      <c r="O855" s="1" t="s">
        <v>131</v>
      </c>
    </row>
    <row r="856" spans="1:15" x14ac:dyDescent="0.35">
      <c r="A856" s="1" t="s">
        <v>1643</v>
      </c>
      <c r="B856" s="2">
        <v>44929</v>
      </c>
      <c r="C856" s="1" t="s">
        <v>11</v>
      </c>
      <c r="D856" s="1" t="s">
        <v>24</v>
      </c>
      <c r="E856" s="1" t="str">
        <f>TRIM(CLEAN(Sheet1[[#This Row],[Category]]))</f>
        <v>Electronics</v>
      </c>
      <c r="F856">
        <v>6</v>
      </c>
      <c r="G856" t="str">
        <f t="shared" si="13"/>
        <v>2. Mid-Market (4-7 Units)</v>
      </c>
      <c r="H856">
        <v>6</v>
      </c>
      <c r="I856">
        <v>402.66</v>
      </c>
      <c r="J856">
        <f>IF(ISBLANK(I856), ROUND(I856/ABS(VALUE(_xlfn.TEXTBEFORE(F856&amp;" ", " "))), 2), ABS(VALUE(SUBSTITUTE(I856, "$", ""))))</f>
        <v>402.66</v>
      </c>
      <c r="K856">
        <f>ROUND(Sheet1[[#This Row],[CleanedUnits_sold]]*Sheet1[[#This Row],[Cleaned_Unit_Price]],2)</f>
        <v>2415.96</v>
      </c>
      <c r="L856">
        <v>2415.96</v>
      </c>
      <c r="M856" s="1" t="s">
        <v>1644</v>
      </c>
      <c r="N856" s="1" t="s">
        <v>50</v>
      </c>
      <c r="O856" s="1" t="s">
        <v>1644</v>
      </c>
    </row>
    <row r="857" spans="1:15" x14ac:dyDescent="0.35">
      <c r="A857" s="1" t="s">
        <v>1645</v>
      </c>
      <c r="B857" s="2">
        <v>45065</v>
      </c>
      <c r="C857" s="1" t="s">
        <v>11</v>
      </c>
      <c r="D857" s="1" t="s">
        <v>24</v>
      </c>
      <c r="E857" s="1" t="str">
        <f>TRIM(CLEAN(Sheet1[[#This Row],[Category]]))</f>
        <v>Electronics</v>
      </c>
      <c r="F857">
        <v>4</v>
      </c>
      <c r="G857" t="str">
        <f t="shared" si="13"/>
        <v>2. Mid-Market (4-7 Units)</v>
      </c>
      <c r="H857">
        <v>4</v>
      </c>
      <c r="I857">
        <v>211.15</v>
      </c>
      <c r="J857">
        <f>IF(ISBLANK(I857), ROUND(I857/ABS(VALUE(_xlfn.TEXTBEFORE(F857&amp;" ", " "))), 2), ABS(VALUE(SUBSTITUTE(I857, "$", ""))))</f>
        <v>211.15</v>
      </c>
      <c r="K857">
        <f>ROUND(Sheet1[[#This Row],[CleanedUnits_sold]]*Sheet1[[#This Row],[Cleaned_Unit_Price]],2)</f>
        <v>844.6</v>
      </c>
      <c r="L857">
        <v>844.6</v>
      </c>
      <c r="M857" s="1" t="s">
        <v>1646</v>
      </c>
      <c r="N857" s="1" t="s">
        <v>26</v>
      </c>
      <c r="O857" s="1" t="s">
        <v>1646</v>
      </c>
    </row>
    <row r="858" spans="1:15" x14ac:dyDescent="0.35">
      <c r="A858" s="1" t="s">
        <v>1647</v>
      </c>
      <c r="B858" s="2">
        <v>45022</v>
      </c>
      <c r="C858" s="1" t="s">
        <v>58</v>
      </c>
      <c r="D858" s="1" t="s">
        <v>24</v>
      </c>
      <c r="E858" s="1" t="str">
        <f>TRIM(CLEAN(Sheet1[[#This Row],[Category]]))</f>
        <v>Electronics</v>
      </c>
      <c r="F858">
        <v>3</v>
      </c>
      <c r="G858" t="str">
        <f t="shared" si="13"/>
        <v>1. Retail (1-3 Units)</v>
      </c>
      <c r="H858">
        <v>3</v>
      </c>
      <c r="I858">
        <v>122.74</v>
      </c>
      <c r="J858">
        <f>IF(ISBLANK(I858), ROUND(I858/ABS(VALUE(_xlfn.TEXTBEFORE(F858&amp;" ", " "))), 2), ABS(VALUE(SUBSTITUTE(I858, "$", ""))))</f>
        <v>122.74</v>
      </c>
      <c r="K858">
        <f>ROUND(Sheet1[[#This Row],[CleanedUnits_sold]]*Sheet1[[#This Row],[Cleaned_Unit_Price]],2)</f>
        <v>368.22</v>
      </c>
      <c r="L858">
        <v>368.22</v>
      </c>
      <c r="M858" s="1" t="s">
        <v>1648</v>
      </c>
      <c r="N858" s="1" t="s">
        <v>26</v>
      </c>
      <c r="O858" s="1" t="s">
        <v>1648</v>
      </c>
    </row>
    <row r="859" spans="1:15" x14ac:dyDescent="0.35">
      <c r="A859" s="1" t="s">
        <v>1649</v>
      </c>
      <c r="B859" s="2">
        <v>45211</v>
      </c>
      <c r="C859" s="1" t="s">
        <v>16</v>
      </c>
      <c r="D859" s="1" t="s">
        <v>12</v>
      </c>
      <c r="E859" s="1" t="str">
        <f>TRIM(CLEAN(Sheet1[[#This Row],[Category]]))</f>
        <v>Office Supplies</v>
      </c>
      <c r="F859">
        <v>6</v>
      </c>
      <c r="G859" t="str">
        <f t="shared" si="13"/>
        <v>2. Mid-Market (4-7 Units)</v>
      </c>
      <c r="H859">
        <v>6</v>
      </c>
      <c r="I859">
        <v>208.98</v>
      </c>
      <c r="J859">
        <f>IF(ISBLANK(I859), ROUND(I859/ABS(VALUE(_xlfn.TEXTBEFORE(F859&amp;" ", " "))), 2), ABS(VALUE(SUBSTITUTE(I859, "$", ""))))</f>
        <v>208.98</v>
      </c>
      <c r="K859">
        <f>ROUND(Sheet1[[#This Row],[CleanedUnits_sold]]*Sheet1[[#This Row],[Cleaned_Unit_Price]],2)</f>
        <v>1253.8800000000001</v>
      </c>
      <c r="L859">
        <v>1253.8800000000001</v>
      </c>
      <c r="M859" s="1" t="s">
        <v>1650</v>
      </c>
      <c r="N859" s="1" t="s">
        <v>50</v>
      </c>
      <c r="O859" s="1" t="s">
        <v>1650</v>
      </c>
    </row>
    <row r="860" spans="1:15" x14ac:dyDescent="0.35">
      <c r="A860" s="1" t="s">
        <v>1651</v>
      </c>
      <c r="B860" s="2">
        <v>44972</v>
      </c>
      <c r="C860" s="1" t="s">
        <v>11</v>
      </c>
      <c r="D860" s="1" t="s">
        <v>12</v>
      </c>
      <c r="E860" s="1" t="str">
        <f>TRIM(CLEAN(Sheet1[[#This Row],[Category]]))</f>
        <v>Office Supplies</v>
      </c>
      <c r="F860">
        <v>3</v>
      </c>
      <c r="G860" t="str">
        <f t="shared" si="13"/>
        <v>1. Retail (1-3 Units)</v>
      </c>
      <c r="H860">
        <v>3</v>
      </c>
      <c r="I860">
        <v>414.85</v>
      </c>
      <c r="J860">
        <f>IF(ISBLANK(I860), ROUND(I860/ABS(VALUE(_xlfn.TEXTBEFORE(F860&amp;" ", " "))), 2), ABS(VALUE(SUBSTITUTE(I860, "$", ""))))</f>
        <v>414.85</v>
      </c>
      <c r="K860">
        <f>ROUND(Sheet1[[#This Row],[CleanedUnits_sold]]*Sheet1[[#This Row],[Cleaned_Unit_Price]],2)</f>
        <v>1244.55</v>
      </c>
      <c r="L860">
        <v>1244.55</v>
      </c>
      <c r="M860" s="1" t="s">
        <v>1652</v>
      </c>
      <c r="N860" s="1" t="s">
        <v>14</v>
      </c>
      <c r="O860" s="1" t="s">
        <v>1652</v>
      </c>
    </row>
    <row r="861" spans="1:15" x14ac:dyDescent="0.35">
      <c r="A861" s="1" t="s">
        <v>1653</v>
      </c>
      <c r="B861" s="2">
        <v>45232</v>
      </c>
      <c r="C861" s="1" t="s">
        <v>19</v>
      </c>
      <c r="D861" s="1" t="s">
        <v>24</v>
      </c>
      <c r="E861" s="1" t="str">
        <f>TRIM(CLEAN(Sheet1[[#This Row],[Category]]))</f>
        <v>Electronics</v>
      </c>
      <c r="F861">
        <v>10</v>
      </c>
      <c r="G861" t="str">
        <f t="shared" si="13"/>
        <v>3. Wholesale / Bulk (8+ Units)</v>
      </c>
      <c r="H861">
        <v>10</v>
      </c>
      <c r="I861">
        <v>121.54</v>
      </c>
      <c r="J861">
        <f>IF(ISBLANK(I861), ROUND(I861/ABS(VALUE(_xlfn.TEXTBEFORE(F861&amp;" ", " "))), 2), ABS(VALUE(SUBSTITUTE(I861, "$", ""))))</f>
        <v>121.54</v>
      </c>
      <c r="K861">
        <f>ROUND(Sheet1[[#This Row],[CleanedUnits_sold]]*Sheet1[[#This Row],[Cleaned_Unit_Price]],2)</f>
        <v>1215.4000000000001</v>
      </c>
      <c r="L861">
        <v>1515.9</v>
      </c>
      <c r="M861" s="1" t="s">
        <v>1654</v>
      </c>
      <c r="N861" s="1" t="s">
        <v>50</v>
      </c>
      <c r="O861" s="1" t="s">
        <v>1654</v>
      </c>
    </row>
    <row r="862" spans="1:15" x14ac:dyDescent="0.35">
      <c r="A862" s="1" t="s">
        <v>1655</v>
      </c>
      <c r="B862" s="2">
        <v>44933</v>
      </c>
      <c r="C862" s="1" t="s">
        <v>23</v>
      </c>
      <c r="D862" s="1" t="s">
        <v>12</v>
      </c>
      <c r="E862" s="1" t="str">
        <f>TRIM(CLEAN(Sheet1[[#This Row],[Category]]))</f>
        <v>Office Supplies</v>
      </c>
      <c r="F862">
        <v>5</v>
      </c>
      <c r="G862" t="str">
        <f t="shared" si="13"/>
        <v>2. Mid-Market (4-7 Units)</v>
      </c>
      <c r="H862">
        <v>5</v>
      </c>
      <c r="I862">
        <v>266.97000000000003</v>
      </c>
      <c r="J862">
        <f>IF(ISBLANK(I862), ROUND(I862/ABS(VALUE(_xlfn.TEXTBEFORE(F862&amp;" ", " "))), 2), ABS(VALUE(SUBSTITUTE(I862, "$", ""))))</f>
        <v>266.97000000000003</v>
      </c>
      <c r="K862">
        <f>ROUND(Sheet1[[#This Row],[CleanedUnits_sold]]*Sheet1[[#This Row],[Cleaned_Unit_Price]],2)</f>
        <v>1334.85</v>
      </c>
      <c r="L862">
        <v>1334.85</v>
      </c>
      <c r="M862" s="1" t="s">
        <v>1656</v>
      </c>
      <c r="N862" s="1" t="s">
        <v>38</v>
      </c>
      <c r="O862" s="1" t="s">
        <v>1656</v>
      </c>
    </row>
    <row r="863" spans="1:15" x14ac:dyDescent="0.35">
      <c r="A863" s="1" t="s">
        <v>1657</v>
      </c>
      <c r="B863" s="2">
        <v>1</v>
      </c>
      <c r="C863" s="1" t="s">
        <v>23</v>
      </c>
      <c r="D863" s="1" t="s">
        <v>24</v>
      </c>
      <c r="E863" s="1" t="str">
        <f>TRIM(CLEAN(Sheet1[[#This Row],[Category]]))</f>
        <v>Electronics</v>
      </c>
      <c r="F863">
        <v>6</v>
      </c>
      <c r="G863" t="str">
        <f t="shared" si="13"/>
        <v>2. Mid-Market (4-7 Units)</v>
      </c>
      <c r="H863">
        <v>6</v>
      </c>
      <c r="I863">
        <v>404.99</v>
      </c>
      <c r="J863">
        <f>IF(ISBLANK(I863), ROUND(I863/ABS(VALUE(_xlfn.TEXTBEFORE(F863&amp;" ", " "))), 2), ABS(VALUE(SUBSTITUTE(I863, "$", ""))))</f>
        <v>404.99</v>
      </c>
      <c r="K863">
        <f>ROUND(Sheet1[[#This Row],[CleanedUnits_sold]]*Sheet1[[#This Row],[Cleaned_Unit_Price]],2)</f>
        <v>2429.94</v>
      </c>
      <c r="L863">
        <v>2429.94</v>
      </c>
      <c r="M863" s="1" t="s">
        <v>1658</v>
      </c>
      <c r="N863" s="1" t="s">
        <v>14</v>
      </c>
      <c r="O863" s="1" t="s">
        <v>1658</v>
      </c>
    </row>
    <row r="864" spans="1:15" x14ac:dyDescent="0.35">
      <c r="A864" s="1" t="s">
        <v>1659</v>
      </c>
      <c r="B864" s="2">
        <v>45013</v>
      </c>
      <c r="C864" s="1" t="s">
        <v>16</v>
      </c>
      <c r="D864" s="1" t="s">
        <v>12</v>
      </c>
      <c r="E864" s="1" t="str">
        <f>TRIM(CLEAN(Sheet1[[#This Row],[Category]]))</f>
        <v>Office Supplies</v>
      </c>
      <c r="F864">
        <v>6</v>
      </c>
      <c r="G864" t="str">
        <f t="shared" si="13"/>
        <v>2. Mid-Market (4-7 Units)</v>
      </c>
      <c r="H864">
        <v>6</v>
      </c>
      <c r="I864">
        <v>183.2</v>
      </c>
      <c r="J864">
        <f>IF(ISBLANK(I864), ROUND(I864/ABS(VALUE(_xlfn.TEXTBEFORE(F864&amp;" ", " "))), 2), ABS(VALUE(SUBSTITUTE(I864, "$", ""))))</f>
        <v>183.2</v>
      </c>
      <c r="K864">
        <f>ROUND(Sheet1[[#This Row],[CleanedUnits_sold]]*Sheet1[[#This Row],[Cleaned_Unit_Price]],2)</f>
        <v>1099.2</v>
      </c>
      <c r="L864">
        <v>1099.2</v>
      </c>
      <c r="M864" s="1" t="s">
        <v>1660</v>
      </c>
      <c r="N864" s="1" t="s">
        <v>21</v>
      </c>
      <c r="O864" s="1" t="s">
        <v>1660</v>
      </c>
    </row>
    <row r="865" spans="1:15" x14ac:dyDescent="0.35">
      <c r="A865" s="1" t="s">
        <v>1661</v>
      </c>
      <c r="B865" s="2">
        <v>45064</v>
      </c>
      <c r="C865" s="1" t="s">
        <v>19</v>
      </c>
      <c r="D865" s="1" t="s">
        <v>12</v>
      </c>
      <c r="E865" s="1" t="str">
        <f>TRIM(CLEAN(Sheet1[[#This Row],[Category]]))</f>
        <v>Office Supplies</v>
      </c>
      <c r="F865">
        <v>4</v>
      </c>
      <c r="G865" t="str">
        <f t="shared" si="13"/>
        <v>2. Mid-Market (4-7 Units)</v>
      </c>
      <c r="H865">
        <v>4</v>
      </c>
      <c r="I865">
        <v>324.68</v>
      </c>
      <c r="J865">
        <f>IF(ISBLANK(I865), ROUND(I865/ABS(VALUE(_xlfn.TEXTBEFORE(F865&amp;" ", " "))), 2), ABS(VALUE(SUBSTITUTE(I865, "$", ""))))</f>
        <v>324.68</v>
      </c>
      <c r="K865">
        <f>ROUND(Sheet1[[#This Row],[CleanedUnits_sold]]*Sheet1[[#This Row],[Cleaned_Unit_Price]],2)</f>
        <v>1298.72</v>
      </c>
      <c r="M865" s="1" t="s">
        <v>1662</v>
      </c>
      <c r="N865" s="1" t="s">
        <v>26</v>
      </c>
      <c r="O865" s="1" t="s">
        <v>1662</v>
      </c>
    </row>
    <row r="866" spans="1:15" x14ac:dyDescent="0.35">
      <c r="A866" s="1" t="s">
        <v>1663</v>
      </c>
      <c r="B866" s="2">
        <v>45001</v>
      </c>
      <c r="C866" s="1" t="s">
        <v>16</v>
      </c>
      <c r="D866" s="1" t="s">
        <v>24</v>
      </c>
      <c r="E866" s="1" t="str">
        <f>TRIM(CLEAN(Sheet1[[#This Row],[Category]]))</f>
        <v>Electronics</v>
      </c>
      <c r="F866">
        <v>6</v>
      </c>
      <c r="G866" t="str">
        <f t="shared" si="13"/>
        <v>2. Mid-Market (4-7 Units)</v>
      </c>
      <c r="H866">
        <v>6</v>
      </c>
      <c r="I866" t="s">
        <v>332</v>
      </c>
      <c r="J866">
        <f>IF(ISBLANK(I866), ROUND(I866/ABS(VALUE(_xlfn.TEXTBEFORE(F866&amp;" ", " "))), 2), ABS(VALUE(SUBSTITUTE(I866, "$", ""))))</f>
        <v>250</v>
      </c>
      <c r="K866">
        <f>ROUND(Sheet1[[#This Row],[CleanedUnits_sold]]*Sheet1[[#This Row],[Cleaned_Unit_Price]],2)</f>
        <v>1500</v>
      </c>
      <c r="M866" s="1" t="s">
        <v>1664</v>
      </c>
      <c r="N866" s="1" t="s">
        <v>14</v>
      </c>
      <c r="O866" s="1" t="s">
        <v>1664</v>
      </c>
    </row>
    <row r="867" spans="1:15" x14ac:dyDescent="0.35">
      <c r="A867" s="1" t="s">
        <v>1665</v>
      </c>
      <c r="B867" s="2">
        <v>45068</v>
      </c>
      <c r="C867" s="1" t="s">
        <v>19</v>
      </c>
      <c r="D867" s="1" t="s">
        <v>24</v>
      </c>
      <c r="E867" s="1" t="str">
        <f>TRIM(CLEAN(Sheet1[[#This Row],[Category]]))</f>
        <v>Electronics</v>
      </c>
      <c r="F867">
        <v>5</v>
      </c>
      <c r="G867" t="str">
        <f t="shared" si="13"/>
        <v>2. Mid-Market (4-7 Units)</v>
      </c>
      <c r="H867">
        <v>5</v>
      </c>
      <c r="I867">
        <v>63.55</v>
      </c>
      <c r="J867">
        <f>IF(ISBLANK(I867), ROUND(I867/ABS(VALUE(_xlfn.TEXTBEFORE(F867&amp;" ", " "))), 2), ABS(VALUE(SUBSTITUTE(I867, "$", ""))))</f>
        <v>63.55</v>
      </c>
      <c r="K867">
        <f>ROUND(Sheet1[[#This Row],[CleanedUnits_sold]]*Sheet1[[#This Row],[Cleaned_Unit_Price]],2)</f>
        <v>317.75</v>
      </c>
      <c r="L867">
        <v>317.75</v>
      </c>
      <c r="M867" s="1" t="s">
        <v>1666</v>
      </c>
      <c r="N867" s="1" t="s">
        <v>14</v>
      </c>
      <c r="O867" s="1" t="s">
        <v>1666</v>
      </c>
    </row>
    <row r="868" spans="1:15" x14ac:dyDescent="0.35">
      <c r="A868" s="1" t="s">
        <v>1667</v>
      </c>
      <c r="B868" s="2">
        <v>44966</v>
      </c>
      <c r="C868" s="1" t="s">
        <v>11</v>
      </c>
      <c r="D868" s="1" t="s">
        <v>12</v>
      </c>
      <c r="E868" s="1" t="str">
        <f>TRIM(CLEAN(Sheet1[[#This Row],[Category]]))</f>
        <v>Office Supplies</v>
      </c>
      <c r="F868">
        <v>3</v>
      </c>
      <c r="G868" t="str">
        <f t="shared" si="13"/>
        <v>1. Retail (1-3 Units)</v>
      </c>
      <c r="H868">
        <v>3</v>
      </c>
      <c r="I868">
        <v>399.25</v>
      </c>
      <c r="J868">
        <f>IF(ISBLANK(I868), ROUND(I868/ABS(VALUE(_xlfn.TEXTBEFORE(F868&amp;" ", " "))), 2), ABS(VALUE(SUBSTITUTE(I868, "$", ""))))</f>
        <v>399.25</v>
      </c>
      <c r="K868">
        <f>ROUND(Sheet1[[#This Row],[CleanedUnits_sold]]*Sheet1[[#This Row],[Cleaned_Unit_Price]],2)</f>
        <v>1197.75</v>
      </c>
      <c r="L868">
        <v>1197.75</v>
      </c>
      <c r="M868" s="1" t="s">
        <v>84</v>
      </c>
      <c r="N868" s="1" t="s">
        <v>21</v>
      </c>
      <c r="O868" s="1" t="s">
        <v>85</v>
      </c>
    </row>
    <row r="869" spans="1:15" x14ac:dyDescent="0.35">
      <c r="A869" s="1" t="s">
        <v>1668</v>
      </c>
      <c r="B869" s="2">
        <v>45053</v>
      </c>
      <c r="C869" s="1" t="s">
        <v>16</v>
      </c>
      <c r="D869" s="1" t="s">
        <v>24</v>
      </c>
      <c r="E869" s="1" t="str">
        <f>TRIM(CLEAN(Sheet1[[#This Row],[Category]]))</f>
        <v>Electronics</v>
      </c>
      <c r="F869">
        <v>2</v>
      </c>
      <c r="G869" t="str">
        <f t="shared" si="13"/>
        <v>1. Retail (1-3 Units)</v>
      </c>
      <c r="H869">
        <v>2</v>
      </c>
      <c r="I869">
        <v>58.49</v>
      </c>
      <c r="J869">
        <f>IF(ISBLANK(I869), ROUND(I869/ABS(VALUE(_xlfn.TEXTBEFORE(F869&amp;" ", " "))), 2), ABS(VALUE(SUBSTITUTE(I869, "$", ""))))</f>
        <v>58.49</v>
      </c>
      <c r="K869">
        <f>ROUND(Sheet1[[#This Row],[CleanedUnits_sold]]*Sheet1[[#This Row],[Cleaned_Unit_Price]],2)</f>
        <v>116.98</v>
      </c>
      <c r="L869">
        <v>116.98</v>
      </c>
      <c r="M869" s="1" t="s">
        <v>1669</v>
      </c>
      <c r="N869" s="1" t="s">
        <v>14</v>
      </c>
      <c r="O869" s="1" t="s">
        <v>1669</v>
      </c>
    </row>
    <row r="870" spans="1:15" x14ac:dyDescent="0.35">
      <c r="A870" s="1" t="s">
        <v>1670</v>
      </c>
      <c r="B870" s="2">
        <v>45027</v>
      </c>
      <c r="C870" s="1" t="s">
        <v>23</v>
      </c>
      <c r="D870" s="1" t="s">
        <v>24</v>
      </c>
      <c r="E870" s="1" t="str">
        <f>TRIM(CLEAN(Sheet1[[#This Row],[Category]]))</f>
        <v>Electronics</v>
      </c>
      <c r="F870">
        <v>3</v>
      </c>
      <c r="G870" t="str">
        <f t="shared" si="13"/>
        <v>1. Retail (1-3 Units)</v>
      </c>
      <c r="H870">
        <v>3</v>
      </c>
      <c r="I870">
        <v>142.97999999999999</v>
      </c>
      <c r="J870">
        <f>IF(ISBLANK(I870), ROUND(I870/ABS(VALUE(_xlfn.TEXTBEFORE(F870&amp;" ", " "))), 2), ABS(VALUE(SUBSTITUTE(I870, "$", ""))))</f>
        <v>142.97999999999999</v>
      </c>
      <c r="K870">
        <f>ROUND(Sheet1[[#This Row],[CleanedUnits_sold]]*Sheet1[[#This Row],[Cleaned_Unit_Price]],2)</f>
        <v>428.94</v>
      </c>
      <c r="L870">
        <v>428.94</v>
      </c>
      <c r="M870" s="1" t="s">
        <v>1671</v>
      </c>
      <c r="N870" s="1" t="s">
        <v>50</v>
      </c>
      <c r="O870" s="1" t="s">
        <v>1671</v>
      </c>
    </row>
    <row r="871" spans="1:15" x14ac:dyDescent="0.35">
      <c r="A871" s="1" t="s">
        <v>1672</v>
      </c>
      <c r="B871" s="2">
        <v>45082</v>
      </c>
      <c r="C871" s="1" t="s">
        <v>19</v>
      </c>
      <c r="D871" s="1" t="s">
        <v>24</v>
      </c>
      <c r="E871" s="1" t="str">
        <f>TRIM(CLEAN(Sheet1[[#This Row],[Category]]))</f>
        <v>Electronics</v>
      </c>
      <c r="F871">
        <v>5</v>
      </c>
      <c r="G871" t="str">
        <f t="shared" si="13"/>
        <v>2. Mid-Market (4-7 Units)</v>
      </c>
      <c r="H871">
        <v>5</v>
      </c>
      <c r="I871">
        <v>429</v>
      </c>
      <c r="J871">
        <f>IF(ISBLANK(I871), ROUND(I871/ABS(VALUE(_xlfn.TEXTBEFORE(F871&amp;" ", " "))), 2), ABS(VALUE(SUBSTITUTE(I871, "$", ""))))</f>
        <v>429</v>
      </c>
      <c r="K871">
        <f>ROUND(Sheet1[[#This Row],[CleanedUnits_sold]]*Sheet1[[#This Row],[Cleaned_Unit_Price]],2)</f>
        <v>2145</v>
      </c>
      <c r="L871">
        <v>858</v>
      </c>
      <c r="M871" s="1" t="s">
        <v>1673</v>
      </c>
      <c r="N871" s="1" t="s">
        <v>14</v>
      </c>
      <c r="O871" s="1" t="s">
        <v>1673</v>
      </c>
    </row>
    <row r="872" spans="1:15" x14ac:dyDescent="0.35">
      <c r="A872" s="1" t="s">
        <v>1674</v>
      </c>
      <c r="B872" s="2">
        <v>45097</v>
      </c>
      <c r="C872" s="1" t="s">
        <v>11</v>
      </c>
      <c r="D872" s="1" t="s">
        <v>24</v>
      </c>
      <c r="E872" s="1" t="str">
        <f>TRIM(CLEAN(Sheet1[[#This Row],[Category]]))</f>
        <v>Electronics</v>
      </c>
      <c r="F872">
        <v>8</v>
      </c>
      <c r="G872" t="str">
        <f t="shared" si="13"/>
        <v>3. Wholesale / Bulk (8+ Units)</v>
      </c>
      <c r="H872">
        <v>8</v>
      </c>
      <c r="I872">
        <v>179.77</v>
      </c>
      <c r="J872">
        <f>IF(ISBLANK(I872), ROUND(I872/ABS(VALUE(_xlfn.TEXTBEFORE(F872&amp;" ", " "))), 2), ABS(VALUE(SUBSTITUTE(I872, "$", ""))))</f>
        <v>179.77</v>
      </c>
      <c r="K872">
        <f>ROUND(Sheet1[[#This Row],[CleanedUnits_sold]]*Sheet1[[#This Row],[Cleaned_Unit_Price]],2)</f>
        <v>1438.16</v>
      </c>
      <c r="L872">
        <v>1438.16</v>
      </c>
      <c r="M872" s="1" t="s">
        <v>1675</v>
      </c>
      <c r="N872" s="1" t="s">
        <v>14</v>
      </c>
      <c r="O872" s="1" t="s">
        <v>1675</v>
      </c>
    </row>
    <row r="873" spans="1:15" x14ac:dyDescent="0.35">
      <c r="A873" s="1" t="s">
        <v>1676</v>
      </c>
      <c r="B873" s="2">
        <v>45095</v>
      </c>
      <c r="C873" s="1" t="s">
        <v>16</v>
      </c>
      <c r="D873" s="1" t="s">
        <v>24</v>
      </c>
      <c r="E873" s="1" t="str">
        <f>TRIM(CLEAN(Sheet1[[#This Row],[Category]]))</f>
        <v>Electronics</v>
      </c>
      <c r="F873">
        <v>7</v>
      </c>
      <c r="G873" t="str">
        <f t="shared" si="13"/>
        <v>2. Mid-Market (4-7 Units)</v>
      </c>
      <c r="H873">
        <v>7</v>
      </c>
      <c r="I873">
        <v>486.79</v>
      </c>
      <c r="J873">
        <f>IF(ISBLANK(I873), ROUND(I873/ABS(VALUE(_xlfn.TEXTBEFORE(F873&amp;" ", " "))), 2), ABS(VALUE(SUBSTITUTE(I873, "$", ""))))</f>
        <v>486.79</v>
      </c>
      <c r="K873">
        <f>ROUND(Sheet1[[#This Row],[CleanedUnits_sold]]*Sheet1[[#This Row],[Cleaned_Unit_Price]],2)</f>
        <v>3407.53</v>
      </c>
      <c r="L873">
        <v>3407.53</v>
      </c>
      <c r="M873" s="1" t="s">
        <v>1677</v>
      </c>
      <c r="N873" s="1" t="s">
        <v>14</v>
      </c>
      <c r="O873" s="1" t="s">
        <v>1677</v>
      </c>
    </row>
    <row r="874" spans="1:15" x14ac:dyDescent="0.35">
      <c r="A874" s="1" t="s">
        <v>1678</v>
      </c>
      <c r="B874" s="2">
        <v>1</v>
      </c>
      <c r="C874" s="1" t="s">
        <v>11</v>
      </c>
      <c r="D874" s="1" t="s">
        <v>12</v>
      </c>
      <c r="E874" s="1" t="str">
        <f>TRIM(CLEAN(Sheet1[[#This Row],[Category]]))</f>
        <v>Office Supplies</v>
      </c>
      <c r="F874">
        <v>4</v>
      </c>
      <c r="G874" t="str">
        <f t="shared" si="13"/>
        <v>2. Mid-Market (4-7 Units)</v>
      </c>
      <c r="H874">
        <v>4</v>
      </c>
      <c r="I874">
        <v>490.07</v>
      </c>
      <c r="J874">
        <f>IF(ISBLANK(I874), ROUND(I874/ABS(VALUE(_xlfn.TEXTBEFORE(F874&amp;" ", " "))), 2), ABS(VALUE(SUBSTITUTE(I874, "$", ""))))</f>
        <v>490.07</v>
      </c>
      <c r="K874">
        <f>ROUND(Sheet1[[#This Row],[CleanedUnits_sold]]*Sheet1[[#This Row],[Cleaned_Unit_Price]],2)</f>
        <v>1960.28</v>
      </c>
      <c r="L874">
        <v>1960.28</v>
      </c>
      <c r="M874" s="1" t="s">
        <v>1679</v>
      </c>
      <c r="N874" s="1" t="s">
        <v>21</v>
      </c>
      <c r="O874" s="1" t="s">
        <v>1679</v>
      </c>
    </row>
    <row r="875" spans="1:15" x14ac:dyDescent="0.35">
      <c r="A875" s="1" t="s">
        <v>1680</v>
      </c>
      <c r="B875" s="2">
        <v>45057</v>
      </c>
      <c r="C875" s="1" t="s">
        <v>23</v>
      </c>
      <c r="D875" s="1" t="s">
        <v>32</v>
      </c>
      <c r="E875" s="1" t="str">
        <f>TRIM(CLEAN(Sheet1[[#This Row],[Category]]))</f>
        <v>Furniture</v>
      </c>
      <c r="F875">
        <v>3</v>
      </c>
      <c r="G875" t="str">
        <f t="shared" si="13"/>
        <v>1. Retail (1-3 Units)</v>
      </c>
      <c r="H875">
        <v>3</v>
      </c>
      <c r="I875">
        <v>141.46</v>
      </c>
      <c r="J875">
        <f>IF(ISBLANK(I875), ROUND(I875/ABS(VALUE(_xlfn.TEXTBEFORE(F875&amp;" ", " "))), 2), ABS(VALUE(SUBSTITUTE(I875, "$", ""))))</f>
        <v>141.46</v>
      </c>
      <c r="K875">
        <f>ROUND(Sheet1[[#This Row],[CleanedUnits_sold]]*Sheet1[[#This Row],[Cleaned_Unit_Price]],2)</f>
        <v>424.38</v>
      </c>
      <c r="L875">
        <v>424.38</v>
      </c>
      <c r="M875" s="1" t="s">
        <v>1681</v>
      </c>
      <c r="N875" s="1" t="s">
        <v>14</v>
      </c>
      <c r="O875" s="1" t="s">
        <v>1681</v>
      </c>
    </row>
    <row r="876" spans="1:15" x14ac:dyDescent="0.35">
      <c r="A876" s="1" t="s">
        <v>1682</v>
      </c>
      <c r="B876" s="2">
        <v>45017</v>
      </c>
      <c r="C876" s="1" t="s">
        <v>16</v>
      </c>
      <c r="D876" s="1" t="s">
        <v>32</v>
      </c>
      <c r="E876" s="1" t="str">
        <f>TRIM(CLEAN(Sheet1[[#This Row],[Category]]))</f>
        <v>Furniture</v>
      </c>
      <c r="F876">
        <v>3</v>
      </c>
      <c r="G876" t="str">
        <f t="shared" si="13"/>
        <v>1. Retail (1-3 Units)</v>
      </c>
      <c r="H876">
        <v>3</v>
      </c>
      <c r="I876">
        <v>30.08</v>
      </c>
      <c r="J876">
        <f>IF(ISBLANK(I876), ROUND(I876/ABS(VALUE(_xlfn.TEXTBEFORE(F876&amp;" ", " "))), 2), ABS(VALUE(SUBSTITUTE(I876, "$", ""))))</f>
        <v>30.08</v>
      </c>
      <c r="K876">
        <f>ROUND(Sheet1[[#This Row],[CleanedUnits_sold]]*Sheet1[[#This Row],[Cleaned_Unit_Price]],2)</f>
        <v>90.24</v>
      </c>
      <c r="L876">
        <v>90.24</v>
      </c>
      <c r="M876" s="1" t="s">
        <v>84</v>
      </c>
      <c r="N876" s="1" t="s">
        <v>14</v>
      </c>
      <c r="O876" s="1" t="s">
        <v>85</v>
      </c>
    </row>
    <row r="877" spans="1:15" x14ac:dyDescent="0.35">
      <c r="A877" s="1" t="s">
        <v>1683</v>
      </c>
      <c r="B877" s="2">
        <v>45076</v>
      </c>
      <c r="C877" s="1" t="s">
        <v>19</v>
      </c>
      <c r="D877" s="1" t="s">
        <v>12</v>
      </c>
      <c r="E877" s="1" t="str">
        <f>TRIM(CLEAN(Sheet1[[#This Row],[Category]]))</f>
        <v>Office Supplies</v>
      </c>
      <c r="F877">
        <v>6</v>
      </c>
      <c r="G877" t="str">
        <f t="shared" si="13"/>
        <v>2. Mid-Market (4-7 Units)</v>
      </c>
      <c r="H877">
        <v>6</v>
      </c>
      <c r="I877">
        <v>355.48</v>
      </c>
      <c r="J877">
        <f>IF(ISBLANK(I877), ROUND(I877/ABS(VALUE(_xlfn.TEXTBEFORE(F877&amp;" ", " "))), 2), ABS(VALUE(SUBSTITUTE(I877, "$", ""))))</f>
        <v>355.48</v>
      </c>
      <c r="K877">
        <f>ROUND(Sheet1[[#This Row],[CleanedUnits_sold]]*Sheet1[[#This Row],[Cleaned_Unit_Price]],2)</f>
        <v>2132.88</v>
      </c>
      <c r="L877">
        <v>2132.88</v>
      </c>
      <c r="M877" s="1" t="s">
        <v>1684</v>
      </c>
      <c r="N877" s="1" t="s">
        <v>50</v>
      </c>
      <c r="O877" s="1" t="s">
        <v>1684</v>
      </c>
    </row>
    <row r="878" spans="1:15" x14ac:dyDescent="0.35">
      <c r="A878" s="1" t="s">
        <v>1685</v>
      </c>
      <c r="B878" s="2">
        <v>45051</v>
      </c>
      <c r="C878" s="1" t="s">
        <v>19</v>
      </c>
      <c r="D878" s="1" t="s">
        <v>32</v>
      </c>
      <c r="E878" s="1" t="str">
        <f>TRIM(CLEAN(Sheet1[[#This Row],[Category]]))</f>
        <v>Furniture</v>
      </c>
      <c r="F878">
        <v>9999</v>
      </c>
      <c r="G878" t="str">
        <f t="shared" si="13"/>
        <v>2. Mid-Market (4-7 Units)</v>
      </c>
      <c r="H878">
        <v>5</v>
      </c>
      <c r="I878">
        <v>-156.31</v>
      </c>
      <c r="J878">
        <f>IF(ISBLANK(I878), ROUND(I878/ABS(VALUE(_xlfn.TEXTBEFORE(F878&amp;" ", " "))), 2), ABS(VALUE(SUBSTITUTE(I878, "$", ""))))</f>
        <v>156.31</v>
      </c>
      <c r="K878">
        <f>ROUND(Sheet1[[#This Row],[CleanedUnits_sold]]*Sheet1[[#This Row],[Cleaned_Unit_Price]],2)</f>
        <v>781.55</v>
      </c>
      <c r="L878">
        <v>1154.9000000000001</v>
      </c>
      <c r="M878" s="1" t="s">
        <v>1686</v>
      </c>
      <c r="N878" s="1" t="s">
        <v>50</v>
      </c>
      <c r="O878" s="1" t="s">
        <v>1686</v>
      </c>
    </row>
    <row r="879" spans="1:15" x14ac:dyDescent="0.35">
      <c r="A879" s="1" t="s">
        <v>1687</v>
      </c>
      <c r="B879" s="2">
        <v>45128</v>
      </c>
      <c r="C879" s="1" t="s">
        <v>16</v>
      </c>
      <c r="D879" s="1" t="s">
        <v>24</v>
      </c>
      <c r="E879" s="1" t="str">
        <f>TRIM(CLEAN(Sheet1[[#This Row],[Category]]))</f>
        <v>Electronics</v>
      </c>
      <c r="F879">
        <v>1</v>
      </c>
      <c r="G879" t="str">
        <f t="shared" si="13"/>
        <v>1. Retail (1-3 Units)</v>
      </c>
      <c r="H879">
        <v>1</v>
      </c>
      <c r="I879">
        <v>59.37</v>
      </c>
      <c r="J879">
        <f>IF(ISBLANK(I879), ROUND(I879/ABS(VALUE(_xlfn.TEXTBEFORE(F879&amp;" ", " "))), 2), ABS(VALUE(SUBSTITUTE(I879, "$", ""))))</f>
        <v>59.37</v>
      </c>
      <c r="K879">
        <f>ROUND(Sheet1[[#This Row],[CleanedUnits_sold]]*Sheet1[[#This Row],[Cleaned_Unit_Price]],2)</f>
        <v>59.37</v>
      </c>
      <c r="L879">
        <v>59.37</v>
      </c>
      <c r="M879" s="1" t="s">
        <v>1688</v>
      </c>
      <c r="N879" s="1" t="s">
        <v>26</v>
      </c>
      <c r="O879" s="1" t="s">
        <v>1688</v>
      </c>
    </row>
    <row r="880" spans="1:15" x14ac:dyDescent="0.35">
      <c r="A880" s="1" t="s">
        <v>1689</v>
      </c>
      <c r="B880" s="2">
        <v>1</v>
      </c>
      <c r="C880" s="1" t="s">
        <v>16</v>
      </c>
      <c r="D880" s="1" t="s">
        <v>24</v>
      </c>
      <c r="E880" s="1" t="str">
        <f>TRIM(CLEAN(Sheet1[[#This Row],[Category]]))</f>
        <v>Electronics</v>
      </c>
      <c r="F880">
        <v>8</v>
      </c>
      <c r="G880" t="str">
        <f t="shared" si="13"/>
        <v>3. Wholesale / Bulk (8+ Units)</v>
      </c>
      <c r="H880">
        <v>8</v>
      </c>
      <c r="I880">
        <v>-149.49</v>
      </c>
      <c r="J880">
        <f>IF(ISBLANK(I880), ROUND(I880/ABS(VALUE(_xlfn.TEXTBEFORE(F880&amp;" ", " "))), 2), ABS(VALUE(SUBSTITUTE(I880, "$", ""))))</f>
        <v>149.49</v>
      </c>
      <c r="K880">
        <f>ROUND(Sheet1[[#This Row],[CleanedUnits_sold]]*Sheet1[[#This Row],[Cleaned_Unit_Price]],2)</f>
        <v>1195.92</v>
      </c>
      <c r="L880">
        <v>2853.52</v>
      </c>
      <c r="M880" s="1" t="s">
        <v>49</v>
      </c>
      <c r="N880" s="1" t="s">
        <v>14</v>
      </c>
      <c r="O880" s="1" t="s">
        <v>51</v>
      </c>
    </row>
    <row r="881" spans="1:15" x14ac:dyDescent="0.35">
      <c r="A881" s="1" t="s">
        <v>1690</v>
      </c>
      <c r="B881" s="2">
        <v>45117</v>
      </c>
      <c r="C881" s="1" t="s">
        <v>16</v>
      </c>
      <c r="D881" s="1" t="s">
        <v>24</v>
      </c>
      <c r="E881" s="1" t="str">
        <f>TRIM(CLEAN(Sheet1[[#This Row],[Category]]))</f>
        <v>Electronics</v>
      </c>
      <c r="F881">
        <v>9</v>
      </c>
      <c r="G881" t="str">
        <f t="shared" si="13"/>
        <v>3. Wholesale / Bulk (8+ Units)</v>
      </c>
      <c r="H881">
        <v>9</v>
      </c>
      <c r="I881">
        <v>25.28</v>
      </c>
      <c r="J881">
        <f>IF(ISBLANK(I881), ROUND(I881/ABS(VALUE(_xlfn.TEXTBEFORE(F881&amp;" ", " "))), 2), ABS(VALUE(SUBSTITUTE(I881, "$", ""))))</f>
        <v>25.28</v>
      </c>
      <c r="K881">
        <f>ROUND(Sheet1[[#This Row],[CleanedUnits_sold]]*Sheet1[[#This Row],[Cleaned_Unit_Price]],2)</f>
        <v>227.52</v>
      </c>
      <c r="L881">
        <v>227.52</v>
      </c>
      <c r="M881" s="1" t="s">
        <v>1691</v>
      </c>
      <c r="N881" s="1" t="s">
        <v>50</v>
      </c>
      <c r="O881" s="1" t="s">
        <v>1691</v>
      </c>
    </row>
    <row r="882" spans="1:15" x14ac:dyDescent="0.35">
      <c r="A882" s="1" t="s">
        <v>1692</v>
      </c>
      <c r="B882" s="2">
        <v>45208</v>
      </c>
      <c r="C882" s="1" t="s">
        <v>16</v>
      </c>
      <c r="D882" s="1" t="s">
        <v>46</v>
      </c>
      <c r="E882" s="1" t="str">
        <f>TRIM(CLEAN(Sheet1[[#This Row],[Category]]))</f>
        <v>Furniture</v>
      </c>
      <c r="F882">
        <v>4</v>
      </c>
      <c r="G882" t="str">
        <f t="shared" si="13"/>
        <v>2. Mid-Market (4-7 Units)</v>
      </c>
      <c r="H882">
        <v>4</v>
      </c>
      <c r="I882">
        <v>436.4</v>
      </c>
      <c r="J882">
        <f>IF(ISBLANK(I882), ROUND(I882/ABS(VALUE(_xlfn.TEXTBEFORE(F882&amp;" ", " "))), 2), ABS(VALUE(SUBSTITUTE(I882, "$", ""))))</f>
        <v>436.4</v>
      </c>
      <c r="K882">
        <f>ROUND(Sheet1[[#This Row],[CleanedUnits_sold]]*Sheet1[[#This Row],[Cleaned_Unit_Price]],2)</f>
        <v>1745.6</v>
      </c>
      <c r="L882">
        <v>1745.6</v>
      </c>
      <c r="M882" s="1" t="s">
        <v>1693</v>
      </c>
      <c r="N882" s="1" t="s">
        <v>14</v>
      </c>
      <c r="O882" s="1" t="s">
        <v>1693</v>
      </c>
    </row>
    <row r="883" spans="1:15" x14ac:dyDescent="0.35">
      <c r="A883" s="1" t="s">
        <v>1694</v>
      </c>
      <c r="B883" s="2">
        <v>1</v>
      </c>
      <c r="C883" s="1" t="s">
        <v>58</v>
      </c>
      <c r="D883" s="1" t="s">
        <v>24</v>
      </c>
      <c r="E883" s="1" t="str">
        <f>TRIM(CLEAN(Sheet1[[#This Row],[Category]]))</f>
        <v>Electronics</v>
      </c>
      <c r="F883">
        <v>7</v>
      </c>
      <c r="G883" t="str">
        <f t="shared" si="13"/>
        <v>2. Mid-Market (4-7 Units)</v>
      </c>
      <c r="H883">
        <v>7</v>
      </c>
      <c r="I883">
        <v>77.94</v>
      </c>
      <c r="J883">
        <f>IF(ISBLANK(I883), ROUND(I883/ABS(VALUE(_xlfn.TEXTBEFORE(F883&amp;" ", " "))), 2), ABS(VALUE(SUBSTITUTE(I883, "$", ""))))</f>
        <v>77.94</v>
      </c>
      <c r="K883">
        <f>ROUND(Sheet1[[#This Row],[CleanedUnits_sold]]*Sheet1[[#This Row],[Cleaned_Unit_Price]],2)</f>
        <v>545.58000000000004</v>
      </c>
      <c r="L883">
        <v>545.58000000000004</v>
      </c>
      <c r="M883" s="1" t="s">
        <v>1695</v>
      </c>
      <c r="N883" s="1" t="s">
        <v>14</v>
      </c>
      <c r="O883" s="1" t="s">
        <v>1695</v>
      </c>
    </row>
    <row r="884" spans="1:15" x14ac:dyDescent="0.35">
      <c r="A884" s="1" t="s">
        <v>1696</v>
      </c>
      <c r="B884" s="2">
        <v>45076</v>
      </c>
      <c r="C884" s="1" t="s">
        <v>58</v>
      </c>
      <c r="D884" s="1" t="s">
        <v>32</v>
      </c>
      <c r="E884" s="1" t="str">
        <f>TRIM(CLEAN(Sheet1[[#This Row],[Category]]))</f>
        <v>Furniture</v>
      </c>
      <c r="F884">
        <v>3</v>
      </c>
      <c r="G884" t="str">
        <f t="shared" si="13"/>
        <v>1. Retail (1-3 Units)</v>
      </c>
      <c r="H884">
        <v>3</v>
      </c>
      <c r="I884">
        <v>72.38</v>
      </c>
      <c r="J884">
        <f>IF(ISBLANK(I884), ROUND(I884/ABS(VALUE(_xlfn.TEXTBEFORE(F884&amp;" ", " "))), 2), ABS(VALUE(SUBSTITUTE(I884, "$", ""))))</f>
        <v>72.38</v>
      </c>
      <c r="K884">
        <f>ROUND(Sheet1[[#This Row],[CleanedUnits_sold]]*Sheet1[[#This Row],[Cleaned_Unit_Price]],2)</f>
        <v>217.14</v>
      </c>
      <c r="M884" s="1" t="s">
        <v>1697</v>
      </c>
      <c r="N884" s="1" t="s">
        <v>26</v>
      </c>
      <c r="O884" s="1" t="s">
        <v>1697</v>
      </c>
    </row>
    <row r="885" spans="1:15" x14ac:dyDescent="0.35">
      <c r="A885" s="1" t="s">
        <v>1698</v>
      </c>
      <c r="B885" s="2">
        <v>45136</v>
      </c>
      <c r="C885" s="1" t="s">
        <v>23</v>
      </c>
      <c r="D885" s="1" t="s">
        <v>24</v>
      </c>
      <c r="E885" s="1" t="str">
        <f>TRIM(CLEAN(Sheet1[[#This Row],[Category]]))</f>
        <v>Electronics</v>
      </c>
      <c r="F885">
        <v>7</v>
      </c>
      <c r="G885" t="str">
        <f t="shared" si="13"/>
        <v>2. Mid-Market (4-7 Units)</v>
      </c>
      <c r="H885">
        <v>7</v>
      </c>
      <c r="I885">
        <v>96.08</v>
      </c>
      <c r="J885">
        <f>IF(ISBLANK(I885), ROUND(I885/ABS(VALUE(_xlfn.TEXTBEFORE(F885&amp;" ", " "))), 2), ABS(VALUE(SUBSTITUTE(I885, "$", ""))))</f>
        <v>96.08</v>
      </c>
      <c r="K885">
        <f>ROUND(Sheet1[[#This Row],[CleanedUnits_sold]]*Sheet1[[#This Row],[Cleaned_Unit_Price]],2)</f>
        <v>672.56</v>
      </c>
      <c r="M885" s="1" t="s">
        <v>1699</v>
      </c>
      <c r="N885" s="1" t="s">
        <v>38</v>
      </c>
      <c r="O885" s="1" t="s">
        <v>1699</v>
      </c>
    </row>
    <row r="886" spans="1:15" x14ac:dyDescent="0.35">
      <c r="A886" s="1" t="s">
        <v>1700</v>
      </c>
      <c r="B886" s="2">
        <v>45052</v>
      </c>
      <c r="C886" s="1" t="s">
        <v>19</v>
      </c>
      <c r="D886" s="1" t="s">
        <v>12</v>
      </c>
      <c r="E886" s="1" t="str">
        <f>TRIM(CLEAN(Sheet1[[#This Row],[Category]]))</f>
        <v>Office Supplies</v>
      </c>
      <c r="F886">
        <v>5</v>
      </c>
      <c r="G886" t="str">
        <f t="shared" si="13"/>
        <v>2. Mid-Market (4-7 Units)</v>
      </c>
      <c r="H886">
        <v>5</v>
      </c>
      <c r="I886">
        <v>480.53</v>
      </c>
      <c r="J886">
        <f>IF(ISBLANK(I886), ROUND(I886/ABS(VALUE(_xlfn.TEXTBEFORE(F886&amp;" ", " "))), 2), ABS(VALUE(SUBSTITUTE(I886, "$", ""))))</f>
        <v>480.53</v>
      </c>
      <c r="K886">
        <f>ROUND(Sheet1[[#This Row],[CleanedUnits_sold]]*Sheet1[[#This Row],[Cleaned_Unit_Price]],2)</f>
        <v>2402.65</v>
      </c>
      <c r="L886">
        <v>2402.65</v>
      </c>
      <c r="M886" s="1" t="s">
        <v>1701</v>
      </c>
      <c r="N886" s="1" t="s">
        <v>14</v>
      </c>
      <c r="O886" s="1" t="s">
        <v>1701</v>
      </c>
    </row>
    <row r="887" spans="1:15" x14ac:dyDescent="0.35">
      <c r="A887" s="1" t="s">
        <v>1702</v>
      </c>
      <c r="B887" s="2">
        <v>45005</v>
      </c>
      <c r="C887" s="1" t="s">
        <v>19</v>
      </c>
      <c r="D887" s="1" t="s">
        <v>12</v>
      </c>
      <c r="E887" s="1" t="str">
        <f>TRIM(CLEAN(Sheet1[[#This Row],[Category]]))</f>
        <v>Office Supplies</v>
      </c>
      <c r="F887">
        <v>6</v>
      </c>
      <c r="G887" t="str">
        <f t="shared" si="13"/>
        <v>2. Mid-Market (4-7 Units)</v>
      </c>
      <c r="H887">
        <v>6</v>
      </c>
      <c r="I887">
        <v>349.65</v>
      </c>
      <c r="J887">
        <f>IF(ISBLANK(I887), ROUND(I887/ABS(VALUE(_xlfn.TEXTBEFORE(F887&amp;" ", " "))), 2), ABS(VALUE(SUBSTITUTE(I887, "$", ""))))</f>
        <v>349.65</v>
      </c>
      <c r="K887">
        <f>ROUND(Sheet1[[#This Row],[CleanedUnits_sold]]*Sheet1[[#This Row],[Cleaned_Unit_Price]],2)</f>
        <v>2097.9</v>
      </c>
      <c r="L887">
        <v>2097.9</v>
      </c>
      <c r="M887" s="1"/>
      <c r="N887" s="1" t="s">
        <v>21</v>
      </c>
      <c r="O887" s="1" t="s">
        <v>131</v>
      </c>
    </row>
    <row r="888" spans="1:15" x14ac:dyDescent="0.35">
      <c r="A888" s="1" t="s">
        <v>1703</v>
      </c>
      <c r="B888" s="2">
        <v>44964</v>
      </c>
      <c r="C888" s="1" t="s">
        <v>16</v>
      </c>
      <c r="D888" s="1" t="s">
        <v>12</v>
      </c>
      <c r="E888" s="1" t="str">
        <f>TRIM(CLEAN(Sheet1[[#This Row],[Category]]))</f>
        <v>Office Supplies</v>
      </c>
      <c r="F888">
        <v>8</v>
      </c>
      <c r="G888" t="str">
        <f t="shared" si="13"/>
        <v>3. Wholesale / Bulk (8+ Units)</v>
      </c>
      <c r="H888">
        <v>8</v>
      </c>
      <c r="I888">
        <v>402.67</v>
      </c>
      <c r="J888">
        <f>IF(ISBLANK(I888), ROUND(I888/ABS(VALUE(_xlfn.TEXTBEFORE(F888&amp;" ", " "))), 2), ABS(VALUE(SUBSTITUTE(I888, "$", ""))))</f>
        <v>402.67</v>
      </c>
      <c r="K888">
        <f>ROUND(Sheet1[[#This Row],[CleanedUnits_sold]]*Sheet1[[#This Row],[Cleaned_Unit_Price]],2)</f>
        <v>3221.36</v>
      </c>
      <c r="L888">
        <v>3672.46</v>
      </c>
      <c r="M888" s="1" t="s">
        <v>1704</v>
      </c>
      <c r="N888" s="1" t="s">
        <v>26</v>
      </c>
      <c r="O888" s="1" t="s">
        <v>1704</v>
      </c>
    </row>
    <row r="889" spans="1:15" x14ac:dyDescent="0.35">
      <c r="A889" s="1" t="s">
        <v>1705</v>
      </c>
      <c r="B889" s="2">
        <v>45172</v>
      </c>
      <c r="C889" s="1" t="s">
        <v>11</v>
      </c>
      <c r="D889" s="1" t="s">
        <v>24</v>
      </c>
      <c r="E889" s="1" t="str">
        <f>TRIM(CLEAN(Sheet1[[#This Row],[Category]]))</f>
        <v>Electronics</v>
      </c>
      <c r="F889">
        <v>2</v>
      </c>
      <c r="G889" t="str">
        <f t="shared" si="13"/>
        <v>1. Retail (1-3 Units)</v>
      </c>
      <c r="H889">
        <v>2</v>
      </c>
      <c r="I889">
        <v>204.84</v>
      </c>
      <c r="J889">
        <f>IF(ISBLANK(I889), ROUND(I889/ABS(VALUE(_xlfn.TEXTBEFORE(F889&amp;" ", " "))), 2), ABS(VALUE(SUBSTITUTE(I889, "$", ""))))</f>
        <v>204.84</v>
      </c>
      <c r="K889">
        <f>ROUND(Sheet1[[#This Row],[CleanedUnits_sold]]*Sheet1[[#This Row],[Cleaned_Unit_Price]],2)</f>
        <v>409.68</v>
      </c>
      <c r="L889">
        <v>409.68</v>
      </c>
      <c r="M889" s="1" t="s">
        <v>1706</v>
      </c>
      <c r="N889" s="1" t="s">
        <v>50</v>
      </c>
      <c r="O889" s="1" t="s">
        <v>1706</v>
      </c>
    </row>
    <row r="890" spans="1:15" x14ac:dyDescent="0.35">
      <c r="A890" s="1" t="s">
        <v>1707</v>
      </c>
      <c r="B890" s="2">
        <v>45281</v>
      </c>
      <c r="C890" s="1" t="s">
        <v>11</v>
      </c>
      <c r="D890" s="1" t="s">
        <v>12</v>
      </c>
      <c r="E890" s="1" t="str">
        <f>TRIM(CLEAN(Sheet1[[#This Row],[Category]]))</f>
        <v>Office Supplies</v>
      </c>
      <c r="F890">
        <v>4</v>
      </c>
      <c r="G890" t="str">
        <f t="shared" si="13"/>
        <v>2. Mid-Market (4-7 Units)</v>
      </c>
      <c r="H890">
        <v>4</v>
      </c>
      <c r="I890">
        <v>174.79</v>
      </c>
      <c r="J890">
        <f>IF(ISBLANK(I890), ROUND(I890/ABS(VALUE(_xlfn.TEXTBEFORE(F890&amp;" ", " "))), 2), ABS(VALUE(SUBSTITUTE(I890, "$", ""))))</f>
        <v>174.79</v>
      </c>
      <c r="K890">
        <f>ROUND(Sheet1[[#This Row],[CleanedUnits_sold]]*Sheet1[[#This Row],[Cleaned_Unit_Price]],2)</f>
        <v>699.16</v>
      </c>
      <c r="L890">
        <v>904.47</v>
      </c>
      <c r="M890" s="1" t="s">
        <v>1708</v>
      </c>
      <c r="N890" s="1" t="s">
        <v>14</v>
      </c>
      <c r="O890" s="1" t="s">
        <v>1708</v>
      </c>
    </row>
    <row r="891" spans="1:15" x14ac:dyDescent="0.35">
      <c r="A891" s="1" t="s">
        <v>1709</v>
      </c>
      <c r="B891" s="2">
        <v>45111</v>
      </c>
      <c r="C891" s="1" t="s">
        <v>23</v>
      </c>
      <c r="D891" s="1" t="s">
        <v>46</v>
      </c>
      <c r="E891" s="1" t="str">
        <f>TRIM(CLEAN(Sheet1[[#This Row],[Category]]))</f>
        <v>Furniture</v>
      </c>
      <c r="F891">
        <v>9</v>
      </c>
      <c r="G891" t="str">
        <f t="shared" si="13"/>
        <v>3. Wholesale / Bulk (8+ Units)</v>
      </c>
      <c r="H891">
        <v>9</v>
      </c>
      <c r="I891">
        <v>124.9</v>
      </c>
      <c r="J891">
        <f>IF(ISBLANK(I891), ROUND(I891/ABS(VALUE(_xlfn.TEXTBEFORE(F891&amp;" ", " "))), 2), ABS(VALUE(SUBSTITUTE(I891, "$", ""))))</f>
        <v>124.9</v>
      </c>
      <c r="K891">
        <f>ROUND(Sheet1[[#This Row],[CleanedUnits_sold]]*Sheet1[[#This Row],[Cleaned_Unit_Price]],2)</f>
        <v>1124.0999999999999</v>
      </c>
      <c r="L891">
        <v>1124.0999999999999</v>
      </c>
      <c r="M891" s="1" t="s">
        <v>1710</v>
      </c>
      <c r="N891" s="1" t="s">
        <v>14</v>
      </c>
      <c r="O891" s="1" t="s">
        <v>1710</v>
      </c>
    </row>
    <row r="892" spans="1:15" x14ac:dyDescent="0.35">
      <c r="A892" s="1" t="s">
        <v>1711</v>
      </c>
      <c r="B892" s="2">
        <v>45054</v>
      </c>
      <c r="C892" s="1" t="s">
        <v>11</v>
      </c>
      <c r="D892" s="1" t="s">
        <v>46</v>
      </c>
      <c r="E892" s="1" t="str">
        <f>TRIM(CLEAN(Sheet1[[#This Row],[Category]]))</f>
        <v>Furniture</v>
      </c>
      <c r="F892">
        <v>4</v>
      </c>
      <c r="G892" t="str">
        <f t="shared" si="13"/>
        <v>2. Mid-Market (4-7 Units)</v>
      </c>
      <c r="H892">
        <v>4</v>
      </c>
      <c r="I892">
        <v>245.52</v>
      </c>
      <c r="J892">
        <f>IF(ISBLANK(I892), ROUND(I892/ABS(VALUE(_xlfn.TEXTBEFORE(F892&amp;" ", " "))), 2), ABS(VALUE(SUBSTITUTE(I892, "$", ""))))</f>
        <v>245.52</v>
      </c>
      <c r="K892">
        <f>ROUND(Sheet1[[#This Row],[CleanedUnits_sold]]*Sheet1[[#This Row],[Cleaned_Unit_Price]],2)</f>
        <v>982.08</v>
      </c>
      <c r="L892">
        <v>982.08</v>
      </c>
      <c r="M892" s="1" t="s">
        <v>1712</v>
      </c>
      <c r="N892" s="1" t="s">
        <v>50</v>
      </c>
      <c r="O892" s="1" t="s">
        <v>1712</v>
      </c>
    </row>
    <row r="893" spans="1:15" x14ac:dyDescent="0.35">
      <c r="A893" s="1" t="s">
        <v>1713</v>
      </c>
      <c r="B893" s="2">
        <v>45240</v>
      </c>
      <c r="C893" s="1" t="s">
        <v>23</v>
      </c>
      <c r="D893" s="1" t="s">
        <v>12</v>
      </c>
      <c r="E893" s="1" t="str">
        <f>TRIM(CLEAN(Sheet1[[#This Row],[Category]]))</f>
        <v>Office Supplies</v>
      </c>
      <c r="F893">
        <v>4</v>
      </c>
      <c r="G893" t="str">
        <f t="shared" si="13"/>
        <v>2. Mid-Market (4-7 Units)</v>
      </c>
      <c r="H893">
        <v>4</v>
      </c>
      <c r="I893">
        <v>280.39999999999998</v>
      </c>
      <c r="J893">
        <f>IF(ISBLANK(I893), ROUND(I893/ABS(VALUE(_xlfn.TEXTBEFORE(F893&amp;" ", " "))), 2), ABS(VALUE(SUBSTITUTE(I893, "$", ""))))</f>
        <v>280.39999999999998</v>
      </c>
      <c r="K893">
        <f>ROUND(Sheet1[[#This Row],[CleanedUnits_sold]]*Sheet1[[#This Row],[Cleaned_Unit_Price]],2)</f>
        <v>1121.5999999999999</v>
      </c>
      <c r="L893">
        <v>1121.5999999999999</v>
      </c>
      <c r="M893" s="1" t="s">
        <v>1714</v>
      </c>
      <c r="N893" s="1" t="s">
        <v>14</v>
      </c>
      <c r="O893" s="1" t="s">
        <v>1714</v>
      </c>
    </row>
    <row r="894" spans="1:15" x14ac:dyDescent="0.35">
      <c r="A894" s="1" t="s">
        <v>1715</v>
      </c>
      <c r="B894" s="2">
        <v>45257</v>
      </c>
      <c r="C894" s="1" t="s">
        <v>19</v>
      </c>
      <c r="D894" s="1" t="s">
        <v>12</v>
      </c>
      <c r="E894" s="1" t="str">
        <f>TRIM(CLEAN(Sheet1[[#This Row],[Category]]))</f>
        <v>Office Supplies</v>
      </c>
      <c r="F894">
        <v>3</v>
      </c>
      <c r="G894" t="str">
        <f t="shared" si="13"/>
        <v>1. Retail (1-3 Units)</v>
      </c>
      <c r="H894">
        <v>3</v>
      </c>
      <c r="I894">
        <v>319.57</v>
      </c>
      <c r="J894">
        <f>IF(ISBLANK(I894), ROUND(I894/ABS(VALUE(_xlfn.TEXTBEFORE(F894&amp;" ", " "))), 2), ABS(VALUE(SUBSTITUTE(I894, "$", ""))))</f>
        <v>319.57</v>
      </c>
      <c r="K894">
        <f>ROUND(Sheet1[[#This Row],[CleanedUnits_sold]]*Sheet1[[#This Row],[Cleaned_Unit_Price]],2)</f>
        <v>958.71</v>
      </c>
      <c r="L894">
        <v>958.71</v>
      </c>
      <c r="M894" s="1" t="s">
        <v>1716</v>
      </c>
      <c r="N894" s="1" t="s">
        <v>38</v>
      </c>
      <c r="O894" s="1" t="s">
        <v>1716</v>
      </c>
    </row>
    <row r="895" spans="1:15" x14ac:dyDescent="0.35">
      <c r="A895" s="1" t="s">
        <v>1717</v>
      </c>
      <c r="B895" s="2">
        <v>45096</v>
      </c>
      <c r="C895" s="1" t="s">
        <v>16</v>
      </c>
      <c r="D895" s="1" t="s">
        <v>12</v>
      </c>
      <c r="E895" s="1" t="str">
        <f>TRIM(CLEAN(Sheet1[[#This Row],[Category]]))</f>
        <v>Office Supplies</v>
      </c>
      <c r="F895">
        <v>4</v>
      </c>
      <c r="G895" t="str">
        <f t="shared" si="13"/>
        <v>2. Mid-Market (4-7 Units)</v>
      </c>
      <c r="H895">
        <v>4</v>
      </c>
      <c r="I895">
        <v>135.99</v>
      </c>
      <c r="J895">
        <f>IF(ISBLANK(I895), ROUND(I895/ABS(VALUE(_xlfn.TEXTBEFORE(F895&amp;" ", " "))), 2), ABS(VALUE(SUBSTITUTE(I895, "$", ""))))</f>
        <v>135.99</v>
      </c>
      <c r="K895">
        <f>ROUND(Sheet1[[#This Row],[CleanedUnits_sold]]*Sheet1[[#This Row],[Cleaned_Unit_Price]],2)</f>
        <v>543.96</v>
      </c>
      <c r="L895">
        <v>543.96</v>
      </c>
      <c r="M895" s="1" t="s">
        <v>1718</v>
      </c>
      <c r="N895" s="1" t="s">
        <v>14</v>
      </c>
      <c r="O895" s="1" t="s">
        <v>1718</v>
      </c>
    </row>
    <row r="896" spans="1:15" x14ac:dyDescent="0.35">
      <c r="A896" s="1" t="s">
        <v>1719</v>
      </c>
      <c r="B896" s="2">
        <v>44977</v>
      </c>
      <c r="C896" s="1" t="s">
        <v>16</v>
      </c>
      <c r="D896" s="1" t="s">
        <v>12</v>
      </c>
      <c r="E896" s="1" t="str">
        <f>TRIM(CLEAN(Sheet1[[#This Row],[Category]]))</f>
        <v>Office Supplies</v>
      </c>
      <c r="F896">
        <v>4</v>
      </c>
      <c r="G896" t="str">
        <f t="shared" si="13"/>
        <v>2. Mid-Market (4-7 Units)</v>
      </c>
      <c r="H896">
        <v>4</v>
      </c>
      <c r="I896">
        <v>474.84</v>
      </c>
      <c r="J896">
        <f>IF(ISBLANK(I896), ROUND(I896/ABS(VALUE(_xlfn.TEXTBEFORE(F896&amp;" ", " "))), 2), ABS(VALUE(SUBSTITUTE(I896, "$", ""))))</f>
        <v>474.84</v>
      </c>
      <c r="K896">
        <f>ROUND(Sheet1[[#This Row],[CleanedUnits_sold]]*Sheet1[[#This Row],[Cleaned_Unit_Price]],2)</f>
        <v>1899.36</v>
      </c>
      <c r="L896">
        <v>1899.36</v>
      </c>
      <c r="M896" s="1" t="s">
        <v>1720</v>
      </c>
      <c r="N896" s="1" t="s">
        <v>21</v>
      </c>
      <c r="O896" s="1" t="s">
        <v>1720</v>
      </c>
    </row>
    <row r="897" spans="1:15" x14ac:dyDescent="0.35">
      <c r="A897" s="1" t="s">
        <v>1721</v>
      </c>
      <c r="B897" s="2">
        <v>1</v>
      </c>
      <c r="C897" s="1" t="s">
        <v>16</v>
      </c>
      <c r="D897" s="1" t="s">
        <v>24</v>
      </c>
      <c r="E897" s="1" t="str">
        <f>TRIM(CLEAN(Sheet1[[#This Row],[Category]]))</f>
        <v>Electronics</v>
      </c>
      <c r="F897">
        <v>-9</v>
      </c>
      <c r="G897" t="str">
        <f t="shared" si="13"/>
        <v>3. Wholesale / Bulk (8+ Units)</v>
      </c>
      <c r="H897">
        <v>9</v>
      </c>
      <c r="I897">
        <v>93.18</v>
      </c>
      <c r="J897">
        <f>IF(ISBLANK(I897), ROUND(I897/ABS(VALUE(_xlfn.TEXTBEFORE(F897&amp;" ", " "))), 2), ABS(VALUE(SUBSTITUTE(I897, "$", ""))))</f>
        <v>93.18</v>
      </c>
      <c r="K897">
        <f>ROUND(Sheet1[[#This Row],[CleanedUnits_sold]]*Sheet1[[#This Row],[Cleaned_Unit_Price]],2)</f>
        <v>838.62</v>
      </c>
      <c r="L897">
        <v>559.08000000000004</v>
      </c>
      <c r="M897" s="1" t="s">
        <v>1722</v>
      </c>
      <c r="N897" s="1" t="s">
        <v>14</v>
      </c>
      <c r="O897" s="1" t="s">
        <v>1722</v>
      </c>
    </row>
    <row r="898" spans="1:15" x14ac:dyDescent="0.35">
      <c r="A898" s="1" t="s">
        <v>1723</v>
      </c>
      <c r="B898" s="2">
        <v>45127</v>
      </c>
      <c r="C898" s="1" t="s">
        <v>11</v>
      </c>
      <c r="D898" s="1" t="s">
        <v>24</v>
      </c>
      <c r="E898" s="1" t="str">
        <f>TRIM(CLEAN(Sheet1[[#This Row],[Category]]))</f>
        <v>Electronics</v>
      </c>
      <c r="F898">
        <v>7</v>
      </c>
      <c r="G898" t="str">
        <f t="shared" ref="G898:G961" si="14">IF(H898=0, "Non-Billable / Zero", IF(H898&lt;=3, "1. Retail (1-3 Units)", IF(H898&lt;=7, "2. Mid-Market (4-7 Units)", "3. Wholesale / Bulk (8+ Units)")))</f>
        <v>2. Mid-Market (4-7 Units)</v>
      </c>
      <c r="H898">
        <v>7</v>
      </c>
      <c r="I898">
        <v>-14.38</v>
      </c>
      <c r="J898">
        <f>IF(ISBLANK(I898), ROUND(I898/ABS(VALUE(_xlfn.TEXTBEFORE(F898&amp;" ", " "))), 2), ABS(VALUE(SUBSTITUTE(I898, "$", ""))))</f>
        <v>14.38</v>
      </c>
      <c r="K898">
        <f>ROUND(Sheet1[[#This Row],[CleanedUnits_sold]]*Sheet1[[#This Row],[Cleaned_Unit_Price]],2)</f>
        <v>100.66</v>
      </c>
      <c r="L898">
        <v>3569.4</v>
      </c>
      <c r="M898" s="1" t="s">
        <v>1724</v>
      </c>
      <c r="N898" s="1" t="s">
        <v>38</v>
      </c>
      <c r="O898" s="1" t="s">
        <v>1724</v>
      </c>
    </row>
    <row r="899" spans="1:15" x14ac:dyDescent="0.35">
      <c r="A899" s="1" t="s">
        <v>1725</v>
      </c>
      <c r="B899" s="2">
        <v>1</v>
      </c>
      <c r="C899" s="1" t="s">
        <v>58</v>
      </c>
      <c r="D899" s="1" t="s">
        <v>46</v>
      </c>
      <c r="E899" s="1" t="str">
        <f>TRIM(CLEAN(Sheet1[[#This Row],[Category]]))</f>
        <v>Furniture</v>
      </c>
      <c r="F899">
        <v>3</v>
      </c>
      <c r="G899" t="str">
        <f t="shared" si="14"/>
        <v>1. Retail (1-3 Units)</v>
      </c>
      <c r="H899">
        <v>3</v>
      </c>
      <c r="I899">
        <v>17.28</v>
      </c>
      <c r="J899">
        <f>IF(ISBLANK(I899), ROUND(I899/ABS(VALUE(_xlfn.TEXTBEFORE(F899&amp;" ", " "))), 2), ABS(VALUE(SUBSTITUTE(I899, "$", ""))))</f>
        <v>17.28</v>
      </c>
      <c r="K899">
        <f>ROUND(Sheet1[[#This Row],[CleanedUnits_sold]]*Sheet1[[#This Row],[Cleaned_Unit_Price]],2)</f>
        <v>51.84</v>
      </c>
      <c r="L899">
        <v>51.84</v>
      </c>
      <c r="M899" s="1" t="s">
        <v>1726</v>
      </c>
      <c r="N899" s="1" t="s">
        <v>14</v>
      </c>
      <c r="O899" s="1" t="s">
        <v>1726</v>
      </c>
    </row>
    <row r="900" spans="1:15" x14ac:dyDescent="0.35">
      <c r="A900" s="1" t="s">
        <v>1727</v>
      </c>
      <c r="B900" s="2">
        <v>44939</v>
      </c>
      <c r="C900" s="1" t="s">
        <v>11</v>
      </c>
      <c r="D900" s="1" t="s">
        <v>32</v>
      </c>
      <c r="E900" s="1" t="str">
        <f>TRIM(CLEAN(Sheet1[[#This Row],[Category]]))</f>
        <v>Furniture</v>
      </c>
      <c r="F900">
        <v>6</v>
      </c>
      <c r="G900" t="str">
        <f t="shared" si="14"/>
        <v>2. Mid-Market (4-7 Units)</v>
      </c>
      <c r="H900">
        <v>6</v>
      </c>
      <c r="I900">
        <v>245.75</v>
      </c>
      <c r="J900">
        <f>IF(ISBLANK(I900), ROUND(I900/ABS(VALUE(_xlfn.TEXTBEFORE(F900&amp;" ", " "))), 2), ABS(VALUE(SUBSTITUTE(I900, "$", ""))))</f>
        <v>245.75</v>
      </c>
      <c r="K900">
        <f>ROUND(Sheet1[[#This Row],[CleanedUnits_sold]]*Sheet1[[#This Row],[Cleaned_Unit_Price]],2)</f>
        <v>1474.5</v>
      </c>
      <c r="L900">
        <v>1671.25</v>
      </c>
      <c r="M900" s="1" t="s">
        <v>1728</v>
      </c>
      <c r="N900" s="1" t="s">
        <v>14</v>
      </c>
      <c r="O900" s="1" t="s">
        <v>1728</v>
      </c>
    </row>
    <row r="901" spans="1:15" x14ac:dyDescent="0.35">
      <c r="A901" s="1" t="s">
        <v>1729</v>
      </c>
      <c r="B901" s="2">
        <v>45139</v>
      </c>
      <c r="C901" s="1" t="s">
        <v>11</v>
      </c>
      <c r="D901" s="1" t="s">
        <v>46</v>
      </c>
      <c r="E901" s="1" t="str">
        <f>TRIM(CLEAN(Sheet1[[#This Row],[Category]]))</f>
        <v>Furniture</v>
      </c>
      <c r="F901">
        <v>8</v>
      </c>
      <c r="G901" t="str">
        <f t="shared" si="14"/>
        <v>3. Wholesale / Bulk (8+ Units)</v>
      </c>
      <c r="H901">
        <v>8</v>
      </c>
      <c r="I901">
        <v>173.35</v>
      </c>
      <c r="J901">
        <f>IF(ISBLANK(I901), ROUND(I901/ABS(VALUE(_xlfn.TEXTBEFORE(F901&amp;" ", " "))), 2), ABS(VALUE(SUBSTITUTE(I901, "$", ""))))</f>
        <v>173.35</v>
      </c>
      <c r="K901">
        <f>ROUND(Sheet1[[#This Row],[CleanedUnits_sold]]*Sheet1[[#This Row],[Cleaned_Unit_Price]],2)</f>
        <v>1386.8</v>
      </c>
      <c r="L901">
        <v>1386.8</v>
      </c>
      <c r="M901" s="1" t="s">
        <v>1730</v>
      </c>
      <c r="N901" s="1" t="s">
        <v>21</v>
      </c>
      <c r="O901" s="1" t="s">
        <v>1730</v>
      </c>
    </row>
    <row r="902" spans="1:15" x14ac:dyDescent="0.35">
      <c r="A902" s="1" t="s">
        <v>1731</v>
      </c>
      <c r="B902" s="2">
        <v>44999</v>
      </c>
      <c r="C902" s="1" t="s">
        <v>16</v>
      </c>
      <c r="D902" s="1" t="s">
        <v>24</v>
      </c>
      <c r="E902" s="1" t="str">
        <f>TRIM(CLEAN(Sheet1[[#This Row],[Category]]))</f>
        <v>Electronics</v>
      </c>
      <c r="F902">
        <v>7</v>
      </c>
      <c r="G902" t="str">
        <f t="shared" si="14"/>
        <v>2. Mid-Market (4-7 Units)</v>
      </c>
      <c r="H902">
        <v>7</v>
      </c>
      <c r="I902">
        <v>230.07</v>
      </c>
      <c r="J902">
        <f>IF(ISBLANK(I902), ROUND(I902/ABS(VALUE(_xlfn.TEXTBEFORE(F902&amp;" ", " "))), 2), ABS(VALUE(SUBSTITUTE(I902, "$", ""))))</f>
        <v>230.07</v>
      </c>
      <c r="K902">
        <f>ROUND(Sheet1[[#This Row],[CleanedUnits_sold]]*Sheet1[[#This Row],[Cleaned_Unit_Price]],2)</f>
        <v>1610.49</v>
      </c>
      <c r="L902">
        <v>1610.49</v>
      </c>
      <c r="M902" s="1" t="s">
        <v>1732</v>
      </c>
      <c r="N902" s="1" t="s">
        <v>14</v>
      </c>
      <c r="O902" s="1" t="s">
        <v>1732</v>
      </c>
    </row>
    <row r="903" spans="1:15" x14ac:dyDescent="0.35">
      <c r="A903" s="1" t="s">
        <v>1733</v>
      </c>
      <c r="B903" s="2">
        <v>1</v>
      </c>
      <c r="C903" s="1" t="s">
        <v>16</v>
      </c>
      <c r="D903" s="1" t="s">
        <v>24</v>
      </c>
      <c r="E903" s="1" t="str">
        <f>TRIM(CLEAN(Sheet1[[#This Row],[Category]]))</f>
        <v>Electronics</v>
      </c>
      <c r="F903">
        <v>3</v>
      </c>
      <c r="G903" t="str">
        <f t="shared" si="14"/>
        <v>1. Retail (1-3 Units)</v>
      </c>
      <c r="H903">
        <v>3</v>
      </c>
      <c r="I903">
        <v>289.63</v>
      </c>
      <c r="J903">
        <f>IF(ISBLANK(I903), ROUND(I903/ABS(VALUE(_xlfn.TEXTBEFORE(F903&amp;" ", " "))), 2), ABS(VALUE(SUBSTITUTE(I903, "$", ""))))</f>
        <v>289.63</v>
      </c>
      <c r="K903">
        <f>ROUND(Sheet1[[#This Row],[CleanedUnits_sold]]*Sheet1[[#This Row],[Cleaned_Unit_Price]],2)</f>
        <v>868.89</v>
      </c>
      <c r="L903">
        <v>868.89</v>
      </c>
      <c r="M903" s="1" t="s">
        <v>1734</v>
      </c>
      <c r="N903" s="1" t="s">
        <v>26</v>
      </c>
      <c r="O903" s="1" t="s">
        <v>1734</v>
      </c>
    </row>
    <row r="904" spans="1:15" x14ac:dyDescent="0.35">
      <c r="A904" s="1" t="s">
        <v>1735</v>
      </c>
      <c r="B904" s="2">
        <v>45105</v>
      </c>
      <c r="C904" s="1" t="s">
        <v>58</v>
      </c>
      <c r="D904" s="1" t="s">
        <v>24</v>
      </c>
      <c r="E904" s="1" t="str">
        <f>TRIM(CLEAN(Sheet1[[#This Row],[Category]]))</f>
        <v>Electronics</v>
      </c>
      <c r="F904">
        <v>4</v>
      </c>
      <c r="G904" t="str">
        <f t="shared" si="14"/>
        <v>2. Mid-Market (4-7 Units)</v>
      </c>
      <c r="H904">
        <v>4</v>
      </c>
      <c r="I904">
        <v>223.44</v>
      </c>
      <c r="J904">
        <f>IF(ISBLANK(I904), ROUND(I904/ABS(VALUE(_xlfn.TEXTBEFORE(F904&amp;" ", " "))), 2), ABS(VALUE(SUBSTITUTE(I904, "$", ""))))</f>
        <v>223.44</v>
      </c>
      <c r="K904">
        <f>ROUND(Sheet1[[#This Row],[CleanedUnits_sold]]*Sheet1[[#This Row],[Cleaned_Unit_Price]],2)</f>
        <v>893.76</v>
      </c>
      <c r="L904">
        <v>893.76</v>
      </c>
      <c r="M904" s="1" t="s">
        <v>1736</v>
      </c>
      <c r="N904" s="1" t="s">
        <v>26</v>
      </c>
      <c r="O904" s="1" t="s">
        <v>1736</v>
      </c>
    </row>
    <row r="905" spans="1:15" x14ac:dyDescent="0.35">
      <c r="A905" s="1" t="s">
        <v>1737</v>
      </c>
      <c r="B905" s="2">
        <v>1</v>
      </c>
      <c r="C905" s="1" t="s">
        <v>16</v>
      </c>
      <c r="D905" s="1" t="s">
        <v>24</v>
      </c>
      <c r="E905" s="1" t="str">
        <f>TRIM(CLEAN(Sheet1[[#This Row],[Category]]))</f>
        <v>Electronics</v>
      </c>
      <c r="F905">
        <v>6</v>
      </c>
      <c r="G905" t="str">
        <f t="shared" si="14"/>
        <v>2. Mid-Market (4-7 Units)</v>
      </c>
      <c r="H905">
        <v>6</v>
      </c>
      <c r="I905">
        <v>213.27</v>
      </c>
      <c r="J905">
        <f>IF(ISBLANK(I905), ROUND(I905/ABS(VALUE(_xlfn.TEXTBEFORE(F905&amp;" ", " "))), 2), ABS(VALUE(SUBSTITUTE(I905, "$", ""))))</f>
        <v>213.27</v>
      </c>
      <c r="K905">
        <f>ROUND(Sheet1[[#This Row],[CleanedUnits_sold]]*Sheet1[[#This Row],[Cleaned_Unit_Price]],2)</f>
        <v>1279.6199999999999</v>
      </c>
      <c r="L905">
        <v>1279.6199999999999</v>
      </c>
      <c r="M905" s="1" t="s">
        <v>1738</v>
      </c>
      <c r="N905" s="1" t="s">
        <v>14</v>
      </c>
      <c r="O905" s="1" t="s">
        <v>1738</v>
      </c>
    </row>
    <row r="906" spans="1:15" x14ac:dyDescent="0.35">
      <c r="A906" s="1" t="s">
        <v>1739</v>
      </c>
      <c r="B906" s="2">
        <v>45158</v>
      </c>
      <c r="C906" s="1" t="s">
        <v>19</v>
      </c>
      <c r="D906" s="1" t="s">
        <v>12</v>
      </c>
      <c r="E906" s="1" t="str">
        <f>TRIM(CLEAN(Sheet1[[#This Row],[Category]]))</f>
        <v>Office Supplies</v>
      </c>
      <c r="F906">
        <v>8</v>
      </c>
      <c r="G906" t="str">
        <f t="shared" si="14"/>
        <v>3. Wholesale / Bulk (8+ Units)</v>
      </c>
      <c r="H906">
        <v>8</v>
      </c>
      <c r="I906">
        <v>369.03</v>
      </c>
      <c r="J906">
        <f>IF(ISBLANK(I906), ROUND(I906/ABS(VALUE(_xlfn.TEXTBEFORE(F906&amp;" ", " "))), 2), ABS(VALUE(SUBSTITUTE(I906, "$", ""))))</f>
        <v>369.03</v>
      </c>
      <c r="K906">
        <f>ROUND(Sheet1[[#This Row],[CleanedUnits_sold]]*Sheet1[[#This Row],[Cleaned_Unit_Price]],2)</f>
        <v>2952.24</v>
      </c>
      <c r="L906">
        <v>2952.24</v>
      </c>
      <c r="M906" s="1" t="s">
        <v>1740</v>
      </c>
      <c r="N906" s="1" t="s">
        <v>50</v>
      </c>
      <c r="O906" s="1" t="s">
        <v>1740</v>
      </c>
    </row>
    <row r="907" spans="1:15" x14ac:dyDescent="0.35">
      <c r="A907" s="1" t="s">
        <v>1741</v>
      </c>
      <c r="B907" s="2">
        <v>1</v>
      </c>
      <c r="C907" s="1" t="s">
        <v>19</v>
      </c>
      <c r="D907" s="1" t="s">
        <v>24</v>
      </c>
      <c r="E907" s="1" t="str">
        <f>TRIM(CLEAN(Sheet1[[#This Row],[Category]]))</f>
        <v>Electronics</v>
      </c>
      <c r="F907">
        <v>3</v>
      </c>
      <c r="G907" t="str">
        <f t="shared" si="14"/>
        <v>1. Retail (1-3 Units)</v>
      </c>
      <c r="H907">
        <v>3</v>
      </c>
      <c r="I907">
        <v>346.08</v>
      </c>
      <c r="J907">
        <f>IF(ISBLANK(I907), ROUND(I907/ABS(VALUE(_xlfn.TEXTBEFORE(F907&amp;" ", " "))), 2), ABS(VALUE(SUBSTITUTE(I907, "$", ""))))</f>
        <v>346.08</v>
      </c>
      <c r="K907">
        <f>ROUND(Sheet1[[#This Row],[CleanedUnits_sold]]*Sheet1[[#This Row],[Cleaned_Unit_Price]],2)</f>
        <v>1038.24</v>
      </c>
      <c r="L907">
        <v>1038.24</v>
      </c>
      <c r="M907" s="1" t="s">
        <v>1742</v>
      </c>
      <c r="N907" s="1" t="s">
        <v>14</v>
      </c>
      <c r="O907" s="1" t="s">
        <v>1742</v>
      </c>
    </row>
    <row r="908" spans="1:15" x14ac:dyDescent="0.35">
      <c r="A908" s="1" t="s">
        <v>1743</v>
      </c>
      <c r="B908" s="2">
        <v>1</v>
      </c>
      <c r="C908" s="1" t="s">
        <v>19</v>
      </c>
      <c r="D908" s="1" t="s">
        <v>24</v>
      </c>
      <c r="E908" s="1" t="str">
        <f>TRIM(CLEAN(Sheet1[[#This Row],[Category]]))</f>
        <v>Electronics</v>
      </c>
      <c r="F908">
        <v>4</v>
      </c>
      <c r="G908" t="str">
        <f t="shared" si="14"/>
        <v>2. Mid-Market (4-7 Units)</v>
      </c>
      <c r="H908">
        <v>4</v>
      </c>
      <c r="I908">
        <v>418.3</v>
      </c>
      <c r="J908">
        <f>IF(ISBLANK(I908), ROUND(I908/ABS(VALUE(_xlfn.TEXTBEFORE(F908&amp;" ", " "))), 2), ABS(VALUE(SUBSTITUTE(I908, "$", ""))))</f>
        <v>418.3</v>
      </c>
      <c r="K908">
        <f>ROUND(Sheet1[[#This Row],[CleanedUnits_sold]]*Sheet1[[#This Row],[Cleaned_Unit_Price]],2)</f>
        <v>1673.2</v>
      </c>
      <c r="L908">
        <v>1673.2</v>
      </c>
      <c r="M908" s="1" t="s">
        <v>49</v>
      </c>
      <c r="N908" s="1" t="s">
        <v>21</v>
      </c>
      <c r="O908" s="1" t="s">
        <v>51</v>
      </c>
    </row>
    <row r="909" spans="1:15" x14ac:dyDescent="0.35">
      <c r="A909" s="1" t="s">
        <v>1744</v>
      </c>
      <c r="B909" s="2">
        <v>44938</v>
      </c>
      <c r="C909" s="1" t="s">
        <v>16</v>
      </c>
      <c r="D909" s="1" t="s">
        <v>24</v>
      </c>
      <c r="E909" s="1" t="str">
        <f>TRIM(CLEAN(Sheet1[[#This Row],[Category]]))</f>
        <v>Electronics</v>
      </c>
      <c r="F909">
        <v>3</v>
      </c>
      <c r="G909" t="str">
        <f t="shared" si="14"/>
        <v>1. Retail (1-3 Units)</v>
      </c>
      <c r="H909">
        <v>3</v>
      </c>
      <c r="I909">
        <v>132.47999999999999</v>
      </c>
      <c r="J909">
        <f>IF(ISBLANK(I909), ROUND(I909/ABS(VALUE(_xlfn.TEXTBEFORE(F909&amp;" ", " "))), 2), ABS(VALUE(SUBSTITUTE(I909, "$", ""))))</f>
        <v>132.47999999999999</v>
      </c>
      <c r="K909">
        <f>ROUND(Sheet1[[#This Row],[CleanedUnits_sold]]*Sheet1[[#This Row],[Cleaned_Unit_Price]],2)</f>
        <v>397.44</v>
      </c>
      <c r="L909">
        <v>397.44</v>
      </c>
      <c r="M909" s="1" t="s">
        <v>1745</v>
      </c>
      <c r="N909" s="1" t="s">
        <v>14</v>
      </c>
      <c r="O909" s="1" t="s">
        <v>1745</v>
      </c>
    </row>
    <row r="910" spans="1:15" x14ac:dyDescent="0.35">
      <c r="A910" s="1" t="s">
        <v>1746</v>
      </c>
      <c r="B910" s="2">
        <v>1</v>
      </c>
      <c r="C910" s="1" t="s">
        <v>11</v>
      </c>
      <c r="D910" s="1" t="s">
        <v>32</v>
      </c>
      <c r="E910" s="1" t="str">
        <f>TRIM(CLEAN(Sheet1[[#This Row],[Category]]))</f>
        <v>Furniture</v>
      </c>
      <c r="F910">
        <v>8</v>
      </c>
      <c r="G910" t="str">
        <f t="shared" si="14"/>
        <v>3. Wholesale / Bulk (8+ Units)</v>
      </c>
      <c r="H910">
        <v>8</v>
      </c>
      <c r="I910">
        <v>308.67</v>
      </c>
      <c r="J910">
        <f>IF(ISBLANK(I910), ROUND(I910/ABS(VALUE(_xlfn.TEXTBEFORE(F910&amp;" ", " "))), 2), ABS(VALUE(SUBSTITUTE(I910, "$", ""))))</f>
        <v>308.67</v>
      </c>
      <c r="K910">
        <f>ROUND(Sheet1[[#This Row],[CleanedUnits_sold]]*Sheet1[[#This Row],[Cleaned_Unit_Price]],2)</f>
        <v>2469.36</v>
      </c>
      <c r="L910">
        <v>2469.36</v>
      </c>
      <c r="M910" s="1" t="s">
        <v>1747</v>
      </c>
      <c r="N910" s="1" t="s">
        <v>14</v>
      </c>
      <c r="O910" s="1" t="s">
        <v>1747</v>
      </c>
    </row>
    <row r="911" spans="1:15" x14ac:dyDescent="0.35">
      <c r="A911" s="1" t="s">
        <v>1748</v>
      </c>
      <c r="B911" s="2">
        <v>45051</v>
      </c>
      <c r="C911" s="1" t="s">
        <v>16</v>
      </c>
      <c r="D911" s="1" t="s">
        <v>12</v>
      </c>
      <c r="E911" s="1" t="str">
        <f>TRIM(CLEAN(Sheet1[[#This Row],[Category]]))</f>
        <v>Office Supplies</v>
      </c>
      <c r="F911">
        <v>1</v>
      </c>
      <c r="G911" t="str">
        <f t="shared" si="14"/>
        <v>1. Retail (1-3 Units)</v>
      </c>
      <c r="H911">
        <v>1</v>
      </c>
      <c r="I911">
        <v>296.75</v>
      </c>
      <c r="J911">
        <f>IF(ISBLANK(I911), ROUND(I911/ABS(VALUE(_xlfn.TEXTBEFORE(F911&amp;" ", " "))), 2), ABS(VALUE(SUBSTITUTE(I911, "$", ""))))</f>
        <v>296.75</v>
      </c>
      <c r="K911">
        <f>ROUND(Sheet1[[#This Row],[CleanedUnits_sold]]*Sheet1[[#This Row],[Cleaned_Unit_Price]],2)</f>
        <v>296.75</v>
      </c>
      <c r="L911">
        <v>296.75</v>
      </c>
      <c r="M911" s="1" t="s">
        <v>1749</v>
      </c>
      <c r="N911" s="1" t="s">
        <v>38</v>
      </c>
      <c r="O911" s="1" t="s">
        <v>1749</v>
      </c>
    </row>
    <row r="912" spans="1:15" x14ac:dyDescent="0.35">
      <c r="A912" s="1" t="s">
        <v>1750</v>
      </c>
      <c r="B912" s="2">
        <v>45096</v>
      </c>
      <c r="C912" s="1" t="s">
        <v>11</v>
      </c>
      <c r="D912" s="1" t="s">
        <v>24</v>
      </c>
      <c r="E912" s="1" t="str">
        <f>TRIM(CLEAN(Sheet1[[#This Row],[Category]]))</f>
        <v>Electronics</v>
      </c>
      <c r="F912">
        <v>3</v>
      </c>
      <c r="G912" t="str">
        <f t="shared" si="14"/>
        <v>1. Retail (1-3 Units)</v>
      </c>
      <c r="H912">
        <v>3</v>
      </c>
      <c r="J912">
        <f>IF(ISBLANK(I912), ROUND(I912/ABS(VALUE(_xlfn.TEXTBEFORE(F912&amp;" ", " "))), 2), ABS(VALUE(SUBSTITUTE(I912, "$", ""))))</f>
        <v>0</v>
      </c>
      <c r="K912">
        <f>ROUND(Sheet1[[#This Row],[CleanedUnits_sold]]*Sheet1[[#This Row],[Cleaned_Unit_Price]],2)</f>
        <v>0</v>
      </c>
      <c r="L912">
        <v>573.51</v>
      </c>
      <c r="M912" s="1" t="s">
        <v>1751</v>
      </c>
      <c r="N912" s="1" t="s">
        <v>26</v>
      </c>
      <c r="O912" s="1" t="s">
        <v>1751</v>
      </c>
    </row>
    <row r="913" spans="1:15" x14ac:dyDescent="0.35">
      <c r="A913" s="1" t="s">
        <v>1752</v>
      </c>
      <c r="B913" s="2">
        <v>45045</v>
      </c>
      <c r="C913" s="1" t="s">
        <v>16</v>
      </c>
      <c r="D913" s="1" t="s">
        <v>24</v>
      </c>
      <c r="E913" s="1" t="str">
        <f>TRIM(CLEAN(Sheet1[[#This Row],[Category]]))</f>
        <v>Electronics</v>
      </c>
      <c r="F913">
        <v>9999</v>
      </c>
      <c r="G913" t="str">
        <f t="shared" si="14"/>
        <v>2. Mid-Market (4-7 Units)</v>
      </c>
      <c r="H913">
        <v>5</v>
      </c>
      <c r="I913">
        <v>248.17</v>
      </c>
      <c r="J913">
        <f>IF(ISBLANK(I913), ROUND(I913/ABS(VALUE(_xlfn.TEXTBEFORE(F913&amp;" ", " "))), 2), ABS(VALUE(SUBSTITUTE(I913, "$", ""))))</f>
        <v>248.17</v>
      </c>
      <c r="K913">
        <f>ROUND(Sheet1[[#This Row],[CleanedUnits_sold]]*Sheet1[[#This Row],[Cleaned_Unit_Price]],2)</f>
        <v>1240.8499999999999</v>
      </c>
      <c r="L913">
        <v>1737.19</v>
      </c>
      <c r="M913" s="1" t="s">
        <v>1753</v>
      </c>
      <c r="N913" s="1" t="s">
        <v>14</v>
      </c>
      <c r="O913" s="1" t="s">
        <v>1753</v>
      </c>
    </row>
    <row r="914" spans="1:15" x14ac:dyDescent="0.35">
      <c r="A914" s="1" t="s">
        <v>1754</v>
      </c>
      <c r="B914" s="2">
        <v>45022</v>
      </c>
      <c r="C914" s="1" t="s">
        <v>11</v>
      </c>
      <c r="D914" s="1" t="s">
        <v>24</v>
      </c>
      <c r="E914" s="1" t="str">
        <f>TRIM(CLEAN(Sheet1[[#This Row],[Category]]))</f>
        <v>Electronics</v>
      </c>
      <c r="F914">
        <v>5</v>
      </c>
      <c r="G914" t="str">
        <f t="shared" si="14"/>
        <v>2. Mid-Market (4-7 Units)</v>
      </c>
      <c r="H914">
        <v>5</v>
      </c>
      <c r="I914">
        <v>163.75</v>
      </c>
      <c r="J914">
        <f>IF(ISBLANK(I914), ROUND(I914/ABS(VALUE(_xlfn.TEXTBEFORE(F914&amp;" ", " "))), 2), ABS(VALUE(SUBSTITUTE(I914, "$", ""))))</f>
        <v>163.75</v>
      </c>
      <c r="K914">
        <f>ROUND(Sheet1[[#This Row],[CleanedUnits_sold]]*Sheet1[[#This Row],[Cleaned_Unit_Price]],2)</f>
        <v>818.75</v>
      </c>
      <c r="L914">
        <v>818.75</v>
      </c>
      <c r="M914" s="1" t="s">
        <v>1755</v>
      </c>
      <c r="N914" s="1" t="s">
        <v>50</v>
      </c>
      <c r="O914" s="1" t="s">
        <v>1755</v>
      </c>
    </row>
    <row r="915" spans="1:15" x14ac:dyDescent="0.35">
      <c r="A915" s="1" t="s">
        <v>1756</v>
      </c>
      <c r="B915" s="2">
        <v>45241</v>
      </c>
      <c r="C915" s="1" t="s">
        <v>58</v>
      </c>
      <c r="D915" s="1" t="s">
        <v>12</v>
      </c>
      <c r="E915" s="1" t="str">
        <f>TRIM(CLEAN(Sheet1[[#This Row],[Category]]))</f>
        <v>Office Supplies</v>
      </c>
      <c r="F915">
        <v>9</v>
      </c>
      <c r="G915" t="str">
        <f t="shared" si="14"/>
        <v>3. Wholesale / Bulk (8+ Units)</v>
      </c>
      <c r="H915">
        <v>9</v>
      </c>
      <c r="I915">
        <v>79.5</v>
      </c>
      <c r="J915">
        <f>IF(ISBLANK(I915), ROUND(I915/ABS(VALUE(_xlfn.TEXTBEFORE(F915&amp;" ", " "))), 2), ABS(VALUE(SUBSTITUTE(I915, "$", ""))))</f>
        <v>79.5</v>
      </c>
      <c r="K915">
        <f>ROUND(Sheet1[[#This Row],[CleanedUnits_sold]]*Sheet1[[#This Row],[Cleaned_Unit_Price]],2)</f>
        <v>715.5</v>
      </c>
      <c r="M915" s="1" t="s">
        <v>1757</v>
      </c>
      <c r="N915" s="1" t="s">
        <v>38</v>
      </c>
      <c r="O915" s="1" t="s">
        <v>1757</v>
      </c>
    </row>
    <row r="916" spans="1:15" x14ac:dyDescent="0.35">
      <c r="A916" s="1" t="s">
        <v>1758</v>
      </c>
      <c r="B916" s="2">
        <v>45146</v>
      </c>
      <c r="C916" s="1" t="s">
        <v>19</v>
      </c>
      <c r="D916" s="1" t="s">
        <v>24</v>
      </c>
      <c r="E916" s="1" t="str">
        <f>TRIM(CLEAN(Sheet1[[#This Row],[Category]]))</f>
        <v>Electronics</v>
      </c>
      <c r="F916">
        <v>5</v>
      </c>
      <c r="G916" t="str">
        <f t="shared" si="14"/>
        <v>2. Mid-Market (4-7 Units)</v>
      </c>
      <c r="H916">
        <v>5</v>
      </c>
      <c r="I916">
        <v>114.76</v>
      </c>
      <c r="J916">
        <f>IF(ISBLANK(I916), ROUND(I916/ABS(VALUE(_xlfn.TEXTBEFORE(F916&amp;" ", " "))), 2), ABS(VALUE(SUBSTITUTE(I916, "$", ""))))</f>
        <v>114.76</v>
      </c>
      <c r="K916">
        <f>ROUND(Sheet1[[#This Row],[CleanedUnits_sold]]*Sheet1[[#This Row],[Cleaned_Unit_Price]],2)</f>
        <v>573.79999999999995</v>
      </c>
      <c r="L916">
        <v>573.79999999999995</v>
      </c>
      <c r="M916" s="1" t="s">
        <v>49</v>
      </c>
      <c r="N916" s="1" t="s">
        <v>21</v>
      </c>
      <c r="O916" s="1" t="s">
        <v>51</v>
      </c>
    </row>
    <row r="917" spans="1:15" x14ac:dyDescent="0.35">
      <c r="A917" s="1" t="s">
        <v>1759</v>
      </c>
      <c r="B917" s="2">
        <v>1</v>
      </c>
      <c r="C917" s="1" t="s">
        <v>23</v>
      </c>
      <c r="D917" s="1" t="s">
        <v>24</v>
      </c>
      <c r="E917" s="1" t="str">
        <f>TRIM(CLEAN(Sheet1[[#This Row],[Category]]))</f>
        <v>Electronics</v>
      </c>
      <c r="F917">
        <v>4</v>
      </c>
      <c r="G917" t="str">
        <f t="shared" si="14"/>
        <v>2. Mid-Market (4-7 Units)</v>
      </c>
      <c r="H917">
        <v>4</v>
      </c>
      <c r="I917">
        <v>61.7</v>
      </c>
      <c r="J917">
        <f>IF(ISBLANK(I917), ROUND(I917/ABS(VALUE(_xlfn.TEXTBEFORE(F917&amp;" ", " "))), 2), ABS(VALUE(SUBSTITUTE(I917, "$", ""))))</f>
        <v>61.7</v>
      </c>
      <c r="K917">
        <f>ROUND(Sheet1[[#This Row],[CleanedUnits_sold]]*Sheet1[[#This Row],[Cleaned_Unit_Price]],2)</f>
        <v>246.8</v>
      </c>
      <c r="L917">
        <v>246.8</v>
      </c>
      <c r="M917" s="1" t="s">
        <v>1760</v>
      </c>
      <c r="N917" s="1" t="s">
        <v>50</v>
      </c>
      <c r="O917" s="1" t="s">
        <v>1760</v>
      </c>
    </row>
    <row r="918" spans="1:15" x14ac:dyDescent="0.35">
      <c r="A918" s="1" t="s">
        <v>1761</v>
      </c>
      <c r="B918" s="2">
        <v>45069</v>
      </c>
      <c r="C918" s="1" t="s">
        <v>23</v>
      </c>
      <c r="D918" s="1" t="s">
        <v>32</v>
      </c>
      <c r="E918" s="1" t="str">
        <f>TRIM(CLEAN(Sheet1[[#This Row],[Category]]))</f>
        <v>Furniture</v>
      </c>
      <c r="F918">
        <v>5</v>
      </c>
      <c r="G918" t="str">
        <f t="shared" si="14"/>
        <v>2. Mid-Market (4-7 Units)</v>
      </c>
      <c r="H918">
        <v>5</v>
      </c>
      <c r="I918">
        <v>344.7</v>
      </c>
      <c r="J918">
        <f>IF(ISBLANK(I918), ROUND(I918/ABS(VALUE(_xlfn.TEXTBEFORE(F918&amp;" ", " "))), 2), ABS(VALUE(SUBSTITUTE(I918, "$", ""))))</f>
        <v>344.7</v>
      </c>
      <c r="K918">
        <f>ROUND(Sheet1[[#This Row],[CleanedUnits_sold]]*Sheet1[[#This Row],[Cleaned_Unit_Price]],2)</f>
        <v>1723.5</v>
      </c>
      <c r="L918">
        <v>1723.5</v>
      </c>
      <c r="M918" s="1" t="s">
        <v>84</v>
      </c>
      <c r="N918" s="1" t="s">
        <v>38</v>
      </c>
      <c r="O918" s="1" t="s">
        <v>85</v>
      </c>
    </row>
    <row r="919" spans="1:15" x14ac:dyDescent="0.35">
      <c r="A919" s="1" t="s">
        <v>1762</v>
      </c>
      <c r="B919" s="2">
        <v>44967</v>
      </c>
      <c r="C919" s="1" t="s">
        <v>16</v>
      </c>
      <c r="D919" s="1" t="s">
        <v>24</v>
      </c>
      <c r="E919" s="1" t="str">
        <f>TRIM(CLEAN(Sheet1[[#This Row],[Category]]))</f>
        <v>Electronics</v>
      </c>
      <c r="F919">
        <v>7</v>
      </c>
      <c r="G919" t="str">
        <f t="shared" si="14"/>
        <v>2. Mid-Market (4-7 Units)</v>
      </c>
      <c r="H919">
        <v>7</v>
      </c>
      <c r="I919">
        <v>-72.489999999999995</v>
      </c>
      <c r="J919">
        <f>IF(ISBLANK(I919), ROUND(I919/ABS(VALUE(_xlfn.TEXTBEFORE(F919&amp;" ", " "))), 2), ABS(VALUE(SUBSTITUTE(I919, "$", ""))))</f>
        <v>72.489999999999995</v>
      </c>
      <c r="K919">
        <f>ROUND(Sheet1[[#This Row],[CleanedUnits_sold]]*Sheet1[[#This Row],[Cleaned_Unit_Price]],2)</f>
        <v>507.43</v>
      </c>
      <c r="L919">
        <v>2336.3200000000002</v>
      </c>
      <c r="M919" s="1" t="s">
        <v>1763</v>
      </c>
      <c r="N919" s="1" t="s">
        <v>14</v>
      </c>
      <c r="O919" s="1" t="s">
        <v>1763</v>
      </c>
    </row>
    <row r="920" spans="1:15" x14ac:dyDescent="0.35">
      <c r="A920" s="1" t="s">
        <v>1764</v>
      </c>
      <c r="B920" s="2">
        <v>45027</v>
      </c>
      <c r="C920" s="1" t="s">
        <v>11</v>
      </c>
      <c r="D920" s="1" t="s">
        <v>12</v>
      </c>
      <c r="E920" s="1" t="str">
        <f>TRIM(CLEAN(Sheet1[[#This Row],[Category]]))</f>
        <v>Office Supplies</v>
      </c>
      <c r="F920">
        <v>3</v>
      </c>
      <c r="G920" t="str">
        <f t="shared" si="14"/>
        <v>1. Retail (1-3 Units)</v>
      </c>
      <c r="H920">
        <v>3</v>
      </c>
      <c r="I920">
        <v>475.8</v>
      </c>
      <c r="J920">
        <f>IF(ISBLANK(I920), ROUND(I920/ABS(VALUE(_xlfn.TEXTBEFORE(F920&amp;" ", " "))), 2), ABS(VALUE(SUBSTITUTE(I920, "$", ""))))</f>
        <v>475.8</v>
      </c>
      <c r="K920">
        <f>ROUND(Sheet1[[#This Row],[CleanedUnits_sold]]*Sheet1[[#This Row],[Cleaned_Unit_Price]],2)</f>
        <v>1427.4</v>
      </c>
      <c r="L920">
        <v>1427.4</v>
      </c>
      <c r="M920" s="1" t="s">
        <v>1765</v>
      </c>
      <c r="N920" s="1" t="s">
        <v>21</v>
      </c>
      <c r="O920" s="1" t="s">
        <v>1765</v>
      </c>
    </row>
    <row r="921" spans="1:15" x14ac:dyDescent="0.35">
      <c r="A921" s="1" t="s">
        <v>1766</v>
      </c>
      <c r="B921" s="2">
        <v>45270</v>
      </c>
      <c r="C921" s="1" t="s">
        <v>16</v>
      </c>
      <c r="D921" s="1" t="s">
        <v>12</v>
      </c>
      <c r="E921" s="1" t="str">
        <f>TRIM(CLEAN(Sheet1[[#This Row],[Category]]))</f>
        <v>Office Supplies</v>
      </c>
      <c r="F921">
        <v>6</v>
      </c>
      <c r="G921" t="str">
        <f t="shared" si="14"/>
        <v>2. Mid-Market (4-7 Units)</v>
      </c>
      <c r="H921">
        <v>6</v>
      </c>
      <c r="I921">
        <v>367.54</v>
      </c>
      <c r="J921">
        <f>IF(ISBLANK(I921), ROUND(I921/ABS(VALUE(_xlfn.TEXTBEFORE(F921&amp;" ", " "))), 2), ABS(VALUE(SUBSTITUTE(I921, "$", ""))))</f>
        <v>367.54</v>
      </c>
      <c r="K921">
        <f>ROUND(Sheet1[[#This Row],[CleanedUnits_sold]]*Sheet1[[#This Row],[Cleaned_Unit_Price]],2)</f>
        <v>2205.2399999999998</v>
      </c>
      <c r="L921">
        <v>2205.2399999999998</v>
      </c>
      <c r="M921" s="1" t="s">
        <v>1767</v>
      </c>
      <c r="N921" s="1" t="s">
        <v>14</v>
      </c>
      <c r="O921" s="1" t="s">
        <v>1767</v>
      </c>
    </row>
    <row r="922" spans="1:15" x14ac:dyDescent="0.35">
      <c r="A922" s="1" t="s">
        <v>1768</v>
      </c>
      <c r="B922" s="2">
        <v>45254</v>
      </c>
      <c r="C922" s="1" t="s">
        <v>11</v>
      </c>
      <c r="D922" s="1" t="s">
        <v>24</v>
      </c>
      <c r="E922" s="1" t="str">
        <f>TRIM(CLEAN(Sheet1[[#This Row],[Category]]))</f>
        <v>Electronics</v>
      </c>
      <c r="F922">
        <v>7</v>
      </c>
      <c r="G922" t="str">
        <f t="shared" si="14"/>
        <v>2. Mid-Market (4-7 Units)</v>
      </c>
      <c r="H922">
        <v>7</v>
      </c>
      <c r="I922">
        <v>35.5</v>
      </c>
      <c r="J922">
        <f>IF(ISBLANK(I922), ROUND(I922/ABS(VALUE(_xlfn.TEXTBEFORE(F922&amp;" ", " "))), 2), ABS(VALUE(SUBSTITUTE(I922, "$", ""))))</f>
        <v>35.5</v>
      </c>
      <c r="K922">
        <f>ROUND(Sheet1[[#This Row],[CleanedUnits_sold]]*Sheet1[[#This Row],[Cleaned_Unit_Price]],2)</f>
        <v>248.5</v>
      </c>
      <c r="L922">
        <v>248.5</v>
      </c>
      <c r="M922" s="1" t="s">
        <v>1769</v>
      </c>
      <c r="N922" s="1" t="s">
        <v>50</v>
      </c>
      <c r="O922" s="1" t="s">
        <v>1769</v>
      </c>
    </row>
    <row r="923" spans="1:15" x14ac:dyDescent="0.35">
      <c r="A923" s="1" t="s">
        <v>1770</v>
      </c>
      <c r="B923" s="2">
        <v>45239</v>
      </c>
      <c r="C923" s="1" t="s">
        <v>58</v>
      </c>
      <c r="D923" s="1" t="s">
        <v>24</v>
      </c>
      <c r="E923" s="1" t="str">
        <f>TRIM(CLEAN(Sheet1[[#This Row],[Category]]))</f>
        <v>Electronics</v>
      </c>
      <c r="F923">
        <v>4</v>
      </c>
      <c r="G923" t="str">
        <f t="shared" si="14"/>
        <v>2. Mid-Market (4-7 Units)</v>
      </c>
      <c r="H923">
        <v>4</v>
      </c>
      <c r="I923">
        <v>443.28</v>
      </c>
      <c r="J923">
        <f>IF(ISBLANK(I923), ROUND(I923/ABS(VALUE(_xlfn.TEXTBEFORE(F923&amp;" ", " "))), 2), ABS(VALUE(SUBSTITUTE(I923, "$", ""))))</f>
        <v>443.28</v>
      </c>
      <c r="K923">
        <f>ROUND(Sheet1[[#This Row],[CleanedUnits_sold]]*Sheet1[[#This Row],[Cleaned_Unit_Price]],2)</f>
        <v>1773.12</v>
      </c>
      <c r="L923">
        <v>1773.12</v>
      </c>
      <c r="M923" s="1" t="s">
        <v>1771</v>
      </c>
      <c r="N923" s="1" t="s">
        <v>26</v>
      </c>
      <c r="O923" s="1" t="s">
        <v>1771</v>
      </c>
    </row>
    <row r="924" spans="1:15" x14ac:dyDescent="0.35">
      <c r="A924" s="1" t="s">
        <v>1772</v>
      </c>
      <c r="B924" s="2">
        <v>45105</v>
      </c>
      <c r="C924" s="1" t="s">
        <v>16</v>
      </c>
      <c r="D924" s="1" t="s">
        <v>32</v>
      </c>
      <c r="E924" s="1" t="str">
        <f>TRIM(CLEAN(Sheet1[[#This Row],[Category]]))</f>
        <v>Furniture</v>
      </c>
      <c r="F924">
        <v>4</v>
      </c>
      <c r="G924" t="str">
        <f t="shared" si="14"/>
        <v>2. Mid-Market (4-7 Units)</v>
      </c>
      <c r="H924">
        <v>4</v>
      </c>
      <c r="I924">
        <v>432.71</v>
      </c>
      <c r="J924">
        <f>IF(ISBLANK(I924), ROUND(I924/ABS(VALUE(_xlfn.TEXTBEFORE(F924&amp;" ", " "))), 2), ABS(VALUE(SUBSTITUTE(I924, "$", ""))))</f>
        <v>432.71</v>
      </c>
      <c r="K924">
        <f>ROUND(Sheet1[[#This Row],[CleanedUnits_sold]]*Sheet1[[#This Row],[Cleaned_Unit_Price]],2)</f>
        <v>1730.84</v>
      </c>
      <c r="L924">
        <v>1730.84</v>
      </c>
      <c r="M924" s="1" t="s">
        <v>1773</v>
      </c>
      <c r="N924" s="1" t="s">
        <v>50</v>
      </c>
      <c r="O924" s="1" t="s">
        <v>1773</v>
      </c>
    </row>
    <row r="925" spans="1:15" x14ac:dyDescent="0.35">
      <c r="A925" s="1" t="s">
        <v>1774</v>
      </c>
      <c r="B925" s="2">
        <v>1</v>
      </c>
      <c r="C925" s="1" t="s">
        <v>11</v>
      </c>
      <c r="D925" s="1" t="s">
        <v>12</v>
      </c>
      <c r="E925" s="1" t="str">
        <f>TRIM(CLEAN(Sheet1[[#This Row],[Category]]))</f>
        <v>Office Supplies</v>
      </c>
      <c r="F925">
        <v>4</v>
      </c>
      <c r="G925" t="str">
        <f t="shared" si="14"/>
        <v>2. Mid-Market (4-7 Units)</v>
      </c>
      <c r="H925">
        <v>4</v>
      </c>
      <c r="I925">
        <v>227.23</v>
      </c>
      <c r="J925">
        <f>IF(ISBLANK(I925), ROUND(I925/ABS(VALUE(_xlfn.TEXTBEFORE(F925&amp;" ", " "))), 2), ABS(VALUE(SUBSTITUTE(I925, "$", ""))))</f>
        <v>227.23</v>
      </c>
      <c r="K925">
        <f>ROUND(Sheet1[[#This Row],[CleanedUnits_sold]]*Sheet1[[#This Row],[Cleaned_Unit_Price]],2)</f>
        <v>908.92</v>
      </c>
      <c r="L925">
        <v>908.92</v>
      </c>
      <c r="M925" s="1" t="s">
        <v>1775</v>
      </c>
      <c r="N925" s="1" t="s">
        <v>14</v>
      </c>
      <c r="O925" s="1" t="s">
        <v>1775</v>
      </c>
    </row>
    <row r="926" spans="1:15" x14ac:dyDescent="0.35">
      <c r="A926" s="1" t="s">
        <v>1776</v>
      </c>
      <c r="B926" s="2">
        <v>45288</v>
      </c>
      <c r="C926" s="1" t="s">
        <v>23</v>
      </c>
      <c r="D926" s="1" t="s">
        <v>12</v>
      </c>
      <c r="E926" s="1" t="str">
        <f>TRIM(CLEAN(Sheet1[[#This Row],[Category]]))</f>
        <v>Office Supplies</v>
      </c>
      <c r="F926">
        <v>3</v>
      </c>
      <c r="G926" t="str">
        <f t="shared" si="14"/>
        <v>1. Retail (1-3 Units)</v>
      </c>
      <c r="H926">
        <v>3</v>
      </c>
      <c r="I926">
        <v>297.07</v>
      </c>
      <c r="J926">
        <f>IF(ISBLANK(I926), ROUND(I926/ABS(VALUE(_xlfn.TEXTBEFORE(F926&amp;" ", " "))), 2), ABS(VALUE(SUBSTITUTE(I926, "$", ""))))</f>
        <v>297.07</v>
      </c>
      <c r="K926">
        <f>ROUND(Sheet1[[#This Row],[CleanedUnits_sold]]*Sheet1[[#This Row],[Cleaned_Unit_Price]],2)</f>
        <v>891.21</v>
      </c>
      <c r="L926">
        <v>891.21</v>
      </c>
      <c r="M926" s="1" t="s">
        <v>1777</v>
      </c>
      <c r="N926" s="1" t="s">
        <v>26</v>
      </c>
      <c r="O926" s="1" t="s">
        <v>1777</v>
      </c>
    </row>
    <row r="927" spans="1:15" x14ac:dyDescent="0.35">
      <c r="A927" s="1" t="s">
        <v>1778</v>
      </c>
      <c r="B927" s="2">
        <v>45229</v>
      </c>
      <c r="C927" s="1" t="s">
        <v>19</v>
      </c>
      <c r="D927" s="1" t="s">
        <v>12</v>
      </c>
      <c r="E927" s="1" t="str">
        <f>TRIM(CLEAN(Sheet1[[#This Row],[Category]]))</f>
        <v>Office Supplies</v>
      </c>
      <c r="F927">
        <v>4</v>
      </c>
      <c r="G927" t="str">
        <f t="shared" si="14"/>
        <v>2. Mid-Market (4-7 Units)</v>
      </c>
      <c r="H927">
        <v>4</v>
      </c>
      <c r="I927">
        <v>488.28</v>
      </c>
      <c r="J927">
        <f>IF(ISBLANK(I927), ROUND(I927/ABS(VALUE(_xlfn.TEXTBEFORE(F927&amp;" ", " "))), 2), ABS(VALUE(SUBSTITUTE(I927, "$", ""))))</f>
        <v>488.28</v>
      </c>
      <c r="K927">
        <f>ROUND(Sheet1[[#This Row],[CleanedUnits_sold]]*Sheet1[[#This Row],[Cleaned_Unit_Price]],2)</f>
        <v>1953.12</v>
      </c>
      <c r="L927">
        <v>1953.12</v>
      </c>
      <c r="M927" s="1" t="s">
        <v>49</v>
      </c>
      <c r="N927" s="1" t="s">
        <v>38</v>
      </c>
      <c r="O927" s="1" t="s">
        <v>51</v>
      </c>
    </row>
    <row r="928" spans="1:15" x14ac:dyDescent="0.35">
      <c r="A928" s="1" t="s">
        <v>1779</v>
      </c>
      <c r="B928" s="2">
        <v>45087</v>
      </c>
      <c r="C928" s="1" t="s">
        <v>19</v>
      </c>
      <c r="D928" s="1" t="s">
        <v>24</v>
      </c>
      <c r="E928" s="1" t="str">
        <f>TRIM(CLEAN(Sheet1[[#This Row],[Category]]))</f>
        <v>Electronics</v>
      </c>
      <c r="F928">
        <v>2</v>
      </c>
      <c r="G928" t="str">
        <f t="shared" si="14"/>
        <v>1. Retail (1-3 Units)</v>
      </c>
      <c r="H928">
        <v>2</v>
      </c>
      <c r="I928">
        <v>270.83</v>
      </c>
      <c r="J928">
        <f>IF(ISBLANK(I928), ROUND(I928/ABS(VALUE(_xlfn.TEXTBEFORE(F928&amp;" ", " "))), 2), ABS(VALUE(SUBSTITUTE(I928, "$", ""))))</f>
        <v>270.83</v>
      </c>
      <c r="K928">
        <f>ROUND(Sheet1[[#This Row],[CleanedUnits_sold]]*Sheet1[[#This Row],[Cleaned_Unit_Price]],2)</f>
        <v>541.66</v>
      </c>
      <c r="L928">
        <v>1039.96</v>
      </c>
      <c r="M928" s="1" t="s">
        <v>1780</v>
      </c>
      <c r="N928" s="1" t="s">
        <v>26</v>
      </c>
      <c r="O928" s="1" t="s">
        <v>1780</v>
      </c>
    </row>
    <row r="929" spans="1:15" x14ac:dyDescent="0.35">
      <c r="A929" s="1" t="s">
        <v>1781</v>
      </c>
      <c r="B929" s="2">
        <v>44929</v>
      </c>
      <c r="C929" s="1" t="s">
        <v>23</v>
      </c>
      <c r="D929" s="1" t="s">
        <v>12</v>
      </c>
      <c r="E929" s="1" t="str">
        <f>TRIM(CLEAN(Sheet1[[#This Row],[Category]]))</f>
        <v>Office Supplies</v>
      </c>
      <c r="F929">
        <v>7</v>
      </c>
      <c r="G929" t="str">
        <f t="shared" si="14"/>
        <v>2. Mid-Market (4-7 Units)</v>
      </c>
      <c r="H929">
        <v>7</v>
      </c>
      <c r="I929">
        <v>453.61</v>
      </c>
      <c r="J929">
        <f>IF(ISBLANK(I929), ROUND(I929/ABS(VALUE(_xlfn.TEXTBEFORE(F929&amp;" ", " "))), 2), ABS(VALUE(SUBSTITUTE(I929, "$", ""))))</f>
        <v>453.61</v>
      </c>
      <c r="K929">
        <f>ROUND(Sheet1[[#This Row],[CleanedUnits_sold]]*Sheet1[[#This Row],[Cleaned_Unit_Price]],2)</f>
        <v>3175.27</v>
      </c>
      <c r="L929">
        <v>3175.27</v>
      </c>
      <c r="M929" s="1" t="s">
        <v>1782</v>
      </c>
      <c r="N929" s="1" t="s">
        <v>50</v>
      </c>
      <c r="O929" s="1" t="s">
        <v>1782</v>
      </c>
    </row>
    <row r="930" spans="1:15" x14ac:dyDescent="0.35">
      <c r="A930" s="1" t="s">
        <v>1783</v>
      </c>
      <c r="B930" s="2">
        <v>44999</v>
      </c>
      <c r="C930" s="1" t="s">
        <v>58</v>
      </c>
      <c r="D930" s="1" t="s">
        <v>24</v>
      </c>
      <c r="E930" s="1" t="str">
        <f>TRIM(CLEAN(Sheet1[[#This Row],[Category]]))</f>
        <v>Electronics</v>
      </c>
      <c r="F930">
        <v>6</v>
      </c>
      <c r="G930" t="str">
        <f t="shared" si="14"/>
        <v>2. Mid-Market (4-7 Units)</v>
      </c>
      <c r="H930">
        <v>6</v>
      </c>
      <c r="I930">
        <v>50.69</v>
      </c>
      <c r="J930">
        <f>IF(ISBLANK(I930), ROUND(I930/ABS(VALUE(_xlfn.TEXTBEFORE(F930&amp;" ", " "))), 2), ABS(VALUE(SUBSTITUTE(I930, "$", ""))))</f>
        <v>50.69</v>
      </c>
      <c r="K930">
        <f>ROUND(Sheet1[[#This Row],[CleanedUnits_sold]]*Sheet1[[#This Row],[Cleaned_Unit_Price]],2)</f>
        <v>304.14</v>
      </c>
      <c r="L930">
        <v>304.14</v>
      </c>
      <c r="M930" s="1" t="s">
        <v>1784</v>
      </c>
      <c r="N930" s="1" t="s">
        <v>14</v>
      </c>
      <c r="O930" s="1" t="s">
        <v>1784</v>
      </c>
    </row>
    <row r="931" spans="1:15" x14ac:dyDescent="0.35">
      <c r="A931" s="1" t="s">
        <v>1785</v>
      </c>
      <c r="B931" s="2">
        <v>44997</v>
      </c>
      <c r="C931" s="1" t="s">
        <v>11</v>
      </c>
      <c r="D931" s="1" t="s">
        <v>32</v>
      </c>
      <c r="E931" s="1" t="str">
        <f>TRIM(CLEAN(Sheet1[[#This Row],[Category]]))</f>
        <v>Furniture</v>
      </c>
      <c r="F931">
        <v>7</v>
      </c>
      <c r="G931" t="str">
        <f t="shared" si="14"/>
        <v>2. Mid-Market (4-7 Units)</v>
      </c>
      <c r="H931">
        <v>7</v>
      </c>
      <c r="I931">
        <v>103.62</v>
      </c>
      <c r="J931">
        <f>IF(ISBLANK(I931), ROUND(I931/ABS(VALUE(_xlfn.TEXTBEFORE(F931&amp;" ", " "))), 2), ABS(VALUE(SUBSTITUTE(I931, "$", ""))))</f>
        <v>103.62</v>
      </c>
      <c r="K931">
        <f>ROUND(Sheet1[[#This Row],[CleanedUnits_sold]]*Sheet1[[#This Row],[Cleaned_Unit_Price]],2)</f>
        <v>725.34</v>
      </c>
      <c r="L931">
        <v>725.34</v>
      </c>
      <c r="M931" s="1" t="s">
        <v>1786</v>
      </c>
      <c r="N931" s="1" t="s">
        <v>50</v>
      </c>
      <c r="O931" s="1" t="s">
        <v>1786</v>
      </c>
    </row>
    <row r="932" spans="1:15" x14ac:dyDescent="0.35">
      <c r="A932" s="1" t="s">
        <v>1787</v>
      </c>
      <c r="B932" s="2">
        <v>45116</v>
      </c>
      <c r="C932" s="1" t="s">
        <v>58</v>
      </c>
      <c r="D932" s="1" t="s">
        <v>12</v>
      </c>
      <c r="E932" s="1" t="str">
        <f>TRIM(CLEAN(Sheet1[[#This Row],[Category]]))</f>
        <v>Office Supplies</v>
      </c>
      <c r="F932">
        <v>5</v>
      </c>
      <c r="G932" t="str">
        <f t="shared" si="14"/>
        <v>2. Mid-Market (4-7 Units)</v>
      </c>
      <c r="H932">
        <v>5</v>
      </c>
      <c r="I932" t="s">
        <v>332</v>
      </c>
      <c r="J932">
        <f>IF(ISBLANK(I932), ROUND(I932/ABS(VALUE(_xlfn.TEXTBEFORE(F932&amp;" ", " "))), 2), ABS(VALUE(SUBSTITUTE(I932, "$", ""))))</f>
        <v>250</v>
      </c>
      <c r="K932">
        <f>ROUND(Sheet1[[#This Row],[CleanedUnits_sold]]*Sheet1[[#This Row],[Cleaned_Unit_Price]],2)</f>
        <v>1250</v>
      </c>
      <c r="L932">
        <v>1559.73</v>
      </c>
      <c r="M932" s="1" t="s">
        <v>1788</v>
      </c>
      <c r="N932" s="1" t="s">
        <v>14</v>
      </c>
      <c r="O932" s="1" t="s">
        <v>1788</v>
      </c>
    </row>
    <row r="933" spans="1:15" x14ac:dyDescent="0.35">
      <c r="A933" s="1" t="s">
        <v>1789</v>
      </c>
      <c r="B933" s="2">
        <v>45177</v>
      </c>
      <c r="C933" s="1" t="s">
        <v>16</v>
      </c>
      <c r="D933" s="1" t="s">
        <v>24</v>
      </c>
      <c r="E933" s="1" t="str">
        <f>TRIM(CLEAN(Sheet1[[#This Row],[Category]]))</f>
        <v>Electronics</v>
      </c>
      <c r="G933" t="str">
        <f t="shared" si="14"/>
        <v>2. Mid-Market (4-7 Units)</v>
      </c>
      <c r="H933">
        <v>5</v>
      </c>
      <c r="I933">
        <v>296.52999999999997</v>
      </c>
      <c r="J933">
        <f>IF(ISBLANK(I933), ROUND(I933/ABS(VALUE(_xlfn.TEXTBEFORE(F933&amp;" ", " "))), 2), ABS(VALUE(SUBSTITUTE(I933, "$", ""))))</f>
        <v>296.52999999999997</v>
      </c>
      <c r="K933">
        <f>ROUND(Sheet1[[#This Row],[CleanedUnits_sold]]*Sheet1[[#This Row],[Cleaned_Unit_Price]],2)</f>
        <v>1482.65</v>
      </c>
      <c r="L933">
        <v>1387.7</v>
      </c>
      <c r="M933" s="1" t="s">
        <v>1790</v>
      </c>
      <c r="N933" s="1" t="s">
        <v>38</v>
      </c>
      <c r="O933" s="1" t="s">
        <v>1790</v>
      </c>
    </row>
    <row r="934" spans="1:15" x14ac:dyDescent="0.35">
      <c r="A934" s="1" t="s">
        <v>1791</v>
      </c>
      <c r="B934" s="2">
        <v>45088</v>
      </c>
      <c r="C934" s="1" t="s">
        <v>58</v>
      </c>
      <c r="D934" s="1" t="s">
        <v>24</v>
      </c>
      <c r="E934" s="1" t="str">
        <f>TRIM(CLEAN(Sheet1[[#This Row],[Category]]))</f>
        <v>Electronics</v>
      </c>
      <c r="F934">
        <v>5</v>
      </c>
      <c r="G934" t="str">
        <f t="shared" si="14"/>
        <v>2. Mid-Market (4-7 Units)</v>
      </c>
      <c r="H934">
        <v>5</v>
      </c>
      <c r="I934">
        <v>409.95</v>
      </c>
      <c r="J934">
        <f>IF(ISBLANK(I934), ROUND(I934/ABS(VALUE(_xlfn.TEXTBEFORE(F934&amp;" ", " "))), 2), ABS(VALUE(SUBSTITUTE(I934, "$", ""))))</f>
        <v>409.95</v>
      </c>
      <c r="K934">
        <f>ROUND(Sheet1[[#This Row],[CleanedUnits_sold]]*Sheet1[[#This Row],[Cleaned_Unit_Price]],2)</f>
        <v>2049.75</v>
      </c>
      <c r="L934">
        <v>2460.2800000000002</v>
      </c>
      <c r="M934" s="1" t="s">
        <v>1792</v>
      </c>
      <c r="N934" s="1" t="s">
        <v>14</v>
      </c>
      <c r="O934" s="1" t="s">
        <v>1792</v>
      </c>
    </row>
    <row r="935" spans="1:15" x14ac:dyDescent="0.35">
      <c r="A935" s="1" t="s">
        <v>1793</v>
      </c>
      <c r="B935" s="2">
        <v>45110</v>
      </c>
      <c r="C935" s="1" t="s">
        <v>58</v>
      </c>
      <c r="D935" s="1" t="s">
        <v>32</v>
      </c>
      <c r="E935" s="1" t="str">
        <f>TRIM(CLEAN(Sheet1[[#This Row],[Category]]))</f>
        <v>Furniture</v>
      </c>
      <c r="F935">
        <v>4</v>
      </c>
      <c r="G935" t="str">
        <f t="shared" si="14"/>
        <v>2. Mid-Market (4-7 Units)</v>
      </c>
      <c r="H935">
        <v>4</v>
      </c>
      <c r="I935">
        <v>494.25</v>
      </c>
      <c r="J935">
        <f>IF(ISBLANK(I935), ROUND(I935/ABS(VALUE(_xlfn.TEXTBEFORE(F935&amp;" ", " "))), 2), ABS(VALUE(SUBSTITUTE(I935, "$", ""))))</f>
        <v>494.25</v>
      </c>
      <c r="K935">
        <f>ROUND(Sheet1[[#This Row],[CleanedUnits_sold]]*Sheet1[[#This Row],[Cleaned_Unit_Price]],2)</f>
        <v>1977</v>
      </c>
      <c r="L935">
        <v>1977</v>
      </c>
      <c r="M935" s="1" t="s">
        <v>1794</v>
      </c>
      <c r="N935" s="1" t="s">
        <v>21</v>
      </c>
      <c r="O935" s="1" t="s">
        <v>1794</v>
      </c>
    </row>
    <row r="936" spans="1:15" x14ac:dyDescent="0.35">
      <c r="A936" s="1" t="s">
        <v>1795</v>
      </c>
      <c r="B936" s="2">
        <v>45026</v>
      </c>
      <c r="C936" s="1" t="s">
        <v>23</v>
      </c>
      <c r="D936" s="1" t="s">
        <v>12</v>
      </c>
      <c r="E936" s="1" t="str">
        <f>TRIM(CLEAN(Sheet1[[#This Row],[Category]]))</f>
        <v>Office Supplies</v>
      </c>
      <c r="F936">
        <v>7</v>
      </c>
      <c r="G936" t="str">
        <f t="shared" si="14"/>
        <v>2. Mid-Market (4-7 Units)</v>
      </c>
      <c r="H936">
        <v>7</v>
      </c>
      <c r="I936">
        <v>200.54</v>
      </c>
      <c r="J936">
        <f>IF(ISBLANK(I936), ROUND(I936/ABS(VALUE(_xlfn.TEXTBEFORE(F936&amp;" ", " "))), 2), ABS(VALUE(SUBSTITUTE(I936, "$", ""))))</f>
        <v>200.54</v>
      </c>
      <c r="K936">
        <f>ROUND(Sheet1[[#This Row],[CleanedUnits_sold]]*Sheet1[[#This Row],[Cleaned_Unit_Price]],2)</f>
        <v>1403.78</v>
      </c>
      <c r="L936">
        <v>1403.78</v>
      </c>
      <c r="M936" s="1" t="s">
        <v>1796</v>
      </c>
      <c r="N936" s="1" t="s">
        <v>14</v>
      </c>
      <c r="O936" s="1" t="s">
        <v>1796</v>
      </c>
    </row>
    <row r="937" spans="1:15" x14ac:dyDescent="0.35">
      <c r="A937" s="1" t="s">
        <v>1797</v>
      </c>
      <c r="B937" s="2">
        <v>45185</v>
      </c>
      <c r="C937" s="1" t="s">
        <v>23</v>
      </c>
      <c r="D937" s="1" t="s">
        <v>12</v>
      </c>
      <c r="E937" s="1" t="str">
        <f>TRIM(CLEAN(Sheet1[[#This Row],[Category]]))</f>
        <v>Office Supplies</v>
      </c>
      <c r="F937">
        <v>5</v>
      </c>
      <c r="G937" t="str">
        <f t="shared" si="14"/>
        <v>2. Mid-Market (4-7 Units)</v>
      </c>
      <c r="H937">
        <v>5</v>
      </c>
      <c r="I937">
        <v>33.229999999999997</v>
      </c>
      <c r="J937">
        <f>IF(ISBLANK(I937), ROUND(I937/ABS(VALUE(_xlfn.TEXTBEFORE(F937&amp;" ", " "))), 2), ABS(VALUE(SUBSTITUTE(I937, "$", ""))))</f>
        <v>33.229999999999997</v>
      </c>
      <c r="K937">
        <f>ROUND(Sheet1[[#This Row],[CleanedUnits_sold]]*Sheet1[[#This Row],[Cleaned_Unit_Price]],2)</f>
        <v>166.15</v>
      </c>
      <c r="L937">
        <v>166.15</v>
      </c>
      <c r="M937" s="1" t="s">
        <v>49</v>
      </c>
      <c r="N937" s="1" t="s">
        <v>50</v>
      </c>
      <c r="O937" s="1" t="s">
        <v>51</v>
      </c>
    </row>
    <row r="938" spans="1:15" x14ac:dyDescent="0.35">
      <c r="A938" s="1" t="s">
        <v>1798</v>
      </c>
      <c r="B938" s="2">
        <v>45178</v>
      </c>
      <c r="C938" s="1" t="s">
        <v>23</v>
      </c>
      <c r="D938" s="1" t="s">
        <v>46</v>
      </c>
      <c r="E938" s="1" t="str">
        <f>TRIM(CLEAN(Sheet1[[#This Row],[Category]]))</f>
        <v>Furniture</v>
      </c>
      <c r="F938">
        <v>6</v>
      </c>
      <c r="G938" t="str">
        <f t="shared" si="14"/>
        <v>2. Mid-Market (4-7 Units)</v>
      </c>
      <c r="H938">
        <v>6</v>
      </c>
      <c r="I938">
        <v>402.57</v>
      </c>
      <c r="J938">
        <f>IF(ISBLANK(I938), ROUND(I938/ABS(VALUE(_xlfn.TEXTBEFORE(F938&amp;" ", " "))), 2), ABS(VALUE(SUBSTITUTE(I938, "$", ""))))</f>
        <v>402.57</v>
      </c>
      <c r="K938">
        <f>ROUND(Sheet1[[#This Row],[CleanedUnits_sold]]*Sheet1[[#This Row],[Cleaned_Unit_Price]],2)</f>
        <v>2415.42</v>
      </c>
      <c r="L938">
        <v>2415.42</v>
      </c>
      <c r="M938" s="1" t="s">
        <v>1799</v>
      </c>
      <c r="N938" s="1" t="s">
        <v>21</v>
      </c>
      <c r="O938" s="1" t="s">
        <v>1799</v>
      </c>
    </row>
    <row r="939" spans="1:15" x14ac:dyDescent="0.35">
      <c r="A939" s="1" t="s">
        <v>1800</v>
      </c>
      <c r="B939" s="2">
        <v>45154</v>
      </c>
      <c r="C939" s="1" t="s">
        <v>16</v>
      </c>
      <c r="D939" s="1" t="s">
        <v>46</v>
      </c>
      <c r="E939" s="1" t="str">
        <f>TRIM(CLEAN(Sheet1[[#This Row],[Category]]))</f>
        <v>Furniture</v>
      </c>
      <c r="F939">
        <v>9999</v>
      </c>
      <c r="G939" t="str">
        <f t="shared" si="14"/>
        <v>2. Mid-Market (4-7 Units)</v>
      </c>
      <c r="H939">
        <v>5</v>
      </c>
      <c r="I939" t="s">
        <v>332</v>
      </c>
      <c r="J939">
        <f>IF(ISBLANK(I939), ROUND(I939/ABS(VALUE(_xlfn.TEXTBEFORE(F939&amp;" ", " "))), 2), ABS(VALUE(SUBSTITUTE(I939, "$", ""))))</f>
        <v>250</v>
      </c>
      <c r="K939">
        <f>ROUND(Sheet1[[#This Row],[CleanedUnits_sold]]*Sheet1[[#This Row],[Cleaned_Unit_Price]],2)</f>
        <v>1250</v>
      </c>
      <c r="M939" s="1" t="s">
        <v>1801</v>
      </c>
      <c r="N939" s="1" t="s">
        <v>21</v>
      </c>
      <c r="O939" s="1" t="s">
        <v>1801</v>
      </c>
    </row>
    <row r="940" spans="1:15" x14ac:dyDescent="0.35">
      <c r="A940" s="1" t="s">
        <v>1802</v>
      </c>
      <c r="B940" s="2">
        <v>45216</v>
      </c>
      <c r="C940" s="1" t="s">
        <v>16</v>
      </c>
      <c r="D940" s="1" t="s">
        <v>24</v>
      </c>
      <c r="E940" s="1" t="str">
        <f>TRIM(CLEAN(Sheet1[[#This Row],[Category]]))</f>
        <v>Electronics</v>
      </c>
      <c r="F940">
        <v>2</v>
      </c>
      <c r="G940" t="str">
        <f t="shared" si="14"/>
        <v>1. Retail (1-3 Units)</v>
      </c>
      <c r="H940">
        <v>2</v>
      </c>
      <c r="I940">
        <v>107.29</v>
      </c>
      <c r="J940">
        <f>IF(ISBLANK(I940), ROUND(I940/ABS(VALUE(_xlfn.TEXTBEFORE(F940&amp;" ", " "))), 2), ABS(VALUE(SUBSTITUTE(I940, "$", ""))))</f>
        <v>107.29</v>
      </c>
      <c r="K940">
        <f>ROUND(Sheet1[[#This Row],[CleanedUnits_sold]]*Sheet1[[#This Row],[Cleaned_Unit_Price]],2)</f>
        <v>214.58</v>
      </c>
      <c r="L940">
        <v>214.58</v>
      </c>
      <c r="M940" s="1" t="s">
        <v>1803</v>
      </c>
      <c r="N940" s="1" t="s">
        <v>21</v>
      </c>
      <c r="O940" s="1" t="s">
        <v>1803</v>
      </c>
    </row>
    <row r="941" spans="1:15" x14ac:dyDescent="0.35">
      <c r="A941" s="1" t="s">
        <v>1804</v>
      </c>
      <c r="B941" s="2">
        <v>45039</v>
      </c>
      <c r="C941" s="1" t="s">
        <v>23</v>
      </c>
      <c r="D941" s="1" t="s">
        <v>24</v>
      </c>
      <c r="E941" s="1" t="str">
        <f>TRIM(CLEAN(Sheet1[[#This Row],[Category]]))</f>
        <v>Electronics</v>
      </c>
      <c r="F941">
        <v>4</v>
      </c>
      <c r="G941" t="str">
        <f t="shared" si="14"/>
        <v>2. Mid-Market (4-7 Units)</v>
      </c>
      <c r="H941">
        <v>4</v>
      </c>
      <c r="I941">
        <v>252.47</v>
      </c>
      <c r="J941">
        <f>IF(ISBLANK(I941), ROUND(I941/ABS(VALUE(_xlfn.TEXTBEFORE(F941&amp;" ", " "))), 2), ABS(VALUE(SUBSTITUTE(I941, "$", ""))))</f>
        <v>252.47</v>
      </c>
      <c r="K941">
        <f>ROUND(Sheet1[[#This Row],[CleanedUnits_sold]]*Sheet1[[#This Row],[Cleaned_Unit_Price]],2)</f>
        <v>1009.88</v>
      </c>
      <c r="L941">
        <v>1009.88</v>
      </c>
      <c r="M941" s="1" t="s">
        <v>1805</v>
      </c>
      <c r="N941" s="1" t="s">
        <v>50</v>
      </c>
      <c r="O941" s="1" t="s">
        <v>1805</v>
      </c>
    </row>
    <row r="942" spans="1:15" x14ac:dyDescent="0.35">
      <c r="A942" s="1" t="s">
        <v>1806</v>
      </c>
      <c r="B942" s="2">
        <v>1</v>
      </c>
      <c r="C942" s="1" t="s">
        <v>11</v>
      </c>
      <c r="D942" s="1" t="s">
        <v>24</v>
      </c>
      <c r="E942" s="1" t="str">
        <f>TRIM(CLEAN(Sheet1[[#This Row],[Category]]))</f>
        <v>Electronics</v>
      </c>
      <c r="F942">
        <v>4</v>
      </c>
      <c r="G942" t="str">
        <f t="shared" si="14"/>
        <v>2. Mid-Market (4-7 Units)</v>
      </c>
      <c r="H942">
        <v>4</v>
      </c>
      <c r="I942">
        <v>373.73</v>
      </c>
      <c r="J942">
        <f>IF(ISBLANK(I942), ROUND(I942/ABS(VALUE(_xlfn.TEXTBEFORE(F942&amp;" ", " "))), 2), ABS(VALUE(SUBSTITUTE(I942, "$", ""))))</f>
        <v>373.73</v>
      </c>
      <c r="K942">
        <f>ROUND(Sheet1[[#This Row],[CleanedUnits_sold]]*Sheet1[[#This Row],[Cleaned_Unit_Price]],2)</f>
        <v>1494.92</v>
      </c>
      <c r="L942">
        <v>1494.92</v>
      </c>
      <c r="M942" s="1" t="s">
        <v>1807</v>
      </c>
      <c r="N942" s="1" t="s">
        <v>21</v>
      </c>
      <c r="O942" s="1" t="s">
        <v>1807</v>
      </c>
    </row>
    <row r="943" spans="1:15" x14ac:dyDescent="0.35">
      <c r="A943" s="1" t="s">
        <v>1808</v>
      </c>
      <c r="B943" s="2">
        <v>45216</v>
      </c>
      <c r="C943" s="1" t="s">
        <v>23</v>
      </c>
      <c r="D943" s="1" t="s">
        <v>32</v>
      </c>
      <c r="E943" s="1" t="str">
        <f>TRIM(CLEAN(Sheet1[[#This Row],[Category]]))</f>
        <v>Furniture</v>
      </c>
      <c r="F943">
        <v>11</v>
      </c>
      <c r="G943" t="str">
        <f t="shared" si="14"/>
        <v>3. Wholesale / Bulk (8+ Units)</v>
      </c>
      <c r="H943">
        <v>11</v>
      </c>
      <c r="I943">
        <v>254.81</v>
      </c>
      <c r="J943">
        <f>IF(ISBLANK(I943), ROUND(I943/ABS(VALUE(_xlfn.TEXTBEFORE(F943&amp;" ", " "))), 2), ABS(VALUE(SUBSTITUTE(I943, "$", ""))))</f>
        <v>254.81</v>
      </c>
      <c r="K943">
        <f>ROUND(Sheet1[[#This Row],[CleanedUnits_sold]]*Sheet1[[#This Row],[Cleaned_Unit_Price]],2)</f>
        <v>2802.91</v>
      </c>
      <c r="L943">
        <v>2802.91</v>
      </c>
      <c r="M943" s="1" t="s">
        <v>1809</v>
      </c>
      <c r="N943" s="1" t="s">
        <v>26</v>
      </c>
      <c r="O943" s="1" t="s">
        <v>1809</v>
      </c>
    </row>
    <row r="944" spans="1:15" x14ac:dyDescent="0.35">
      <c r="A944" s="1" t="s">
        <v>1810</v>
      </c>
      <c r="B944" s="2">
        <v>44984</v>
      </c>
      <c r="C944" s="1" t="s">
        <v>11</v>
      </c>
      <c r="D944" s="1" t="s">
        <v>12</v>
      </c>
      <c r="E944" s="1" t="str">
        <f>TRIM(CLEAN(Sheet1[[#This Row],[Category]]))</f>
        <v>Office Supplies</v>
      </c>
      <c r="F944">
        <v>6</v>
      </c>
      <c r="G944" t="str">
        <f t="shared" si="14"/>
        <v>2. Mid-Market (4-7 Units)</v>
      </c>
      <c r="H944">
        <v>6</v>
      </c>
      <c r="I944">
        <v>159.56</v>
      </c>
      <c r="J944">
        <f>IF(ISBLANK(I944), ROUND(I944/ABS(VALUE(_xlfn.TEXTBEFORE(F944&amp;" ", " "))), 2), ABS(VALUE(SUBSTITUTE(I944, "$", ""))))</f>
        <v>159.56</v>
      </c>
      <c r="K944">
        <f>ROUND(Sheet1[[#This Row],[CleanedUnits_sold]]*Sheet1[[#This Row],[Cleaned_Unit_Price]],2)</f>
        <v>957.36</v>
      </c>
      <c r="L944">
        <v>957.36</v>
      </c>
      <c r="M944" s="1" t="s">
        <v>1811</v>
      </c>
      <c r="N944" s="1" t="s">
        <v>50</v>
      </c>
      <c r="O944" s="1" t="s">
        <v>1811</v>
      </c>
    </row>
    <row r="945" spans="1:15" x14ac:dyDescent="0.35">
      <c r="A945" s="1" t="s">
        <v>1812</v>
      </c>
      <c r="B945" s="2">
        <v>45205</v>
      </c>
      <c r="C945" s="1" t="s">
        <v>23</v>
      </c>
      <c r="D945" s="1" t="s">
        <v>12</v>
      </c>
      <c r="E945" s="1" t="str">
        <f>TRIM(CLEAN(Sheet1[[#This Row],[Category]]))</f>
        <v>Office Supplies</v>
      </c>
      <c r="F945">
        <v>8</v>
      </c>
      <c r="G945" t="str">
        <f t="shared" si="14"/>
        <v>3. Wholesale / Bulk (8+ Units)</v>
      </c>
      <c r="H945">
        <v>8</v>
      </c>
      <c r="I945">
        <v>487.13</v>
      </c>
      <c r="J945">
        <f>IF(ISBLANK(I945), ROUND(I945/ABS(VALUE(_xlfn.TEXTBEFORE(F945&amp;" ", " "))), 2), ABS(VALUE(SUBSTITUTE(I945, "$", ""))))</f>
        <v>487.13</v>
      </c>
      <c r="K945">
        <f>ROUND(Sheet1[[#This Row],[CleanedUnits_sold]]*Sheet1[[#This Row],[Cleaned_Unit_Price]],2)</f>
        <v>3897.04</v>
      </c>
      <c r="L945">
        <v>3897.04</v>
      </c>
      <c r="M945" s="1" t="s">
        <v>1813</v>
      </c>
      <c r="N945" s="1" t="s">
        <v>14</v>
      </c>
      <c r="O945" s="1" t="s">
        <v>1813</v>
      </c>
    </row>
    <row r="946" spans="1:15" x14ac:dyDescent="0.35">
      <c r="A946" s="1" t="s">
        <v>1814</v>
      </c>
      <c r="B946" s="2">
        <v>44948</v>
      </c>
      <c r="C946" s="1" t="s">
        <v>16</v>
      </c>
      <c r="D946" s="1" t="s">
        <v>32</v>
      </c>
      <c r="E946" s="1" t="str">
        <f>TRIM(CLEAN(Sheet1[[#This Row],[Category]]))</f>
        <v>Furniture</v>
      </c>
      <c r="F946">
        <v>5</v>
      </c>
      <c r="G946" t="str">
        <f t="shared" si="14"/>
        <v>2. Mid-Market (4-7 Units)</v>
      </c>
      <c r="H946">
        <v>5</v>
      </c>
      <c r="I946">
        <v>335.05</v>
      </c>
      <c r="J946">
        <f>IF(ISBLANK(I946), ROUND(I946/ABS(VALUE(_xlfn.TEXTBEFORE(F946&amp;" ", " "))), 2), ABS(VALUE(SUBSTITUTE(I946, "$", ""))))</f>
        <v>335.05</v>
      </c>
      <c r="K946">
        <f>ROUND(Sheet1[[#This Row],[CleanedUnits_sold]]*Sheet1[[#This Row],[Cleaned_Unit_Price]],2)</f>
        <v>1675.25</v>
      </c>
      <c r="L946">
        <v>1675.25</v>
      </c>
      <c r="M946" s="1" t="s">
        <v>1815</v>
      </c>
      <c r="N946" s="1" t="s">
        <v>38</v>
      </c>
      <c r="O946" s="1" t="s">
        <v>1815</v>
      </c>
    </row>
    <row r="947" spans="1:15" x14ac:dyDescent="0.35">
      <c r="A947" s="1" t="s">
        <v>1816</v>
      </c>
      <c r="B947" s="2">
        <v>44943</v>
      </c>
      <c r="C947" s="1" t="s">
        <v>19</v>
      </c>
      <c r="D947" s="1" t="s">
        <v>12</v>
      </c>
      <c r="E947" s="1" t="str">
        <f>TRIM(CLEAN(Sheet1[[#This Row],[Category]]))</f>
        <v>Office Supplies</v>
      </c>
      <c r="F947">
        <v>1</v>
      </c>
      <c r="G947" t="str">
        <f t="shared" si="14"/>
        <v>1. Retail (1-3 Units)</v>
      </c>
      <c r="H947">
        <v>1</v>
      </c>
      <c r="I947">
        <v>368.24</v>
      </c>
      <c r="J947">
        <f>IF(ISBLANK(I947), ROUND(I947/ABS(VALUE(_xlfn.TEXTBEFORE(F947&amp;" ", " "))), 2), ABS(VALUE(SUBSTITUTE(I947, "$", ""))))</f>
        <v>368.24</v>
      </c>
      <c r="K947">
        <f>ROUND(Sheet1[[#This Row],[CleanedUnits_sold]]*Sheet1[[#This Row],[Cleaned_Unit_Price]],2)</f>
        <v>368.24</v>
      </c>
      <c r="L947">
        <v>368.24</v>
      </c>
      <c r="M947" s="1" t="s">
        <v>1817</v>
      </c>
      <c r="N947" s="1" t="s">
        <v>50</v>
      </c>
      <c r="O947" s="1" t="s">
        <v>1817</v>
      </c>
    </row>
    <row r="948" spans="1:15" x14ac:dyDescent="0.35">
      <c r="A948" s="1" t="s">
        <v>1818</v>
      </c>
      <c r="B948" s="2">
        <v>44971</v>
      </c>
      <c r="C948" s="1" t="s">
        <v>19</v>
      </c>
      <c r="D948" s="1" t="s">
        <v>12</v>
      </c>
      <c r="E948" s="1" t="str">
        <f>TRIM(CLEAN(Sheet1[[#This Row],[Category]]))</f>
        <v>Office Supplies</v>
      </c>
      <c r="F948">
        <v>8</v>
      </c>
      <c r="G948" t="str">
        <f t="shared" si="14"/>
        <v>3. Wholesale / Bulk (8+ Units)</v>
      </c>
      <c r="H948">
        <v>8</v>
      </c>
      <c r="I948">
        <v>128.66999999999999</v>
      </c>
      <c r="J948">
        <f>IF(ISBLANK(I948), ROUND(I948/ABS(VALUE(_xlfn.TEXTBEFORE(F948&amp;" ", " "))), 2), ABS(VALUE(SUBSTITUTE(I948, "$", ""))))</f>
        <v>128.66999999999999</v>
      </c>
      <c r="K948">
        <f>ROUND(Sheet1[[#This Row],[CleanedUnits_sold]]*Sheet1[[#This Row],[Cleaned_Unit_Price]],2)</f>
        <v>1029.3599999999999</v>
      </c>
      <c r="L948">
        <v>1029.3599999999999</v>
      </c>
      <c r="M948" s="1" t="s">
        <v>1819</v>
      </c>
      <c r="N948" s="1" t="s">
        <v>50</v>
      </c>
      <c r="O948" s="1" t="s">
        <v>1819</v>
      </c>
    </row>
    <row r="949" spans="1:15" x14ac:dyDescent="0.35">
      <c r="A949" s="1" t="s">
        <v>1820</v>
      </c>
      <c r="B949" s="2">
        <v>44960</v>
      </c>
      <c r="C949" s="1" t="s">
        <v>23</v>
      </c>
      <c r="D949" s="1" t="s">
        <v>12</v>
      </c>
      <c r="E949" s="1" t="str">
        <f>TRIM(CLEAN(Sheet1[[#This Row],[Category]]))</f>
        <v>Office Supplies</v>
      </c>
      <c r="F949">
        <v>6</v>
      </c>
      <c r="G949" t="str">
        <f t="shared" si="14"/>
        <v>2. Mid-Market (4-7 Units)</v>
      </c>
      <c r="H949">
        <v>6</v>
      </c>
      <c r="I949">
        <v>94.14</v>
      </c>
      <c r="J949">
        <f>IF(ISBLANK(I949), ROUND(I949/ABS(VALUE(_xlfn.TEXTBEFORE(F949&amp;" ", " "))), 2), ABS(VALUE(SUBSTITUTE(I949, "$", ""))))</f>
        <v>94.14</v>
      </c>
      <c r="K949">
        <f>ROUND(Sheet1[[#This Row],[CleanedUnits_sold]]*Sheet1[[#This Row],[Cleaned_Unit_Price]],2)</f>
        <v>564.84</v>
      </c>
      <c r="L949">
        <v>564.84</v>
      </c>
      <c r="M949" s="1" t="s">
        <v>1821</v>
      </c>
      <c r="N949" s="1" t="s">
        <v>50</v>
      </c>
      <c r="O949" s="1" t="s">
        <v>1821</v>
      </c>
    </row>
    <row r="950" spans="1:15" x14ac:dyDescent="0.35">
      <c r="A950" s="1" t="s">
        <v>1822</v>
      </c>
      <c r="B950" s="2">
        <v>45228</v>
      </c>
      <c r="C950" s="1" t="s">
        <v>11</v>
      </c>
      <c r="D950" s="1" t="s">
        <v>24</v>
      </c>
      <c r="E950" s="1" t="str">
        <f>TRIM(CLEAN(Sheet1[[#This Row],[Category]]))</f>
        <v>Electronics</v>
      </c>
      <c r="F950">
        <v>4</v>
      </c>
      <c r="G950" t="str">
        <f t="shared" si="14"/>
        <v>2. Mid-Market (4-7 Units)</v>
      </c>
      <c r="H950">
        <v>4</v>
      </c>
      <c r="I950">
        <v>269.62</v>
      </c>
      <c r="J950">
        <f>IF(ISBLANK(I950), ROUND(I950/ABS(VALUE(_xlfn.TEXTBEFORE(F950&amp;" ", " "))), 2), ABS(VALUE(SUBSTITUTE(I950, "$", ""))))</f>
        <v>269.62</v>
      </c>
      <c r="K950">
        <f>ROUND(Sheet1[[#This Row],[CleanedUnits_sold]]*Sheet1[[#This Row],[Cleaned_Unit_Price]],2)</f>
        <v>1078.48</v>
      </c>
      <c r="L950">
        <v>1078.48</v>
      </c>
      <c r="M950" s="1" t="s">
        <v>1823</v>
      </c>
      <c r="N950" s="1" t="s">
        <v>50</v>
      </c>
      <c r="O950" s="1" t="s">
        <v>1823</v>
      </c>
    </row>
    <row r="951" spans="1:15" x14ac:dyDescent="0.35">
      <c r="A951" s="1" t="s">
        <v>1824</v>
      </c>
      <c r="B951" s="2">
        <v>45239</v>
      </c>
      <c r="C951" s="1" t="s">
        <v>19</v>
      </c>
      <c r="D951" s="1" t="s">
        <v>46</v>
      </c>
      <c r="E951" s="1" t="str">
        <f>TRIM(CLEAN(Sheet1[[#This Row],[Category]]))</f>
        <v>Furniture</v>
      </c>
      <c r="F951">
        <v>7</v>
      </c>
      <c r="G951" t="str">
        <f t="shared" si="14"/>
        <v>2. Mid-Market (4-7 Units)</v>
      </c>
      <c r="H951">
        <v>7</v>
      </c>
      <c r="I951">
        <v>152.09</v>
      </c>
      <c r="J951">
        <f>IF(ISBLANK(I951), ROUND(I951/ABS(VALUE(_xlfn.TEXTBEFORE(F951&amp;" ", " "))), 2), ABS(VALUE(SUBSTITUTE(I951, "$", ""))))</f>
        <v>152.09</v>
      </c>
      <c r="K951">
        <f>ROUND(Sheet1[[#This Row],[CleanedUnits_sold]]*Sheet1[[#This Row],[Cleaned_Unit_Price]],2)</f>
        <v>1064.6300000000001</v>
      </c>
      <c r="L951">
        <v>1064.6300000000001</v>
      </c>
      <c r="M951" s="1" t="s">
        <v>1825</v>
      </c>
      <c r="N951" s="1" t="s">
        <v>14</v>
      </c>
      <c r="O951" s="1" t="s">
        <v>1825</v>
      </c>
    </row>
    <row r="952" spans="1:15" x14ac:dyDescent="0.35">
      <c r="A952" s="1" t="s">
        <v>1826</v>
      </c>
      <c r="B952" s="2">
        <v>1</v>
      </c>
      <c r="C952" s="1" t="s">
        <v>19</v>
      </c>
      <c r="D952" s="1" t="s">
        <v>32</v>
      </c>
      <c r="E952" s="1" t="str">
        <f>TRIM(CLEAN(Sheet1[[#This Row],[Category]]))</f>
        <v>Furniture</v>
      </c>
      <c r="F952">
        <v>1</v>
      </c>
      <c r="G952" t="str">
        <f t="shared" si="14"/>
        <v>1. Retail (1-3 Units)</v>
      </c>
      <c r="H952">
        <v>1</v>
      </c>
      <c r="I952">
        <v>318.16000000000003</v>
      </c>
      <c r="J952">
        <f>IF(ISBLANK(I952), ROUND(I952/ABS(VALUE(_xlfn.TEXTBEFORE(F952&amp;" ", " "))), 2), ABS(VALUE(SUBSTITUTE(I952, "$", ""))))</f>
        <v>318.16000000000003</v>
      </c>
      <c r="K952">
        <f>ROUND(Sheet1[[#This Row],[CleanedUnits_sold]]*Sheet1[[#This Row],[Cleaned_Unit_Price]],2)</f>
        <v>318.16000000000003</v>
      </c>
      <c r="L952">
        <v>318.16000000000003</v>
      </c>
      <c r="M952" s="1" t="s">
        <v>49</v>
      </c>
      <c r="N952" s="1" t="s">
        <v>38</v>
      </c>
      <c r="O952" s="1" t="s">
        <v>51</v>
      </c>
    </row>
    <row r="953" spans="1:15" x14ac:dyDescent="0.35">
      <c r="A953" s="1" t="s">
        <v>1827</v>
      </c>
      <c r="B953" s="2">
        <v>44957</v>
      </c>
      <c r="C953" s="1" t="s">
        <v>16</v>
      </c>
      <c r="D953" s="1" t="s">
        <v>46</v>
      </c>
      <c r="E953" s="1" t="str">
        <f>TRIM(CLEAN(Sheet1[[#This Row],[Category]]))</f>
        <v>Furniture</v>
      </c>
      <c r="F953">
        <v>7</v>
      </c>
      <c r="G953" t="str">
        <f t="shared" si="14"/>
        <v>2. Mid-Market (4-7 Units)</v>
      </c>
      <c r="H953">
        <v>7</v>
      </c>
      <c r="J953">
        <f>IF(ISBLANK(I953), ROUND(I953/ABS(VALUE(_xlfn.TEXTBEFORE(F953&amp;" ", " "))), 2), ABS(VALUE(SUBSTITUTE(I953, "$", ""))))</f>
        <v>0</v>
      </c>
      <c r="K953">
        <f>ROUND(Sheet1[[#This Row],[CleanedUnits_sold]]*Sheet1[[#This Row],[Cleaned_Unit_Price]],2)</f>
        <v>0</v>
      </c>
      <c r="M953" s="1" t="s">
        <v>1828</v>
      </c>
      <c r="N953" s="1" t="s">
        <v>14</v>
      </c>
      <c r="O953" s="1" t="s">
        <v>1828</v>
      </c>
    </row>
    <row r="954" spans="1:15" x14ac:dyDescent="0.35">
      <c r="A954" s="1" t="s">
        <v>1829</v>
      </c>
      <c r="B954" s="2">
        <v>44968</v>
      </c>
      <c r="C954" s="1" t="s">
        <v>16</v>
      </c>
      <c r="D954" s="1" t="s">
        <v>24</v>
      </c>
      <c r="E954" s="1" t="str">
        <f>TRIM(CLEAN(Sheet1[[#This Row],[Category]]))</f>
        <v>Electronics</v>
      </c>
      <c r="F954">
        <v>3</v>
      </c>
      <c r="G954" t="str">
        <f t="shared" si="14"/>
        <v>1. Retail (1-3 Units)</v>
      </c>
      <c r="H954">
        <v>3</v>
      </c>
      <c r="I954">
        <v>330.92</v>
      </c>
      <c r="J954">
        <f>IF(ISBLANK(I954), ROUND(I954/ABS(VALUE(_xlfn.TEXTBEFORE(F954&amp;" ", " "))), 2), ABS(VALUE(SUBSTITUTE(I954, "$", ""))))</f>
        <v>330.92</v>
      </c>
      <c r="K954">
        <f>ROUND(Sheet1[[#This Row],[CleanedUnits_sold]]*Sheet1[[#This Row],[Cleaned_Unit_Price]],2)</f>
        <v>992.76</v>
      </c>
      <c r="L954">
        <v>992.76</v>
      </c>
      <c r="M954" s="1" t="s">
        <v>1830</v>
      </c>
      <c r="N954" s="1" t="s">
        <v>38</v>
      </c>
      <c r="O954" s="1" t="s">
        <v>1830</v>
      </c>
    </row>
    <row r="955" spans="1:15" x14ac:dyDescent="0.35">
      <c r="A955" s="1" t="s">
        <v>1831</v>
      </c>
      <c r="B955" s="2">
        <v>45287</v>
      </c>
      <c r="C955" s="1" t="s">
        <v>58</v>
      </c>
      <c r="D955" s="1" t="s">
        <v>24</v>
      </c>
      <c r="E955" s="1" t="str">
        <f>TRIM(CLEAN(Sheet1[[#This Row],[Category]]))</f>
        <v>Electronics</v>
      </c>
      <c r="F955">
        <v>9</v>
      </c>
      <c r="G955" t="str">
        <f t="shared" si="14"/>
        <v>3. Wholesale / Bulk (8+ Units)</v>
      </c>
      <c r="H955">
        <v>9</v>
      </c>
      <c r="I955">
        <v>148.82</v>
      </c>
      <c r="J955">
        <f>IF(ISBLANK(I955), ROUND(I955/ABS(VALUE(_xlfn.TEXTBEFORE(F955&amp;" ", " "))), 2), ABS(VALUE(SUBSTITUTE(I955, "$", ""))))</f>
        <v>148.82</v>
      </c>
      <c r="K955">
        <f>ROUND(Sheet1[[#This Row],[CleanedUnits_sold]]*Sheet1[[#This Row],[Cleaned_Unit_Price]],2)</f>
        <v>1339.38</v>
      </c>
      <c r="L955">
        <v>1339.38</v>
      </c>
      <c r="M955" s="1" t="s">
        <v>1832</v>
      </c>
      <c r="N955" s="1" t="s">
        <v>14</v>
      </c>
      <c r="O955" s="1" t="s">
        <v>1832</v>
      </c>
    </row>
    <row r="956" spans="1:15" x14ac:dyDescent="0.35">
      <c r="A956" s="1" t="s">
        <v>1833</v>
      </c>
      <c r="B956" s="2">
        <v>45063</v>
      </c>
      <c r="C956" s="1" t="s">
        <v>16</v>
      </c>
      <c r="D956" s="1" t="s">
        <v>24</v>
      </c>
      <c r="E956" s="1" t="str">
        <f>TRIM(CLEAN(Sheet1[[#This Row],[Category]]))</f>
        <v>Electronics</v>
      </c>
      <c r="F956">
        <v>4</v>
      </c>
      <c r="G956" t="str">
        <f t="shared" si="14"/>
        <v>2. Mid-Market (4-7 Units)</v>
      </c>
      <c r="H956">
        <v>4</v>
      </c>
      <c r="I956">
        <v>10.119999999999999</v>
      </c>
      <c r="J956">
        <f>IF(ISBLANK(I956), ROUND(I956/ABS(VALUE(_xlfn.TEXTBEFORE(F956&amp;" ", " "))), 2), ABS(VALUE(SUBSTITUTE(I956, "$", ""))))</f>
        <v>10.119999999999999</v>
      </c>
      <c r="K956">
        <f>ROUND(Sheet1[[#This Row],[CleanedUnits_sold]]*Sheet1[[#This Row],[Cleaned_Unit_Price]],2)</f>
        <v>40.479999999999997</v>
      </c>
      <c r="L956">
        <v>40.479999999999997</v>
      </c>
      <c r="M956" s="1" t="s">
        <v>1834</v>
      </c>
      <c r="N956" s="1" t="s">
        <v>50</v>
      </c>
      <c r="O956" s="1" t="s">
        <v>1834</v>
      </c>
    </row>
    <row r="957" spans="1:15" x14ac:dyDescent="0.35">
      <c r="A957" s="1" t="s">
        <v>1835</v>
      </c>
      <c r="B957" s="2">
        <v>45137</v>
      </c>
      <c r="C957" s="1" t="s">
        <v>11</v>
      </c>
      <c r="D957" s="1" t="s">
        <v>12</v>
      </c>
      <c r="E957" s="1" t="str">
        <f>TRIM(CLEAN(Sheet1[[#This Row],[Category]]))</f>
        <v>Office Supplies</v>
      </c>
      <c r="F957">
        <v>2</v>
      </c>
      <c r="G957" t="str">
        <f t="shared" si="14"/>
        <v>1. Retail (1-3 Units)</v>
      </c>
      <c r="H957">
        <v>2</v>
      </c>
      <c r="I957">
        <v>72.2</v>
      </c>
      <c r="J957">
        <f>IF(ISBLANK(I957), ROUND(I957/ABS(VALUE(_xlfn.TEXTBEFORE(F957&amp;" ", " "))), 2), ABS(VALUE(SUBSTITUTE(I957, "$", ""))))</f>
        <v>72.2</v>
      </c>
      <c r="K957">
        <f>ROUND(Sheet1[[#This Row],[CleanedUnits_sold]]*Sheet1[[#This Row],[Cleaned_Unit_Price]],2)</f>
        <v>144.4</v>
      </c>
      <c r="L957">
        <v>144.4</v>
      </c>
      <c r="M957" s="1" t="s">
        <v>1836</v>
      </c>
      <c r="N957" s="1" t="s">
        <v>21</v>
      </c>
      <c r="O957" s="1" t="s">
        <v>1836</v>
      </c>
    </row>
    <row r="958" spans="1:15" x14ac:dyDescent="0.35">
      <c r="A958" s="1" t="s">
        <v>1837</v>
      </c>
      <c r="B958" s="2">
        <v>44969</v>
      </c>
      <c r="C958" s="1" t="s">
        <v>16</v>
      </c>
      <c r="D958" s="1" t="s">
        <v>24</v>
      </c>
      <c r="E958" s="1" t="str">
        <f>TRIM(CLEAN(Sheet1[[#This Row],[Category]]))</f>
        <v>Electronics</v>
      </c>
      <c r="F958">
        <v>4</v>
      </c>
      <c r="G958" t="str">
        <f t="shared" si="14"/>
        <v>2. Mid-Market (4-7 Units)</v>
      </c>
      <c r="H958">
        <v>4</v>
      </c>
      <c r="I958">
        <v>467.47</v>
      </c>
      <c r="J958">
        <f>IF(ISBLANK(I958), ROUND(I958/ABS(VALUE(_xlfn.TEXTBEFORE(F958&amp;" ", " "))), 2), ABS(VALUE(SUBSTITUTE(I958, "$", ""))))</f>
        <v>467.47</v>
      </c>
      <c r="K958">
        <f>ROUND(Sheet1[[#This Row],[CleanedUnits_sold]]*Sheet1[[#This Row],[Cleaned_Unit_Price]],2)</f>
        <v>1869.88</v>
      </c>
      <c r="L958">
        <v>1869.88</v>
      </c>
      <c r="M958" s="1" t="s">
        <v>1838</v>
      </c>
      <c r="N958" s="1" t="s">
        <v>38</v>
      </c>
      <c r="O958" s="1" t="s">
        <v>1838</v>
      </c>
    </row>
    <row r="959" spans="1:15" x14ac:dyDescent="0.35">
      <c r="A959" s="1" t="s">
        <v>1839</v>
      </c>
      <c r="B959" s="2">
        <v>45172</v>
      </c>
      <c r="C959" s="1" t="s">
        <v>19</v>
      </c>
      <c r="D959" s="1" t="s">
        <v>46</v>
      </c>
      <c r="E959" s="1" t="str">
        <f>TRIM(CLEAN(Sheet1[[#This Row],[Category]]))</f>
        <v>Furniture</v>
      </c>
      <c r="F959">
        <v>6</v>
      </c>
      <c r="G959" t="str">
        <f t="shared" si="14"/>
        <v>2. Mid-Market (4-7 Units)</v>
      </c>
      <c r="H959">
        <v>6</v>
      </c>
      <c r="I959">
        <v>435</v>
      </c>
      <c r="J959">
        <f>IF(ISBLANK(I959), ROUND(I959/ABS(VALUE(_xlfn.TEXTBEFORE(F959&amp;" ", " "))), 2), ABS(VALUE(SUBSTITUTE(I959, "$", ""))))</f>
        <v>435</v>
      </c>
      <c r="K959">
        <f>ROUND(Sheet1[[#This Row],[CleanedUnits_sold]]*Sheet1[[#This Row],[Cleaned_Unit_Price]],2)</f>
        <v>2610</v>
      </c>
      <c r="L959">
        <v>2610</v>
      </c>
      <c r="M959" s="1" t="s">
        <v>1840</v>
      </c>
      <c r="N959" s="1" t="s">
        <v>50</v>
      </c>
      <c r="O959" s="1" t="s">
        <v>1840</v>
      </c>
    </row>
    <row r="960" spans="1:15" x14ac:dyDescent="0.35">
      <c r="A960" s="1" t="s">
        <v>1841</v>
      </c>
      <c r="B960" s="2">
        <v>1</v>
      </c>
      <c r="C960" s="1" t="s">
        <v>11</v>
      </c>
      <c r="D960" s="1" t="s">
        <v>12</v>
      </c>
      <c r="E960" s="1" t="str">
        <f>TRIM(CLEAN(Sheet1[[#This Row],[Category]]))</f>
        <v>Office Supplies</v>
      </c>
      <c r="F960">
        <v>2</v>
      </c>
      <c r="G960" t="str">
        <f t="shared" si="14"/>
        <v>1. Retail (1-3 Units)</v>
      </c>
      <c r="H960">
        <v>2</v>
      </c>
      <c r="I960">
        <v>124.47</v>
      </c>
      <c r="J960">
        <f>IF(ISBLANK(I960), ROUND(I960/ABS(VALUE(_xlfn.TEXTBEFORE(F960&amp;" ", " "))), 2), ABS(VALUE(SUBSTITUTE(I960, "$", ""))))</f>
        <v>124.47</v>
      </c>
      <c r="K960">
        <f>ROUND(Sheet1[[#This Row],[CleanedUnits_sold]]*Sheet1[[#This Row],[Cleaned_Unit_Price]],2)</f>
        <v>248.94</v>
      </c>
      <c r="L960">
        <v>248.94</v>
      </c>
      <c r="M960" s="1" t="s">
        <v>1842</v>
      </c>
      <c r="N960" s="1" t="s">
        <v>26</v>
      </c>
      <c r="O960" s="1" t="s">
        <v>1842</v>
      </c>
    </row>
    <row r="961" spans="1:15" x14ac:dyDescent="0.35">
      <c r="A961" s="1" t="s">
        <v>1843</v>
      </c>
      <c r="B961" s="2">
        <v>45273</v>
      </c>
      <c r="C961" s="1" t="s">
        <v>11</v>
      </c>
      <c r="D961" s="1" t="s">
        <v>12</v>
      </c>
      <c r="E961" s="1" t="str">
        <f>TRIM(CLEAN(Sheet1[[#This Row],[Category]]))</f>
        <v>Office Supplies</v>
      </c>
      <c r="F961">
        <v>1</v>
      </c>
      <c r="G961" t="str">
        <f t="shared" si="14"/>
        <v>1. Retail (1-3 Units)</v>
      </c>
      <c r="H961">
        <v>1</v>
      </c>
      <c r="I961">
        <v>391.4</v>
      </c>
      <c r="J961">
        <f>IF(ISBLANK(I961), ROUND(I961/ABS(VALUE(_xlfn.TEXTBEFORE(F961&amp;" ", " "))), 2), ABS(VALUE(SUBSTITUTE(I961, "$", ""))))</f>
        <v>391.4</v>
      </c>
      <c r="K961">
        <f>ROUND(Sheet1[[#This Row],[CleanedUnits_sold]]*Sheet1[[#This Row],[Cleaned_Unit_Price]],2)</f>
        <v>391.4</v>
      </c>
      <c r="L961">
        <v>391.4</v>
      </c>
      <c r="M961" s="1"/>
      <c r="N961" s="1" t="s">
        <v>38</v>
      </c>
      <c r="O961" s="1" t="s">
        <v>131</v>
      </c>
    </row>
    <row r="962" spans="1:15" x14ac:dyDescent="0.35">
      <c r="A962" s="1" t="s">
        <v>1844</v>
      </c>
      <c r="B962" s="2">
        <v>45222</v>
      </c>
      <c r="C962" s="1" t="s">
        <v>16</v>
      </c>
      <c r="D962" s="1" t="s">
        <v>24</v>
      </c>
      <c r="E962" s="1" t="str">
        <f>TRIM(CLEAN(Sheet1[[#This Row],[Category]]))</f>
        <v>Electronics</v>
      </c>
      <c r="F962">
        <v>7</v>
      </c>
      <c r="G962" t="str">
        <f t="shared" ref="G962:G1025" si="15">IF(H962=0, "Non-Billable / Zero", IF(H962&lt;=3, "1. Retail (1-3 Units)", IF(H962&lt;=7, "2. Mid-Market (4-7 Units)", "3. Wholesale / Bulk (8+ Units)")))</f>
        <v>2. Mid-Market (4-7 Units)</v>
      </c>
      <c r="H962">
        <v>7</v>
      </c>
      <c r="I962">
        <v>308.2</v>
      </c>
      <c r="J962">
        <f>IF(ISBLANK(I962), ROUND(I962/ABS(VALUE(_xlfn.TEXTBEFORE(F962&amp;" ", " "))), 2), ABS(VALUE(SUBSTITUTE(I962, "$", ""))))</f>
        <v>308.2</v>
      </c>
      <c r="K962">
        <f>ROUND(Sheet1[[#This Row],[CleanedUnits_sold]]*Sheet1[[#This Row],[Cleaned_Unit_Price]],2)</f>
        <v>2157.4</v>
      </c>
      <c r="L962">
        <v>2157.4</v>
      </c>
      <c r="M962" s="1" t="s">
        <v>1845</v>
      </c>
      <c r="N962" s="1" t="s">
        <v>26</v>
      </c>
      <c r="O962" s="1" t="s">
        <v>1845</v>
      </c>
    </row>
    <row r="963" spans="1:15" x14ac:dyDescent="0.35">
      <c r="A963" s="1" t="s">
        <v>1846</v>
      </c>
      <c r="B963" s="2">
        <v>45119</v>
      </c>
      <c r="C963" s="1" t="s">
        <v>16</v>
      </c>
      <c r="D963" s="1" t="s">
        <v>12</v>
      </c>
      <c r="E963" s="1" t="str">
        <f>TRIM(CLEAN(Sheet1[[#This Row],[Category]]))</f>
        <v>Office Supplies</v>
      </c>
      <c r="F963">
        <v>7</v>
      </c>
      <c r="G963" t="str">
        <f t="shared" si="15"/>
        <v>2. Mid-Market (4-7 Units)</v>
      </c>
      <c r="H963">
        <v>7</v>
      </c>
      <c r="I963">
        <v>485.74</v>
      </c>
      <c r="J963">
        <f>IF(ISBLANK(I963), ROUND(I963/ABS(VALUE(_xlfn.TEXTBEFORE(F963&amp;" ", " "))), 2), ABS(VALUE(SUBSTITUTE(I963, "$", ""))))</f>
        <v>485.74</v>
      </c>
      <c r="K963">
        <f>ROUND(Sheet1[[#This Row],[CleanedUnits_sold]]*Sheet1[[#This Row],[Cleaned_Unit_Price]],2)</f>
        <v>3400.18</v>
      </c>
      <c r="L963">
        <v>3400.18</v>
      </c>
      <c r="M963" s="1" t="s">
        <v>1847</v>
      </c>
      <c r="N963" s="1" t="s">
        <v>14</v>
      </c>
      <c r="O963" s="1" t="s">
        <v>1847</v>
      </c>
    </row>
    <row r="964" spans="1:15" x14ac:dyDescent="0.35">
      <c r="A964" s="1" t="s">
        <v>1848</v>
      </c>
      <c r="B964" s="2">
        <v>1</v>
      </c>
      <c r="C964" s="1" t="s">
        <v>16</v>
      </c>
      <c r="D964" s="1" t="s">
        <v>12</v>
      </c>
      <c r="E964" s="1" t="str">
        <f>TRIM(CLEAN(Sheet1[[#This Row],[Category]]))</f>
        <v>Office Supplies</v>
      </c>
      <c r="F964">
        <v>6</v>
      </c>
      <c r="G964" t="str">
        <f t="shared" si="15"/>
        <v>2. Mid-Market (4-7 Units)</v>
      </c>
      <c r="H964">
        <v>6</v>
      </c>
      <c r="I964">
        <v>193.07</v>
      </c>
      <c r="J964">
        <f>IF(ISBLANK(I964), ROUND(I964/ABS(VALUE(_xlfn.TEXTBEFORE(F964&amp;" ", " "))), 2), ABS(VALUE(SUBSTITUTE(I964, "$", ""))))</f>
        <v>193.07</v>
      </c>
      <c r="K964">
        <f>ROUND(Sheet1[[#This Row],[CleanedUnits_sold]]*Sheet1[[#This Row],[Cleaned_Unit_Price]],2)</f>
        <v>1158.42</v>
      </c>
      <c r="M964" s="1" t="s">
        <v>1849</v>
      </c>
      <c r="N964" s="1" t="s">
        <v>21</v>
      </c>
      <c r="O964" s="1" t="s">
        <v>1849</v>
      </c>
    </row>
    <row r="965" spans="1:15" x14ac:dyDescent="0.35">
      <c r="A965" s="1" t="s">
        <v>1850</v>
      </c>
      <c r="B965" s="2">
        <v>44974</v>
      </c>
      <c r="C965" s="1" t="s">
        <v>19</v>
      </c>
      <c r="D965" s="1" t="s">
        <v>46</v>
      </c>
      <c r="E965" s="1" t="str">
        <f>TRIM(CLEAN(Sheet1[[#This Row],[Category]]))</f>
        <v>Furniture</v>
      </c>
      <c r="F965">
        <v>8</v>
      </c>
      <c r="G965" t="str">
        <f t="shared" si="15"/>
        <v>3. Wholesale / Bulk (8+ Units)</v>
      </c>
      <c r="H965">
        <v>8</v>
      </c>
      <c r="I965">
        <v>343.92</v>
      </c>
      <c r="J965">
        <f>IF(ISBLANK(I965), ROUND(I965/ABS(VALUE(_xlfn.TEXTBEFORE(F965&amp;" ", " "))), 2), ABS(VALUE(SUBSTITUTE(I965, "$", ""))))</f>
        <v>343.92</v>
      </c>
      <c r="K965">
        <f>ROUND(Sheet1[[#This Row],[CleanedUnits_sold]]*Sheet1[[#This Row],[Cleaned_Unit_Price]],2)</f>
        <v>2751.36</v>
      </c>
      <c r="L965">
        <v>2751.36</v>
      </c>
      <c r="M965" s="1" t="s">
        <v>1851</v>
      </c>
      <c r="N965" s="1" t="s">
        <v>14</v>
      </c>
      <c r="O965" s="1" t="s">
        <v>1851</v>
      </c>
    </row>
    <row r="966" spans="1:15" x14ac:dyDescent="0.35">
      <c r="A966" s="1" t="s">
        <v>1852</v>
      </c>
      <c r="B966" s="2">
        <v>45069</v>
      </c>
      <c r="C966" s="1" t="s">
        <v>16</v>
      </c>
      <c r="D966" s="1" t="s">
        <v>24</v>
      </c>
      <c r="E966" s="1" t="str">
        <f>TRIM(CLEAN(Sheet1[[#This Row],[Category]]))</f>
        <v>Electronics</v>
      </c>
      <c r="F966">
        <v>7</v>
      </c>
      <c r="G966" t="str">
        <f t="shared" si="15"/>
        <v>2. Mid-Market (4-7 Units)</v>
      </c>
      <c r="H966">
        <v>7</v>
      </c>
      <c r="I966">
        <v>41.13</v>
      </c>
      <c r="J966">
        <f>IF(ISBLANK(I966), ROUND(I966/ABS(VALUE(_xlfn.TEXTBEFORE(F966&amp;" ", " "))), 2), ABS(VALUE(SUBSTITUTE(I966, "$", ""))))</f>
        <v>41.13</v>
      </c>
      <c r="K966">
        <f>ROUND(Sheet1[[#This Row],[CleanedUnits_sold]]*Sheet1[[#This Row],[Cleaned_Unit_Price]],2)</f>
        <v>287.91000000000003</v>
      </c>
      <c r="L966">
        <v>287.91000000000003</v>
      </c>
      <c r="M966" s="1" t="s">
        <v>1853</v>
      </c>
      <c r="N966" s="1" t="s">
        <v>26</v>
      </c>
      <c r="O966" s="1" t="s">
        <v>1853</v>
      </c>
    </row>
    <row r="967" spans="1:15" x14ac:dyDescent="0.35">
      <c r="A967" s="1" t="s">
        <v>1854</v>
      </c>
      <c r="B967" s="2">
        <v>45176</v>
      </c>
      <c r="C967" s="1" t="s">
        <v>58</v>
      </c>
      <c r="D967" s="1" t="s">
        <v>46</v>
      </c>
      <c r="E967" s="1" t="str">
        <f>TRIM(CLEAN(Sheet1[[#This Row],[Category]]))</f>
        <v>Furniture</v>
      </c>
      <c r="F967">
        <v>5</v>
      </c>
      <c r="G967" t="str">
        <f t="shared" si="15"/>
        <v>2. Mid-Market (4-7 Units)</v>
      </c>
      <c r="H967">
        <v>5</v>
      </c>
      <c r="I967">
        <v>204.16</v>
      </c>
      <c r="J967">
        <f>IF(ISBLANK(I967), ROUND(I967/ABS(VALUE(_xlfn.TEXTBEFORE(F967&amp;" ", " "))), 2), ABS(VALUE(SUBSTITUTE(I967, "$", ""))))</f>
        <v>204.16</v>
      </c>
      <c r="K967">
        <f>ROUND(Sheet1[[#This Row],[CleanedUnits_sold]]*Sheet1[[#This Row],[Cleaned_Unit_Price]],2)</f>
        <v>1020.8</v>
      </c>
      <c r="L967">
        <v>1020.8</v>
      </c>
      <c r="M967" s="1" t="s">
        <v>1855</v>
      </c>
      <c r="N967" s="1" t="s">
        <v>14</v>
      </c>
      <c r="O967" s="1" t="s">
        <v>1855</v>
      </c>
    </row>
    <row r="968" spans="1:15" x14ac:dyDescent="0.35">
      <c r="A968" s="1" t="s">
        <v>1856</v>
      </c>
      <c r="B968" s="2">
        <v>44974</v>
      </c>
      <c r="C968" s="1" t="s">
        <v>58</v>
      </c>
      <c r="D968" s="1" t="s">
        <v>32</v>
      </c>
      <c r="E968" s="1" t="str">
        <f>TRIM(CLEAN(Sheet1[[#This Row],[Category]]))</f>
        <v>Furniture</v>
      </c>
      <c r="F968">
        <v>5</v>
      </c>
      <c r="G968" t="str">
        <f t="shared" si="15"/>
        <v>2. Mid-Market (4-7 Units)</v>
      </c>
      <c r="H968">
        <v>5</v>
      </c>
      <c r="I968">
        <v>482.27</v>
      </c>
      <c r="J968">
        <f>IF(ISBLANK(I968), ROUND(I968/ABS(VALUE(_xlfn.TEXTBEFORE(F968&amp;" ", " "))), 2), ABS(VALUE(SUBSTITUTE(I968, "$", ""))))</f>
        <v>482.27</v>
      </c>
      <c r="K968">
        <f>ROUND(Sheet1[[#This Row],[CleanedUnits_sold]]*Sheet1[[#This Row],[Cleaned_Unit_Price]],2)</f>
        <v>2411.35</v>
      </c>
      <c r="L968">
        <v>2893.62</v>
      </c>
      <c r="M968" s="1" t="s">
        <v>1857</v>
      </c>
      <c r="N968" s="1" t="s">
        <v>26</v>
      </c>
      <c r="O968" s="1" t="s">
        <v>1857</v>
      </c>
    </row>
    <row r="969" spans="1:15" x14ac:dyDescent="0.35">
      <c r="A969" s="1" t="s">
        <v>1858</v>
      </c>
      <c r="B969" s="2">
        <v>45284</v>
      </c>
      <c r="C969" s="1" t="s">
        <v>23</v>
      </c>
      <c r="D969" s="1" t="s">
        <v>32</v>
      </c>
      <c r="E969" s="1" t="str">
        <f>TRIM(CLEAN(Sheet1[[#This Row],[Category]]))</f>
        <v>Furniture</v>
      </c>
      <c r="F969">
        <v>6</v>
      </c>
      <c r="G969" t="str">
        <f t="shared" si="15"/>
        <v>2. Mid-Market (4-7 Units)</v>
      </c>
      <c r="H969">
        <v>6</v>
      </c>
      <c r="I969">
        <v>274.10000000000002</v>
      </c>
      <c r="J969">
        <f>IF(ISBLANK(I969), ROUND(I969/ABS(VALUE(_xlfn.TEXTBEFORE(F969&amp;" ", " "))), 2), ABS(VALUE(SUBSTITUTE(I969, "$", ""))))</f>
        <v>274.10000000000002</v>
      </c>
      <c r="K969">
        <f>ROUND(Sheet1[[#This Row],[CleanedUnits_sold]]*Sheet1[[#This Row],[Cleaned_Unit_Price]],2)</f>
        <v>1644.6</v>
      </c>
      <c r="L969">
        <v>1786.2</v>
      </c>
      <c r="M969" s="1" t="s">
        <v>1859</v>
      </c>
      <c r="N969" s="1" t="s">
        <v>21</v>
      </c>
      <c r="O969" s="1" t="s">
        <v>1859</v>
      </c>
    </row>
    <row r="970" spans="1:15" x14ac:dyDescent="0.35">
      <c r="A970" s="1" t="s">
        <v>1860</v>
      </c>
      <c r="B970" s="2">
        <v>45200</v>
      </c>
      <c r="C970" s="1" t="s">
        <v>58</v>
      </c>
      <c r="D970" s="1" t="s">
        <v>24</v>
      </c>
      <c r="E970" s="1" t="str">
        <f>TRIM(CLEAN(Sheet1[[#This Row],[Category]]))</f>
        <v>Electronics</v>
      </c>
      <c r="F970">
        <v>7</v>
      </c>
      <c r="G970" t="str">
        <f t="shared" si="15"/>
        <v>2. Mid-Market (4-7 Units)</v>
      </c>
      <c r="H970">
        <v>7</v>
      </c>
      <c r="I970">
        <v>151.06</v>
      </c>
      <c r="J970">
        <f>IF(ISBLANK(I970), ROUND(I970/ABS(VALUE(_xlfn.TEXTBEFORE(F970&amp;" ", " "))), 2), ABS(VALUE(SUBSTITUTE(I970, "$", ""))))</f>
        <v>151.06</v>
      </c>
      <c r="K970">
        <f>ROUND(Sheet1[[#This Row],[CleanedUnits_sold]]*Sheet1[[#This Row],[Cleaned_Unit_Price]],2)</f>
        <v>1057.42</v>
      </c>
      <c r="L970">
        <v>1057.42</v>
      </c>
      <c r="M970" s="1" t="s">
        <v>1861</v>
      </c>
      <c r="N970" s="1" t="s">
        <v>14</v>
      </c>
      <c r="O970" s="1" t="s">
        <v>1861</v>
      </c>
    </row>
    <row r="971" spans="1:15" x14ac:dyDescent="0.35">
      <c r="A971" s="1" t="s">
        <v>1862</v>
      </c>
      <c r="B971" s="2">
        <v>45146</v>
      </c>
      <c r="C971" s="1" t="s">
        <v>11</v>
      </c>
      <c r="D971" s="1" t="s">
        <v>32</v>
      </c>
      <c r="E971" s="1" t="str">
        <f>TRIM(CLEAN(Sheet1[[#This Row],[Category]]))</f>
        <v>Furniture</v>
      </c>
      <c r="F971">
        <v>6</v>
      </c>
      <c r="G971" t="str">
        <f t="shared" si="15"/>
        <v>2. Mid-Market (4-7 Units)</v>
      </c>
      <c r="H971">
        <v>6</v>
      </c>
      <c r="I971">
        <v>68.930000000000007</v>
      </c>
      <c r="J971">
        <f>IF(ISBLANK(I971), ROUND(I971/ABS(VALUE(_xlfn.TEXTBEFORE(F971&amp;" ", " "))), 2), ABS(VALUE(SUBSTITUTE(I971, "$", ""))))</f>
        <v>68.930000000000007</v>
      </c>
      <c r="K971">
        <f>ROUND(Sheet1[[#This Row],[CleanedUnits_sold]]*Sheet1[[#This Row],[Cleaned_Unit_Price]],2)</f>
        <v>413.58</v>
      </c>
      <c r="L971">
        <v>413.58</v>
      </c>
      <c r="M971" s="1" t="s">
        <v>1863</v>
      </c>
      <c r="N971" s="1" t="s">
        <v>50</v>
      </c>
      <c r="O971" s="1" t="s">
        <v>1863</v>
      </c>
    </row>
    <row r="972" spans="1:15" x14ac:dyDescent="0.35">
      <c r="A972" s="1" t="s">
        <v>1864</v>
      </c>
      <c r="B972" s="2">
        <v>45092</v>
      </c>
      <c r="C972" s="1" t="s">
        <v>16</v>
      </c>
      <c r="D972" s="1" t="s">
        <v>32</v>
      </c>
      <c r="E972" s="1" t="str">
        <f>TRIM(CLEAN(Sheet1[[#This Row],[Category]]))</f>
        <v>Furniture</v>
      </c>
      <c r="F972">
        <v>3</v>
      </c>
      <c r="G972" t="str">
        <f t="shared" si="15"/>
        <v>1. Retail (1-3 Units)</v>
      </c>
      <c r="H972">
        <v>3</v>
      </c>
      <c r="I972">
        <v>354.73</v>
      </c>
      <c r="J972">
        <f>IF(ISBLANK(I972), ROUND(I972/ABS(VALUE(_xlfn.TEXTBEFORE(F972&amp;" ", " "))), 2), ABS(VALUE(SUBSTITUTE(I972, "$", ""))))</f>
        <v>354.73</v>
      </c>
      <c r="K972">
        <f>ROUND(Sheet1[[#This Row],[CleanedUnits_sold]]*Sheet1[[#This Row],[Cleaned_Unit_Price]],2)</f>
        <v>1064.19</v>
      </c>
      <c r="L972">
        <v>1064.19</v>
      </c>
      <c r="M972" s="1" t="s">
        <v>1865</v>
      </c>
      <c r="N972" s="1" t="s">
        <v>14</v>
      </c>
      <c r="O972" s="1" t="s">
        <v>1865</v>
      </c>
    </row>
    <row r="973" spans="1:15" x14ac:dyDescent="0.35">
      <c r="A973" s="1" t="s">
        <v>1866</v>
      </c>
      <c r="B973" s="2">
        <v>1</v>
      </c>
      <c r="C973" s="1" t="s">
        <v>19</v>
      </c>
      <c r="D973" s="1" t="s">
        <v>12</v>
      </c>
      <c r="E973" s="1" t="str">
        <f>TRIM(CLEAN(Sheet1[[#This Row],[Category]]))</f>
        <v>Office Supplies</v>
      </c>
      <c r="F973">
        <v>3</v>
      </c>
      <c r="G973" t="str">
        <f t="shared" si="15"/>
        <v>1. Retail (1-3 Units)</v>
      </c>
      <c r="H973">
        <v>3</v>
      </c>
      <c r="J973">
        <f>IF(ISBLANK(I973), ROUND(I973/ABS(VALUE(_xlfn.TEXTBEFORE(F973&amp;" ", " "))), 2), ABS(VALUE(SUBSTITUTE(I973, "$", ""))))</f>
        <v>0</v>
      </c>
      <c r="K973">
        <f>ROUND(Sheet1[[#This Row],[CleanedUnits_sold]]*Sheet1[[#This Row],[Cleaned_Unit_Price]],2)</f>
        <v>0</v>
      </c>
      <c r="M973" s="1" t="s">
        <v>1867</v>
      </c>
      <c r="N973" s="1" t="s">
        <v>21</v>
      </c>
      <c r="O973" s="1" t="s">
        <v>1867</v>
      </c>
    </row>
    <row r="974" spans="1:15" x14ac:dyDescent="0.35">
      <c r="A974" s="1" t="s">
        <v>1868</v>
      </c>
      <c r="B974" s="2">
        <v>45175</v>
      </c>
      <c r="C974" s="1" t="s">
        <v>11</v>
      </c>
      <c r="D974" s="1" t="s">
        <v>24</v>
      </c>
      <c r="E974" s="1" t="str">
        <f>TRIM(CLEAN(Sheet1[[#This Row],[Category]]))</f>
        <v>Electronics</v>
      </c>
      <c r="F974">
        <v>1</v>
      </c>
      <c r="G974" t="str">
        <f t="shared" si="15"/>
        <v>1. Retail (1-3 Units)</v>
      </c>
      <c r="H974">
        <v>1</v>
      </c>
      <c r="J974">
        <f>IF(ISBLANK(I974), ROUND(I974/ABS(VALUE(_xlfn.TEXTBEFORE(F974&amp;" ", " "))), 2), ABS(VALUE(SUBSTITUTE(I974, "$", ""))))</f>
        <v>0</v>
      </c>
      <c r="K974">
        <f>ROUND(Sheet1[[#This Row],[CleanedUnits_sold]]*Sheet1[[#This Row],[Cleaned_Unit_Price]],2)</f>
        <v>0</v>
      </c>
      <c r="L974">
        <v>193.23</v>
      </c>
      <c r="M974" s="1" t="s">
        <v>1869</v>
      </c>
      <c r="N974" s="1" t="s">
        <v>14</v>
      </c>
      <c r="O974" s="1" t="s">
        <v>1869</v>
      </c>
    </row>
    <row r="975" spans="1:15" x14ac:dyDescent="0.35">
      <c r="A975" s="1" t="s">
        <v>1870</v>
      </c>
      <c r="B975" s="2">
        <v>44951</v>
      </c>
      <c r="C975" s="1" t="s">
        <v>19</v>
      </c>
      <c r="D975" s="1" t="s">
        <v>24</v>
      </c>
      <c r="E975" s="1" t="str">
        <f>TRIM(CLEAN(Sheet1[[#This Row],[Category]]))</f>
        <v>Electronics</v>
      </c>
      <c r="F975">
        <v>5</v>
      </c>
      <c r="G975" t="str">
        <f t="shared" si="15"/>
        <v>2. Mid-Market (4-7 Units)</v>
      </c>
      <c r="H975">
        <v>5</v>
      </c>
      <c r="I975">
        <v>475.96</v>
      </c>
      <c r="J975">
        <f>IF(ISBLANK(I975), ROUND(I975/ABS(VALUE(_xlfn.TEXTBEFORE(F975&amp;" ", " "))), 2), ABS(VALUE(SUBSTITUTE(I975, "$", ""))))</f>
        <v>475.96</v>
      </c>
      <c r="K975">
        <f>ROUND(Sheet1[[#This Row],[CleanedUnits_sold]]*Sheet1[[#This Row],[Cleaned_Unit_Price]],2)</f>
        <v>2379.8000000000002</v>
      </c>
      <c r="L975">
        <v>2379.8000000000002</v>
      </c>
      <c r="M975" s="1" t="s">
        <v>1871</v>
      </c>
      <c r="N975" s="1" t="s">
        <v>14</v>
      </c>
      <c r="O975" s="1" t="s">
        <v>1871</v>
      </c>
    </row>
    <row r="976" spans="1:15" x14ac:dyDescent="0.35">
      <c r="A976" s="1" t="s">
        <v>1872</v>
      </c>
      <c r="B976" s="2">
        <v>1</v>
      </c>
      <c r="C976" s="1" t="s">
        <v>19</v>
      </c>
      <c r="D976" s="1" t="s">
        <v>12</v>
      </c>
      <c r="E976" s="1" t="str">
        <f>TRIM(CLEAN(Sheet1[[#This Row],[Category]]))</f>
        <v>Office Supplies</v>
      </c>
      <c r="F976">
        <v>3</v>
      </c>
      <c r="G976" t="str">
        <f t="shared" si="15"/>
        <v>1. Retail (1-3 Units)</v>
      </c>
      <c r="H976">
        <v>3</v>
      </c>
      <c r="I976">
        <v>20.88</v>
      </c>
      <c r="J976">
        <f>IF(ISBLANK(I976), ROUND(I976/ABS(VALUE(_xlfn.TEXTBEFORE(F976&amp;" ", " "))), 2), ABS(VALUE(SUBSTITUTE(I976, "$", ""))))</f>
        <v>20.88</v>
      </c>
      <c r="K976">
        <f>ROUND(Sheet1[[#This Row],[CleanedUnits_sold]]*Sheet1[[#This Row],[Cleaned_Unit_Price]],2)</f>
        <v>62.64</v>
      </c>
      <c r="L976">
        <v>62.64</v>
      </c>
      <c r="M976" s="1"/>
      <c r="N976" s="1" t="s">
        <v>26</v>
      </c>
      <c r="O976" s="1" t="s">
        <v>131</v>
      </c>
    </row>
    <row r="977" spans="1:15" x14ac:dyDescent="0.35">
      <c r="A977" s="1" t="s">
        <v>1873</v>
      </c>
      <c r="B977" s="2">
        <v>45162</v>
      </c>
      <c r="C977" s="1" t="s">
        <v>19</v>
      </c>
      <c r="D977" s="1" t="s">
        <v>12</v>
      </c>
      <c r="E977" s="1" t="str">
        <f>TRIM(CLEAN(Sheet1[[#This Row],[Category]]))</f>
        <v>Office Supplies</v>
      </c>
      <c r="F977">
        <v>9</v>
      </c>
      <c r="G977" t="str">
        <f t="shared" si="15"/>
        <v>3. Wholesale / Bulk (8+ Units)</v>
      </c>
      <c r="H977">
        <v>9</v>
      </c>
      <c r="I977">
        <v>158.82</v>
      </c>
      <c r="J977">
        <f>IF(ISBLANK(I977), ROUND(I977/ABS(VALUE(_xlfn.TEXTBEFORE(F977&amp;" ", " "))), 2), ABS(VALUE(SUBSTITUTE(I977, "$", ""))))</f>
        <v>158.82</v>
      </c>
      <c r="K977">
        <f>ROUND(Sheet1[[#This Row],[CleanedUnits_sold]]*Sheet1[[#This Row],[Cleaned_Unit_Price]],2)</f>
        <v>1429.38</v>
      </c>
      <c r="L977">
        <v>1429.38</v>
      </c>
      <c r="M977" s="1" t="s">
        <v>1874</v>
      </c>
      <c r="N977" s="1" t="s">
        <v>50</v>
      </c>
      <c r="O977" s="1" t="s">
        <v>1874</v>
      </c>
    </row>
    <row r="978" spans="1:15" x14ac:dyDescent="0.35">
      <c r="A978" s="1" t="s">
        <v>1875</v>
      </c>
      <c r="B978" s="2">
        <v>45007</v>
      </c>
      <c r="C978" s="1" t="s">
        <v>16</v>
      </c>
      <c r="D978" s="1" t="s">
        <v>12</v>
      </c>
      <c r="E978" s="1" t="str">
        <f>TRIM(CLEAN(Sheet1[[#This Row],[Category]]))</f>
        <v>Office Supplies</v>
      </c>
      <c r="F978">
        <v>8</v>
      </c>
      <c r="G978" t="str">
        <f t="shared" si="15"/>
        <v>3. Wholesale / Bulk (8+ Units)</v>
      </c>
      <c r="H978">
        <v>8</v>
      </c>
      <c r="I978">
        <v>461.32</v>
      </c>
      <c r="J978">
        <f>IF(ISBLANK(I978), ROUND(I978/ABS(VALUE(_xlfn.TEXTBEFORE(F978&amp;" ", " "))), 2), ABS(VALUE(SUBSTITUTE(I978, "$", ""))))</f>
        <v>461.32</v>
      </c>
      <c r="K978">
        <f>ROUND(Sheet1[[#This Row],[CleanedUnits_sold]]*Sheet1[[#This Row],[Cleaned_Unit_Price]],2)</f>
        <v>3690.56</v>
      </c>
      <c r="L978">
        <v>3690.56</v>
      </c>
      <c r="M978" s="1" t="s">
        <v>1876</v>
      </c>
      <c r="N978" s="1" t="s">
        <v>26</v>
      </c>
      <c r="O978" s="1" t="s">
        <v>1876</v>
      </c>
    </row>
    <row r="979" spans="1:15" x14ac:dyDescent="0.35">
      <c r="A979" s="1" t="s">
        <v>1877</v>
      </c>
      <c r="B979" s="2">
        <v>45146</v>
      </c>
      <c r="C979" s="1" t="s">
        <v>23</v>
      </c>
      <c r="D979" s="1" t="s">
        <v>24</v>
      </c>
      <c r="E979" s="1" t="str">
        <f>TRIM(CLEAN(Sheet1[[#This Row],[Category]]))</f>
        <v>Electronics</v>
      </c>
      <c r="F979">
        <v>4</v>
      </c>
      <c r="G979" t="str">
        <f t="shared" si="15"/>
        <v>2. Mid-Market (4-7 Units)</v>
      </c>
      <c r="H979">
        <v>4</v>
      </c>
      <c r="I979">
        <v>167.26</v>
      </c>
      <c r="J979">
        <f>IF(ISBLANK(I979), ROUND(I979/ABS(VALUE(_xlfn.TEXTBEFORE(F979&amp;" ", " "))), 2), ABS(VALUE(SUBSTITUTE(I979, "$", ""))))</f>
        <v>167.26</v>
      </c>
      <c r="K979">
        <f>ROUND(Sheet1[[#This Row],[CleanedUnits_sold]]*Sheet1[[#This Row],[Cleaned_Unit_Price]],2)</f>
        <v>669.04</v>
      </c>
      <c r="L979">
        <v>669.04</v>
      </c>
      <c r="M979" s="1" t="s">
        <v>1878</v>
      </c>
      <c r="N979" s="1" t="s">
        <v>50</v>
      </c>
      <c r="O979" s="1" t="s">
        <v>1878</v>
      </c>
    </row>
    <row r="980" spans="1:15" x14ac:dyDescent="0.35">
      <c r="A980" s="1" t="s">
        <v>1879</v>
      </c>
      <c r="B980" s="2">
        <v>44994</v>
      </c>
      <c r="C980" s="1" t="s">
        <v>23</v>
      </c>
      <c r="D980" s="1" t="s">
        <v>24</v>
      </c>
      <c r="E980" s="1" t="str">
        <f>TRIM(CLEAN(Sheet1[[#This Row],[Category]]))</f>
        <v>Electronics</v>
      </c>
      <c r="F980">
        <v>2</v>
      </c>
      <c r="G980" t="str">
        <f t="shared" si="15"/>
        <v>1. Retail (1-3 Units)</v>
      </c>
      <c r="H980">
        <v>2</v>
      </c>
      <c r="I980">
        <v>133.6</v>
      </c>
      <c r="J980">
        <f>IF(ISBLANK(I980), ROUND(I980/ABS(VALUE(_xlfn.TEXTBEFORE(F980&amp;" ", " "))), 2), ABS(VALUE(SUBSTITUTE(I980, "$", ""))))</f>
        <v>133.6</v>
      </c>
      <c r="K980">
        <f>ROUND(Sheet1[[#This Row],[CleanedUnits_sold]]*Sheet1[[#This Row],[Cleaned_Unit_Price]],2)</f>
        <v>267.2</v>
      </c>
      <c r="L980">
        <v>267.2</v>
      </c>
      <c r="M980" s="1" t="s">
        <v>1880</v>
      </c>
      <c r="N980" s="1" t="s">
        <v>21</v>
      </c>
      <c r="O980" s="1" t="s">
        <v>1880</v>
      </c>
    </row>
    <row r="981" spans="1:15" x14ac:dyDescent="0.35">
      <c r="A981" s="1" t="s">
        <v>1881</v>
      </c>
      <c r="B981" s="2">
        <v>45067</v>
      </c>
      <c r="C981" s="1" t="s">
        <v>11</v>
      </c>
      <c r="D981" s="1" t="s">
        <v>46</v>
      </c>
      <c r="E981" s="1" t="str">
        <f>TRIM(CLEAN(Sheet1[[#This Row],[Category]]))</f>
        <v>Furniture</v>
      </c>
      <c r="F981">
        <v>3</v>
      </c>
      <c r="G981" t="str">
        <f t="shared" si="15"/>
        <v>1. Retail (1-3 Units)</v>
      </c>
      <c r="H981">
        <v>3</v>
      </c>
      <c r="I981">
        <v>271.77</v>
      </c>
      <c r="J981">
        <f>IF(ISBLANK(I981), ROUND(I981/ABS(VALUE(_xlfn.TEXTBEFORE(F981&amp;" ", " "))), 2), ABS(VALUE(SUBSTITUTE(I981, "$", ""))))</f>
        <v>271.77</v>
      </c>
      <c r="K981">
        <f>ROUND(Sheet1[[#This Row],[CleanedUnits_sold]]*Sheet1[[#This Row],[Cleaned_Unit_Price]],2)</f>
        <v>815.31</v>
      </c>
      <c r="L981">
        <v>815.31</v>
      </c>
      <c r="M981" s="1" t="s">
        <v>1882</v>
      </c>
      <c r="N981" s="1" t="s">
        <v>14</v>
      </c>
      <c r="O981" s="1" t="s">
        <v>1882</v>
      </c>
    </row>
    <row r="982" spans="1:15" x14ac:dyDescent="0.35">
      <c r="A982" s="1" t="s">
        <v>1883</v>
      </c>
      <c r="B982" s="2">
        <v>45055</v>
      </c>
      <c r="C982" s="1" t="s">
        <v>58</v>
      </c>
      <c r="D982" s="1" t="s">
        <v>12</v>
      </c>
      <c r="E982" s="1" t="str">
        <f>TRIM(CLEAN(Sheet1[[#This Row],[Category]]))</f>
        <v>Office Supplies</v>
      </c>
      <c r="F982">
        <v>2</v>
      </c>
      <c r="G982" t="str">
        <f t="shared" si="15"/>
        <v>1. Retail (1-3 Units)</v>
      </c>
      <c r="H982">
        <v>2</v>
      </c>
      <c r="J982">
        <f>IF(ISBLANK(I982), ROUND(I982/ABS(VALUE(_xlfn.TEXTBEFORE(F982&amp;" ", " "))), 2), ABS(VALUE(SUBSTITUTE(I982, "$", ""))))</f>
        <v>0</v>
      </c>
      <c r="K982">
        <f>ROUND(Sheet1[[#This Row],[CleanedUnits_sold]]*Sheet1[[#This Row],[Cleaned_Unit_Price]],2)</f>
        <v>0</v>
      </c>
      <c r="L982">
        <v>827.32</v>
      </c>
      <c r="M982" s="1" t="s">
        <v>1884</v>
      </c>
      <c r="N982" s="1" t="s">
        <v>50</v>
      </c>
      <c r="O982" s="1" t="s">
        <v>1884</v>
      </c>
    </row>
    <row r="983" spans="1:15" x14ac:dyDescent="0.35">
      <c r="A983" s="1" t="s">
        <v>1885</v>
      </c>
      <c r="B983" s="2">
        <v>1</v>
      </c>
      <c r="C983" s="1" t="s">
        <v>11</v>
      </c>
      <c r="D983" s="1" t="s">
        <v>12</v>
      </c>
      <c r="E983" s="1" t="str">
        <f>TRIM(CLEAN(Sheet1[[#This Row],[Category]]))</f>
        <v>Office Supplies</v>
      </c>
      <c r="F983">
        <v>4</v>
      </c>
      <c r="G983" t="str">
        <f t="shared" si="15"/>
        <v>2. Mid-Market (4-7 Units)</v>
      </c>
      <c r="H983">
        <v>4</v>
      </c>
      <c r="I983">
        <v>60.54</v>
      </c>
      <c r="J983">
        <f>IF(ISBLANK(I983), ROUND(I983/ABS(VALUE(_xlfn.TEXTBEFORE(F983&amp;" ", " "))), 2), ABS(VALUE(SUBSTITUTE(I983, "$", ""))))</f>
        <v>60.54</v>
      </c>
      <c r="K983">
        <f>ROUND(Sheet1[[#This Row],[CleanedUnits_sold]]*Sheet1[[#This Row],[Cleaned_Unit_Price]],2)</f>
        <v>242.16</v>
      </c>
      <c r="M983" s="1" t="s">
        <v>1886</v>
      </c>
      <c r="N983" s="1" t="s">
        <v>21</v>
      </c>
      <c r="O983" s="1" t="s">
        <v>1886</v>
      </c>
    </row>
    <row r="984" spans="1:15" x14ac:dyDescent="0.35">
      <c r="A984" s="1" t="s">
        <v>1887</v>
      </c>
      <c r="B984" s="2">
        <v>1</v>
      </c>
      <c r="C984" s="1" t="s">
        <v>16</v>
      </c>
      <c r="D984" s="1" t="s">
        <v>12</v>
      </c>
      <c r="E984" s="1" t="str">
        <f>TRIM(CLEAN(Sheet1[[#This Row],[Category]]))</f>
        <v>Office Supplies</v>
      </c>
      <c r="F984">
        <v>4</v>
      </c>
      <c r="G984" t="str">
        <f t="shared" si="15"/>
        <v>2. Mid-Market (4-7 Units)</v>
      </c>
      <c r="H984">
        <v>4</v>
      </c>
      <c r="I984">
        <v>472.08</v>
      </c>
      <c r="J984">
        <f>IF(ISBLANK(I984), ROUND(I984/ABS(VALUE(_xlfn.TEXTBEFORE(F984&amp;" ", " "))), 2), ABS(VALUE(SUBSTITUTE(I984, "$", ""))))</f>
        <v>472.08</v>
      </c>
      <c r="K984">
        <f>ROUND(Sheet1[[#This Row],[CleanedUnits_sold]]*Sheet1[[#This Row],[Cleaned_Unit_Price]],2)</f>
        <v>1888.32</v>
      </c>
      <c r="L984">
        <v>2010.03</v>
      </c>
      <c r="M984" s="1" t="s">
        <v>1888</v>
      </c>
      <c r="N984" s="1" t="s">
        <v>21</v>
      </c>
      <c r="O984" s="1" t="s">
        <v>1888</v>
      </c>
    </row>
    <row r="985" spans="1:15" x14ac:dyDescent="0.35">
      <c r="A985" s="1" t="s">
        <v>1889</v>
      </c>
      <c r="B985" s="2">
        <v>1</v>
      </c>
      <c r="C985" s="1" t="s">
        <v>19</v>
      </c>
      <c r="D985" s="1" t="s">
        <v>12</v>
      </c>
      <c r="E985" s="1" t="str">
        <f>TRIM(CLEAN(Sheet1[[#This Row],[Category]]))</f>
        <v>Office Supplies</v>
      </c>
      <c r="F985">
        <v>5</v>
      </c>
      <c r="G985" t="str">
        <f t="shared" si="15"/>
        <v>2. Mid-Market (4-7 Units)</v>
      </c>
      <c r="H985">
        <v>5</v>
      </c>
      <c r="I985">
        <v>399.59</v>
      </c>
      <c r="J985">
        <f>IF(ISBLANK(I985), ROUND(I985/ABS(VALUE(_xlfn.TEXTBEFORE(F985&amp;" ", " "))), 2), ABS(VALUE(SUBSTITUTE(I985, "$", ""))))</f>
        <v>399.59</v>
      </c>
      <c r="K985">
        <f>ROUND(Sheet1[[#This Row],[CleanedUnits_sold]]*Sheet1[[#This Row],[Cleaned_Unit_Price]],2)</f>
        <v>1997.95</v>
      </c>
      <c r="L985">
        <v>1997.95</v>
      </c>
      <c r="M985" s="1" t="s">
        <v>1890</v>
      </c>
      <c r="N985" s="1" t="s">
        <v>14</v>
      </c>
      <c r="O985" s="1" t="s">
        <v>1890</v>
      </c>
    </row>
    <row r="986" spans="1:15" x14ac:dyDescent="0.35">
      <c r="A986" s="1" t="s">
        <v>1891</v>
      </c>
      <c r="B986" s="2">
        <v>44973</v>
      </c>
      <c r="C986" s="1" t="s">
        <v>19</v>
      </c>
      <c r="D986" s="1" t="s">
        <v>24</v>
      </c>
      <c r="E986" s="1" t="str">
        <f>TRIM(CLEAN(Sheet1[[#This Row],[Category]]))</f>
        <v>Electronics</v>
      </c>
      <c r="F986">
        <v>8</v>
      </c>
      <c r="G986" t="str">
        <f t="shared" si="15"/>
        <v>3. Wholesale / Bulk (8+ Units)</v>
      </c>
      <c r="H986">
        <v>8</v>
      </c>
      <c r="I986">
        <v>98.81</v>
      </c>
      <c r="J986">
        <f>IF(ISBLANK(I986), ROUND(I986/ABS(VALUE(_xlfn.TEXTBEFORE(F986&amp;" ", " "))), 2), ABS(VALUE(SUBSTITUTE(I986, "$", ""))))</f>
        <v>98.81</v>
      </c>
      <c r="K986">
        <f>ROUND(Sheet1[[#This Row],[CleanedUnits_sold]]*Sheet1[[#This Row],[Cleaned_Unit_Price]],2)</f>
        <v>790.48</v>
      </c>
      <c r="L986">
        <v>790.48</v>
      </c>
      <c r="M986" s="1" t="s">
        <v>1892</v>
      </c>
      <c r="N986" s="1" t="s">
        <v>21</v>
      </c>
      <c r="O986" s="1" t="s">
        <v>1892</v>
      </c>
    </row>
    <row r="987" spans="1:15" x14ac:dyDescent="0.35">
      <c r="A987" s="1" t="s">
        <v>1893</v>
      </c>
      <c r="B987" s="2">
        <v>1</v>
      </c>
      <c r="C987" s="1" t="s">
        <v>19</v>
      </c>
      <c r="D987" s="1" t="s">
        <v>24</v>
      </c>
      <c r="E987" s="1" t="str">
        <f>TRIM(CLEAN(Sheet1[[#This Row],[Category]]))</f>
        <v>Electronics</v>
      </c>
      <c r="F987">
        <v>6</v>
      </c>
      <c r="G987" t="str">
        <f t="shared" si="15"/>
        <v>2. Mid-Market (4-7 Units)</v>
      </c>
      <c r="H987">
        <v>6</v>
      </c>
      <c r="I987">
        <v>358.88</v>
      </c>
      <c r="J987">
        <f>IF(ISBLANK(I987), ROUND(I987/ABS(VALUE(_xlfn.TEXTBEFORE(F987&amp;" ", " "))), 2), ABS(VALUE(SUBSTITUTE(I987, "$", ""))))</f>
        <v>358.88</v>
      </c>
      <c r="K987">
        <f>ROUND(Sheet1[[#This Row],[CleanedUnits_sold]]*Sheet1[[#This Row],[Cleaned_Unit_Price]],2)</f>
        <v>2153.2800000000002</v>
      </c>
      <c r="L987">
        <v>2153.2800000000002</v>
      </c>
      <c r="M987" s="1" t="s">
        <v>1894</v>
      </c>
      <c r="N987" s="1" t="s">
        <v>50</v>
      </c>
      <c r="O987" s="1" t="s">
        <v>1894</v>
      </c>
    </row>
    <row r="988" spans="1:15" x14ac:dyDescent="0.35">
      <c r="A988" s="1" t="s">
        <v>1895</v>
      </c>
      <c r="B988" s="2">
        <v>45172</v>
      </c>
      <c r="C988" s="1" t="s">
        <v>16</v>
      </c>
      <c r="D988" s="1" t="s">
        <v>12</v>
      </c>
      <c r="E988" s="1" t="str">
        <f>TRIM(CLEAN(Sheet1[[#This Row],[Category]]))</f>
        <v>Office Supplies</v>
      </c>
      <c r="F988">
        <v>3</v>
      </c>
      <c r="G988" t="str">
        <f t="shared" si="15"/>
        <v>1. Retail (1-3 Units)</v>
      </c>
      <c r="H988">
        <v>3</v>
      </c>
      <c r="I988">
        <v>198.63</v>
      </c>
      <c r="J988">
        <f>IF(ISBLANK(I988), ROUND(I988/ABS(VALUE(_xlfn.TEXTBEFORE(F988&amp;" ", " "))), 2), ABS(VALUE(SUBSTITUTE(I988, "$", ""))))</f>
        <v>198.63</v>
      </c>
      <c r="K988">
        <f>ROUND(Sheet1[[#This Row],[CleanedUnits_sold]]*Sheet1[[#This Row],[Cleaned_Unit_Price]],2)</f>
        <v>595.89</v>
      </c>
      <c r="L988">
        <v>595.89</v>
      </c>
      <c r="M988" s="1" t="s">
        <v>1896</v>
      </c>
      <c r="N988" s="1" t="s">
        <v>14</v>
      </c>
      <c r="O988" s="1" t="s">
        <v>1896</v>
      </c>
    </row>
    <row r="989" spans="1:15" x14ac:dyDescent="0.35">
      <c r="A989" s="1" t="s">
        <v>1897</v>
      </c>
      <c r="B989" s="2">
        <v>45154</v>
      </c>
      <c r="C989" s="1" t="s">
        <v>23</v>
      </c>
      <c r="D989" s="1" t="s">
        <v>24</v>
      </c>
      <c r="E989" s="1" t="str">
        <f>TRIM(CLEAN(Sheet1[[#This Row],[Category]]))</f>
        <v>Electronics</v>
      </c>
      <c r="F989">
        <v>5</v>
      </c>
      <c r="G989" t="str">
        <f t="shared" si="15"/>
        <v>2. Mid-Market (4-7 Units)</v>
      </c>
      <c r="H989">
        <v>5</v>
      </c>
      <c r="I989">
        <v>207.12</v>
      </c>
      <c r="J989">
        <f>IF(ISBLANK(I989), ROUND(I989/ABS(VALUE(_xlfn.TEXTBEFORE(F989&amp;" ", " "))), 2), ABS(VALUE(SUBSTITUTE(I989, "$", ""))))</f>
        <v>207.12</v>
      </c>
      <c r="K989">
        <f>ROUND(Sheet1[[#This Row],[CleanedUnits_sold]]*Sheet1[[#This Row],[Cleaned_Unit_Price]],2)</f>
        <v>1035.5999999999999</v>
      </c>
      <c r="L989">
        <v>1035.5999999999999</v>
      </c>
      <c r="M989" s="1" t="s">
        <v>1898</v>
      </c>
      <c r="N989" s="1" t="s">
        <v>26</v>
      </c>
      <c r="O989" s="1" t="s">
        <v>1898</v>
      </c>
    </row>
    <row r="990" spans="1:15" x14ac:dyDescent="0.35">
      <c r="A990" s="1" t="s">
        <v>1899</v>
      </c>
      <c r="B990" s="2">
        <v>1</v>
      </c>
      <c r="C990" s="1" t="s">
        <v>23</v>
      </c>
      <c r="D990" s="1" t="s">
        <v>12</v>
      </c>
      <c r="E990" s="1" t="str">
        <f>TRIM(CLEAN(Sheet1[[#This Row],[Category]]))</f>
        <v>Office Supplies</v>
      </c>
      <c r="F990">
        <v>6</v>
      </c>
      <c r="G990" t="str">
        <f t="shared" si="15"/>
        <v>2. Mid-Market (4-7 Units)</v>
      </c>
      <c r="H990">
        <v>6</v>
      </c>
      <c r="I990">
        <v>393.81</v>
      </c>
      <c r="J990">
        <f>IF(ISBLANK(I990), ROUND(I990/ABS(VALUE(_xlfn.TEXTBEFORE(F990&amp;" ", " "))), 2), ABS(VALUE(SUBSTITUTE(I990, "$", ""))))</f>
        <v>393.81</v>
      </c>
      <c r="K990">
        <f>ROUND(Sheet1[[#This Row],[CleanedUnits_sold]]*Sheet1[[#This Row],[Cleaned_Unit_Price]],2)</f>
        <v>2362.86</v>
      </c>
      <c r="L990">
        <v>2362.86</v>
      </c>
      <c r="M990" s="1" t="s">
        <v>1900</v>
      </c>
      <c r="N990" s="1" t="s">
        <v>14</v>
      </c>
      <c r="O990" s="1" t="s">
        <v>1900</v>
      </c>
    </row>
    <row r="991" spans="1:15" x14ac:dyDescent="0.35">
      <c r="A991" s="1" t="s">
        <v>1901</v>
      </c>
      <c r="B991" s="2">
        <v>44988</v>
      </c>
      <c r="C991" s="1" t="s">
        <v>19</v>
      </c>
      <c r="D991" s="1" t="s">
        <v>12</v>
      </c>
      <c r="E991" s="1" t="str">
        <f>TRIM(CLEAN(Sheet1[[#This Row],[Category]]))</f>
        <v>Office Supplies</v>
      </c>
      <c r="F991">
        <v>3</v>
      </c>
      <c r="G991" t="str">
        <f t="shared" si="15"/>
        <v>1. Retail (1-3 Units)</v>
      </c>
      <c r="H991">
        <v>3</v>
      </c>
      <c r="I991">
        <v>481.76</v>
      </c>
      <c r="J991">
        <f>IF(ISBLANK(I991), ROUND(I991/ABS(VALUE(_xlfn.TEXTBEFORE(F991&amp;" ", " "))), 2), ABS(VALUE(SUBSTITUTE(I991, "$", ""))))</f>
        <v>481.76</v>
      </c>
      <c r="K991">
        <f>ROUND(Sheet1[[#This Row],[CleanedUnits_sold]]*Sheet1[[#This Row],[Cleaned_Unit_Price]],2)</f>
        <v>1445.28</v>
      </c>
      <c r="L991">
        <v>1445.28</v>
      </c>
      <c r="M991" s="1" t="s">
        <v>1902</v>
      </c>
      <c r="N991" s="1" t="s">
        <v>38</v>
      </c>
      <c r="O991" s="1" t="s">
        <v>1902</v>
      </c>
    </row>
    <row r="992" spans="1:15" x14ac:dyDescent="0.35">
      <c r="A992" s="1" t="s">
        <v>1903</v>
      </c>
      <c r="B992" s="2">
        <v>45171</v>
      </c>
      <c r="C992" s="1" t="s">
        <v>16</v>
      </c>
      <c r="D992" s="1" t="s">
        <v>12</v>
      </c>
      <c r="E992" s="1" t="str">
        <f>TRIM(CLEAN(Sheet1[[#This Row],[Category]]))</f>
        <v>Office Supplies</v>
      </c>
      <c r="F992">
        <v>8</v>
      </c>
      <c r="G992" t="str">
        <f t="shared" si="15"/>
        <v>3. Wholesale / Bulk (8+ Units)</v>
      </c>
      <c r="H992">
        <v>8</v>
      </c>
      <c r="I992">
        <v>72.06</v>
      </c>
      <c r="J992">
        <f>IF(ISBLANK(I992), ROUND(I992/ABS(VALUE(_xlfn.TEXTBEFORE(F992&amp;" ", " "))), 2), ABS(VALUE(SUBSTITUTE(I992, "$", ""))))</f>
        <v>72.06</v>
      </c>
      <c r="K992">
        <f>ROUND(Sheet1[[#This Row],[CleanedUnits_sold]]*Sheet1[[#This Row],[Cleaned_Unit_Price]],2)</f>
        <v>576.48</v>
      </c>
      <c r="L992">
        <v>576.48</v>
      </c>
      <c r="M992" s="1" t="s">
        <v>1904</v>
      </c>
      <c r="N992" s="1" t="s">
        <v>14</v>
      </c>
      <c r="O992" s="1" t="s">
        <v>1904</v>
      </c>
    </row>
    <row r="993" spans="1:15" x14ac:dyDescent="0.35">
      <c r="A993" s="1" t="s">
        <v>1905</v>
      </c>
      <c r="B993" s="2">
        <v>44972</v>
      </c>
      <c r="C993" s="1" t="s">
        <v>11</v>
      </c>
      <c r="D993" s="1" t="s">
        <v>12</v>
      </c>
      <c r="E993" s="1" t="str">
        <f>TRIM(CLEAN(Sheet1[[#This Row],[Category]]))</f>
        <v>Office Supplies</v>
      </c>
      <c r="F993">
        <v>8</v>
      </c>
      <c r="G993" t="str">
        <f t="shared" si="15"/>
        <v>3. Wholesale / Bulk (8+ Units)</v>
      </c>
      <c r="H993">
        <v>8</v>
      </c>
      <c r="I993">
        <v>216.11</v>
      </c>
      <c r="J993">
        <f>IF(ISBLANK(I993), ROUND(I993/ABS(VALUE(_xlfn.TEXTBEFORE(F993&amp;" ", " "))), 2), ABS(VALUE(SUBSTITUTE(I993, "$", ""))))</f>
        <v>216.11</v>
      </c>
      <c r="K993">
        <f>ROUND(Sheet1[[#This Row],[CleanedUnits_sold]]*Sheet1[[#This Row],[Cleaned_Unit_Price]],2)</f>
        <v>1728.88</v>
      </c>
      <c r="M993" s="1" t="s">
        <v>1906</v>
      </c>
      <c r="N993" s="1" t="s">
        <v>26</v>
      </c>
      <c r="O993" s="1" t="s">
        <v>1906</v>
      </c>
    </row>
    <row r="994" spans="1:15" x14ac:dyDescent="0.35">
      <c r="A994" s="1" t="s">
        <v>1907</v>
      </c>
      <c r="B994" s="2">
        <v>45115</v>
      </c>
      <c r="C994" s="1" t="s">
        <v>58</v>
      </c>
      <c r="D994" s="1" t="s">
        <v>24</v>
      </c>
      <c r="E994" s="1" t="str">
        <f>TRIM(CLEAN(Sheet1[[#This Row],[Category]]))</f>
        <v>Electronics</v>
      </c>
      <c r="F994">
        <v>5</v>
      </c>
      <c r="G994" t="str">
        <f t="shared" si="15"/>
        <v>2. Mid-Market (4-7 Units)</v>
      </c>
      <c r="H994">
        <v>5</v>
      </c>
      <c r="I994">
        <v>245.66</v>
      </c>
      <c r="J994">
        <f>IF(ISBLANK(I994), ROUND(I994/ABS(VALUE(_xlfn.TEXTBEFORE(F994&amp;" ", " "))), 2), ABS(VALUE(SUBSTITUTE(I994, "$", ""))))</f>
        <v>245.66</v>
      </c>
      <c r="K994">
        <f>ROUND(Sheet1[[#This Row],[CleanedUnits_sold]]*Sheet1[[#This Row],[Cleaned_Unit_Price]],2)</f>
        <v>1228.3</v>
      </c>
      <c r="L994">
        <v>1549.02</v>
      </c>
      <c r="M994" s="1" t="s">
        <v>1908</v>
      </c>
      <c r="N994" s="1" t="s">
        <v>50</v>
      </c>
      <c r="O994" s="1" t="s">
        <v>1908</v>
      </c>
    </row>
    <row r="995" spans="1:15" x14ac:dyDescent="0.35">
      <c r="A995" s="1" t="s">
        <v>1909</v>
      </c>
      <c r="B995" s="2">
        <v>45202</v>
      </c>
      <c r="C995" s="1" t="s">
        <v>16</v>
      </c>
      <c r="D995" s="1" t="s">
        <v>32</v>
      </c>
      <c r="E995" s="1" t="str">
        <f>TRIM(CLEAN(Sheet1[[#This Row],[Category]]))</f>
        <v>Furniture</v>
      </c>
      <c r="F995">
        <v>4</v>
      </c>
      <c r="G995" t="str">
        <f t="shared" si="15"/>
        <v>2. Mid-Market (4-7 Units)</v>
      </c>
      <c r="H995">
        <v>4</v>
      </c>
      <c r="I995">
        <v>194.39</v>
      </c>
      <c r="J995">
        <f>IF(ISBLANK(I995), ROUND(I995/ABS(VALUE(_xlfn.TEXTBEFORE(F995&amp;" ", " "))), 2), ABS(VALUE(SUBSTITUTE(I995, "$", ""))))</f>
        <v>194.39</v>
      </c>
      <c r="K995">
        <f>ROUND(Sheet1[[#This Row],[CleanedUnits_sold]]*Sheet1[[#This Row],[Cleaned_Unit_Price]],2)</f>
        <v>777.56</v>
      </c>
      <c r="L995">
        <v>777.56</v>
      </c>
      <c r="M995" s="1" t="s">
        <v>1910</v>
      </c>
      <c r="N995" s="1" t="s">
        <v>14</v>
      </c>
      <c r="O995" s="1" t="s">
        <v>1910</v>
      </c>
    </row>
    <row r="996" spans="1:15" x14ac:dyDescent="0.35">
      <c r="A996" s="1" t="s">
        <v>1911</v>
      </c>
      <c r="B996" s="2">
        <v>1</v>
      </c>
      <c r="C996" s="1" t="s">
        <v>19</v>
      </c>
      <c r="D996" s="1" t="s">
        <v>12</v>
      </c>
      <c r="E996" s="1" t="str">
        <f>TRIM(CLEAN(Sheet1[[#This Row],[Category]]))</f>
        <v>Office Supplies</v>
      </c>
      <c r="F996">
        <v>2</v>
      </c>
      <c r="G996" t="str">
        <f t="shared" si="15"/>
        <v>1. Retail (1-3 Units)</v>
      </c>
      <c r="H996">
        <v>2</v>
      </c>
      <c r="I996">
        <v>187.96</v>
      </c>
      <c r="J996">
        <f>IF(ISBLANK(I996), ROUND(I996/ABS(VALUE(_xlfn.TEXTBEFORE(F996&amp;" ", " "))), 2), ABS(VALUE(SUBSTITUTE(I996, "$", ""))))</f>
        <v>187.96</v>
      </c>
      <c r="K996">
        <f>ROUND(Sheet1[[#This Row],[CleanedUnits_sold]]*Sheet1[[#This Row],[Cleaned_Unit_Price]],2)</f>
        <v>375.92</v>
      </c>
      <c r="L996">
        <v>375.92</v>
      </c>
      <c r="M996" s="1" t="s">
        <v>1912</v>
      </c>
      <c r="N996" s="1" t="s">
        <v>26</v>
      </c>
      <c r="O996" s="1" t="s">
        <v>1912</v>
      </c>
    </row>
    <row r="997" spans="1:15" x14ac:dyDescent="0.35">
      <c r="A997" s="1" t="s">
        <v>1913</v>
      </c>
      <c r="B997" s="2">
        <v>45180</v>
      </c>
      <c r="C997" s="1" t="s">
        <v>16</v>
      </c>
      <c r="D997" s="1" t="s">
        <v>24</v>
      </c>
      <c r="E997" s="1" t="str">
        <f>TRIM(CLEAN(Sheet1[[#This Row],[Category]]))</f>
        <v>Electronics</v>
      </c>
      <c r="F997">
        <v>6</v>
      </c>
      <c r="G997" t="str">
        <f t="shared" si="15"/>
        <v>2. Mid-Market (4-7 Units)</v>
      </c>
      <c r="H997">
        <v>6</v>
      </c>
      <c r="I997">
        <v>-195.94</v>
      </c>
      <c r="J997">
        <f>IF(ISBLANK(I997), ROUND(I997/ABS(VALUE(_xlfn.TEXTBEFORE(F997&amp;" ", " "))), 2), ABS(VALUE(SUBSTITUTE(I997, "$", ""))))</f>
        <v>195.94</v>
      </c>
      <c r="K997">
        <f>ROUND(Sheet1[[#This Row],[CleanedUnits_sold]]*Sheet1[[#This Row],[Cleaned_Unit_Price]],2)</f>
        <v>1175.6400000000001</v>
      </c>
      <c r="L997">
        <v>213.66</v>
      </c>
      <c r="M997" s="1" t="s">
        <v>1914</v>
      </c>
      <c r="N997" s="1" t="s">
        <v>38</v>
      </c>
      <c r="O997" s="1" t="s">
        <v>1914</v>
      </c>
    </row>
    <row r="998" spans="1:15" x14ac:dyDescent="0.35">
      <c r="A998" s="1" t="s">
        <v>1915</v>
      </c>
      <c r="B998" s="2">
        <v>1</v>
      </c>
      <c r="C998" s="1" t="s">
        <v>19</v>
      </c>
      <c r="D998" s="1" t="s">
        <v>46</v>
      </c>
      <c r="E998" s="1" t="str">
        <f>TRIM(CLEAN(Sheet1[[#This Row],[Category]]))</f>
        <v>Furniture</v>
      </c>
      <c r="F998">
        <v>5</v>
      </c>
      <c r="G998" t="str">
        <f t="shared" si="15"/>
        <v>2. Mid-Market (4-7 Units)</v>
      </c>
      <c r="H998">
        <v>5</v>
      </c>
      <c r="I998">
        <v>345.91</v>
      </c>
      <c r="J998">
        <f>IF(ISBLANK(I998), ROUND(I998/ABS(VALUE(_xlfn.TEXTBEFORE(F998&amp;" ", " "))), 2), ABS(VALUE(SUBSTITUTE(I998, "$", ""))))</f>
        <v>345.91</v>
      </c>
      <c r="K998">
        <f>ROUND(Sheet1[[#This Row],[CleanedUnits_sold]]*Sheet1[[#This Row],[Cleaned_Unit_Price]],2)</f>
        <v>1729.55</v>
      </c>
      <c r="L998">
        <v>1729.55</v>
      </c>
      <c r="M998" s="1" t="s">
        <v>1916</v>
      </c>
      <c r="N998" s="1" t="s">
        <v>26</v>
      </c>
      <c r="O998" s="1" t="s">
        <v>1916</v>
      </c>
    </row>
    <row r="999" spans="1:15" x14ac:dyDescent="0.35">
      <c r="A999" s="1" t="s">
        <v>1917</v>
      </c>
      <c r="B999" s="2">
        <v>45242</v>
      </c>
      <c r="C999" s="1" t="s">
        <v>16</v>
      </c>
      <c r="D999" s="1" t="s">
        <v>12</v>
      </c>
      <c r="E999" s="1" t="str">
        <f>TRIM(CLEAN(Sheet1[[#This Row],[Category]]))</f>
        <v>Office Supplies</v>
      </c>
      <c r="F999">
        <v>6</v>
      </c>
      <c r="G999" t="str">
        <f t="shared" si="15"/>
        <v>2. Mid-Market (4-7 Units)</v>
      </c>
      <c r="H999">
        <v>6</v>
      </c>
      <c r="I999">
        <v>223.75</v>
      </c>
      <c r="J999">
        <f>IF(ISBLANK(I999), ROUND(I999/ABS(VALUE(_xlfn.TEXTBEFORE(F999&amp;" ", " "))), 2), ABS(VALUE(SUBSTITUTE(I999, "$", ""))))</f>
        <v>223.75</v>
      </c>
      <c r="K999">
        <f>ROUND(Sheet1[[#This Row],[CleanedUnits_sold]]*Sheet1[[#This Row],[Cleaned_Unit_Price]],2)</f>
        <v>1342.5</v>
      </c>
      <c r="L999">
        <v>1342.5</v>
      </c>
      <c r="M999" s="1" t="s">
        <v>1918</v>
      </c>
      <c r="N999" s="1" t="s">
        <v>14</v>
      </c>
      <c r="O999" s="1" t="s">
        <v>1918</v>
      </c>
    </row>
    <row r="1000" spans="1:15" x14ac:dyDescent="0.35">
      <c r="A1000" s="1" t="s">
        <v>1919</v>
      </c>
      <c r="B1000" s="2">
        <v>44990</v>
      </c>
      <c r="C1000" s="1" t="s">
        <v>58</v>
      </c>
      <c r="D1000" s="1" t="s">
        <v>24</v>
      </c>
      <c r="E1000" s="1" t="str">
        <f>TRIM(CLEAN(Sheet1[[#This Row],[Category]]))</f>
        <v>Electronics</v>
      </c>
      <c r="F1000">
        <v>3</v>
      </c>
      <c r="G1000" t="str">
        <f t="shared" si="15"/>
        <v>1. Retail (1-3 Units)</v>
      </c>
      <c r="H1000">
        <v>3</v>
      </c>
      <c r="I1000">
        <v>409.86</v>
      </c>
      <c r="J1000">
        <f>IF(ISBLANK(I1000), ROUND(I1000/ABS(VALUE(_xlfn.TEXTBEFORE(F1000&amp;" ", " "))), 2), ABS(VALUE(SUBSTITUTE(I1000, "$", ""))))</f>
        <v>409.86</v>
      </c>
      <c r="K1000">
        <f>ROUND(Sheet1[[#This Row],[CleanedUnits_sold]]*Sheet1[[#This Row],[Cleaned_Unit_Price]],2)</f>
        <v>1229.58</v>
      </c>
      <c r="L1000">
        <v>1229.58</v>
      </c>
      <c r="M1000" s="1" t="s">
        <v>1920</v>
      </c>
      <c r="N1000" s="1" t="s">
        <v>50</v>
      </c>
      <c r="O1000" s="1" t="s">
        <v>1920</v>
      </c>
    </row>
    <row r="1001" spans="1:15" x14ac:dyDescent="0.35">
      <c r="A1001" s="1" t="s">
        <v>1921</v>
      </c>
      <c r="B1001" s="2">
        <v>45146</v>
      </c>
      <c r="C1001" s="1" t="s">
        <v>58</v>
      </c>
      <c r="D1001" s="1" t="s">
        <v>24</v>
      </c>
      <c r="E1001" s="1" t="str">
        <f>TRIM(CLEAN(Sheet1[[#This Row],[Category]]))</f>
        <v>Electronics</v>
      </c>
      <c r="F1001">
        <v>9</v>
      </c>
      <c r="G1001" t="str">
        <f t="shared" si="15"/>
        <v>3. Wholesale / Bulk (8+ Units)</v>
      </c>
      <c r="H1001">
        <v>9</v>
      </c>
      <c r="I1001">
        <v>403.25</v>
      </c>
      <c r="J1001">
        <f>IF(ISBLANK(I1001), ROUND(I1001/ABS(VALUE(_xlfn.TEXTBEFORE(F1001&amp;" ", " "))), 2), ABS(VALUE(SUBSTITUTE(I1001, "$", ""))))</f>
        <v>403.25</v>
      </c>
      <c r="K1001">
        <f>ROUND(Sheet1[[#This Row],[CleanedUnits_sold]]*Sheet1[[#This Row],[Cleaned_Unit_Price]],2)</f>
        <v>3629.25</v>
      </c>
      <c r="L1001">
        <v>3629.25</v>
      </c>
      <c r="M1001" s="1" t="s">
        <v>1922</v>
      </c>
      <c r="N1001" s="1" t="s">
        <v>26</v>
      </c>
      <c r="O1001" s="1" t="s">
        <v>1922</v>
      </c>
    </row>
    <row r="1002" spans="1:15" x14ac:dyDescent="0.35">
      <c r="A1002" s="1" t="s">
        <v>1923</v>
      </c>
      <c r="B1002" s="2">
        <v>45053</v>
      </c>
      <c r="C1002" s="1" t="s">
        <v>16</v>
      </c>
      <c r="D1002" s="1" t="s">
        <v>32</v>
      </c>
      <c r="E1002" s="1" t="str">
        <f>TRIM(CLEAN(Sheet1[[#This Row],[Category]]))</f>
        <v>Furniture</v>
      </c>
      <c r="F1002">
        <v>2</v>
      </c>
      <c r="G1002" t="str">
        <f t="shared" si="15"/>
        <v>1. Retail (1-3 Units)</v>
      </c>
      <c r="H1002">
        <v>2</v>
      </c>
      <c r="I1002">
        <v>248.33</v>
      </c>
      <c r="J1002">
        <f>IF(ISBLANK(I1002), ROUND(I1002/ABS(VALUE(_xlfn.TEXTBEFORE(F1002&amp;" ", " "))), 2), ABS(VALUE(SUBSTITUTE(I1002, "$", ""))))</f>
        <v>248.33</v>
      </c>
      <c r="K1002">
        <f>ROUND(Sheet1[[#This Row],[CleanedUnits_sold]]*Sheet1[[#This Row],[Cleaned_Unit_Price]],2)</f>
        <v>496.66</v>
      </c>
      <c r="L1002">
        <v>496.66</v>
      </c>
      <c r="M1002" s="1" t="s">
        <v>1924</v>
      </c>
      <c r="N1002" s="1" t="s">
        <v>14</v>
      </c>
      <c r="O1002" s="1" t="s">
        <v>1924</v>
      </c>
    </row>
    <row r="1003" spans="1:15" x14ac:dyDescent="0.35">
      <c r="A1003" s="1" t="s">
        <v>1925</v>
      </c>
      <c r="B1003" s="2">
        <v>45054</v>
      </c>
      <c r="C1003" s="1" t="s">
        <v>19</v>
      </c>
      <c r="D1003" s="1" t="s">
        <v>24</v>
      </c>
      <c r="E1003" s="1" t="str">
        <f>TRIM(CLEAN(Sheet1[[#This Row],[Category]]))</f>
        <v>Electronics</v>
      </c>
      <c r="F1003">
        <v>0</v>
      </c>
      <c r="G1003" t="str">
        <f t="shared" si="15"/>
        <v>Non-Billable / Zero</v>
      </c>
      <c r="H1003">
        <v>0</v>
      </c>
      <c r="I1003">
        <v>156.24</v>
      </c>
      <c r="J1003">
        <f>IF(ISBLANK(I1003), ROUND(I1003/ABS(VALUE(_xlfn.TEXTBEFORE(F1003&amp;" ", " "))), 2), ABS(VALUE(SUBSTITUTE(I1003, "$", ""))))</f>
        <v>156.24</v>
      </c>
      <c r="K1003">
        <f>ROUND(Sheet1[[#This Row],[CleanedUnits_sold]]*Sheet1[[#This Row],[Cleaned_Unit_Price]],2)</f>
        <v>0</v>
      </c>
      <c r="L1003">
        <v>0</v>
      </c>
      <c r="M1003" s="1" t="s">
        <v>1926</v>
      </c>
      <c r="N1003" s="1" t="s">
        <v>26</v>
      </c>
      <c r="O1003" s="1" t="s">
        <v>1926</v>
      </c>
    </row>
    <row r="1004" spans="1:15" x14ac:dyDescent="0.35">
      <c r="A1004" s="1" t="s">
        <v>1927</v>
      </c>
      <c r="B1004" s="2">
        <v>45280</v>
      </c>
      <c r="C1004" s="1" t="s">
        <v>23</v>
      </c>
      <c r="D1004" s="1" t="s">
        <v>12</v>
      </c>
      <c r="E1004" s="1" t="str">
        <f>TRIM(CLEAN(Sheet1[[#This Row],[Category]]))</f>
        <v>Office Supplies</v>
      </c>
      <c r="F1004">
        <v>6</v>
      </c>
      <c r="G1004" t="str">
        <f t="shared" si="15"/>
        <v>2. Mid-Market (4-7 Units)</v>
      </c>
      <c r="H1004">
        <v>6</v>
      </c>
      <c r="I1004">
        <v>322.67</v>
      </c>
      <c r="J1004">
        <f>IF(ISBLANK(I1004), ROUND(I1004/ABS(VALUE(_xlfn.TEXTBEFORE(F1004&amp;" ", " "))), 2), ABS(VALUE(SUBSTITUTE(I1004, "$", ""))))</f>
        <v>322.67</v>
      </c>
      <c r="K1004">
        <f>ROUND(Sheet1[[#This Row],[CleanedUnits_sold]]*Sheet1[[#This Row],[Cleaned_Unit_Price]],2)</f>
        <v>1936.02</v>
      </c>
      <c r="L1004">
        <v>1936.02</v>
      </c>
      <c r="M1004" s="1" t="s">
        <v>1928</v>
      </c>
      <c r="N1004" s="1" t="s">
        <v>14</v>
      </c>
      <c r="O1004" s="1" t="s">
        <v>1928</v>
      </c>
    </row>
    <row r="1005" spans="1:15" x14ac:dyDescent="0.35">
      <c r="A1005" s="1" t="s">
        <v>1929</v>
      </c>
      <c r="B1005" s="2">
        <v>45264</v>
      </c>
      <c r="C1005" s="1" t="s">
        <v>16</v>
      </c>
      <c r="D1005" s="1" t="s">
        <v>12</v>
      </c>
      <c r="E1005" s="1" t="str">
        <f>TRIM(CLEAN(Sheet1[[#This Row],[Category]]))</f>
        <v>Office Supplies</v>
      </c>
      <c r="F1005">
        <v>4</v>
      </c>
      <c r="G1005" t="str">
        <f t="shared" si="15"/>
        <v>2. Mid-Market (4-7 Units)</v>
      </c>
      <c r="H1005">
        <v>4</v>
      </c>
      <c r="I1005" t="s">
        <v>332</v>
      </c>
      <c r="J1005">
        <f>IF(ISBLANK(I1005), ROUND(I1005/ABS(VALUE(_xlfn.TEXTBEFORE(F1005&amp;" ", " "))), 2), ABS(VALUE(SUBSTITUTE(I1005, "$", ""))))</f>
        <v>250</v>
      </c>
      <c r="K1005">
        <f>ROUND(Sheet1[[#This Row],[CleanedUnits_sold]]*Sheet1[[#This Row],[Cleaned_Unit_Price]],2)</f>
        <v>1000</v>
      </c>
      <c r="L1005">
        <v>604.76</v>
      </c>
      <c r="M1005" s="1" t="s">
        <v>1930</v>
      </c>
      <c r="N1005" s="1" t="s">
        <v>26</v>
      </c>
      <c r="O1005" s="1" t="s">
        <v>1930</v>
      </c>
    </row>
    <row r="1006" spans="1:15" x14ac:dyDescent="0.35">
      <c r="A1006" s="1" t="s">
        <v>1931</v>
      </c>
      <c r="B1006" s="2">
        <v>45118</v>
      </c>
      <c r="C1006" s="1" t="s">
        <v>11</v>
      </c>
      <c r="D1006" s="1" t="s">
        <v>24</v>
      </c>
      <c r="E1006" s="1" t="str">
        <f>TRIM(CLEAN(Sheet1[[#This Row],[Category]]))</f>
        <v>Electronics</v>
      </c>
      <c r="F1006">
        <v>6</v>
      </c>
      <c r="G1006" t="str">
        <f t="shared" si="15"/>
        <v>2. Mid-Market (4-7 Units)</v>
      </c>
      <c r="H1006">
        <v>6</v>
      </c>
      <c r="I1006">
        <v>125.64</v>
      </c>
      <c r="J1006">
        <f>IF(ISBLANK(I1006), ROUND(I1006/ABS(VALUE(_xlfn.TEXTBEFORE(F1006&amp;" ", " "))), 2), ABS(VALUE(SUBSTITUTE(I1006, "$", ""))))</f>
        <v>125.64</v>
      </c>
      <c r="K1006">
        <f>ROUND(Sheet1[[#This Row],[CleanedUnits_sold]]*Sheet1[[#This Row],[Cleaned_Unit_Price]],2)</f>
        <v>753.84</v>
      </c>
      <c r="L1006">
        <v>753.84</v>
      </c>
      <c r="M1006" s="1" t="s">
        <v>1932</v>
      </c>
      <c r="N1006" s="1" t="s">
        <v>50</v>
      </c>
      <c r="O1006" s="1" t="s">
        <v>1932</v>
      </c>
    </row>
    <row r="1007" spans="1:15" x14ac:dyDescent="0.35">
      <c r="A1007" s="1" t="s">
        <v>1933</v>
      </c>
      <c r="B1007" s="2">
        <v>45078</v>
      </c>
      <c r="C1007" s="1" t="s">
        <v>19</v>
      </c>
      <c r="D1007" s="1" t="s">
        <v>12</v>
      </c>
      <c r="E1007" s="1" t="str">
        <f>TRIM(CLEAN(Sheet1[[#This Row],[Category]]))</f>
        <v>Office Supplies</v>
      </c>
      <c r="F1007">
        <v>4</v>
      </c>
      <c r="G1007" t="str">
        <f t="shared" si="15"/>
        <v>2. Mid-Market (4-7 Units)</v>
      </c>
      <c r="H1007">
        <v>4</v>
      </c>
      <c r="I1007">
        <v>367.95</v>
      </c>
      <c r="J1007">
        <f>IF(ISBLANK(I1007), ROUND(I1007/ABS(VALUE(_xlfn.TEXTBEFORE(F1007&amp;" ", " "))), 2), ABS(VALUE(SUBSTITUTE(I1007, "$", ""))))</f>
        <v>367.95</v>
      </c>
      <c r="K1007">
        <f>ROUND(Sheet1[[#This Row],[CleanedUnits_sold]]*Sheet1[[#This Row],[Cleaned_Unit_Price]],2)</f>
        <v>1471.8</v>
      </c>
      <c r="L1007">
        <v>1471.8</v>
      </c>
      <c r="M1007" s="1" t="s">
        <v>1934</v>
      </c>
      <c r="N1007" s="1" t="s">
        <v>14</v>
      </c>
      <c r="O1007" s="1" t="s">
        <v>1934</v>
      </c>
    </row>
    <row r="1008" spans="1:15" x14ac:dyDescent="0.35">
      <c r="A1008" s="1" t="s">
        <v>1935</v>
      </c>
      <c r="B1008" s="2">
        <v>45049</v>
      </c>
      <c r="C1008" s="1" t="s">
        <v>11</v>
      </c>
      <c r="D1008" s="1" t="s">
        <v>24</v>
      </c>
      <c r="E1008" s="1" t="str">
        <f>TRIM(CLEAN(Sheet1[[#This Row],[Category]]))</f>
        <v>Electronics</v>
      </c>
      <c r="F1008">
        <v>5</v>
      </c>
      <c r="G1008" t="str">
        <f t="shared" si="15"/>
        <v>2. Mid-Market (4-7 Units)</v>
      </c>
      <c r="H1008">
        <v>5</v>
      </c>
      <c r="I1008">
        <v>29.76</v>
      </c>
      <c r="J1008">
        <f>IF(ISBLANK(I1008), ROUND(I1008/ABS(VALUE(_xlfn.TEXTBEFORE(F1008&amp;" ", " "))), 2), ABS(VALUE(SUBSTITUTE(I1008, "$", ""))))</f>
        <v>29.76</v>
      </c>
      <c r="K1008">
        <f>ROUND(Sheet1[[#This Row],[CleanedUnits_sold]]*Sheet1[[#This Row],[Cleaned_Unit_Price]],2)</f>
        <v>148.80000000000001</v>
      </c>
      <c r="L1008">
        <v>148.80000000000001</v>
      </c>
      <c r="M1008" s="1" t="s">
        <v>1936</v>
      </c>
      <c r="N1008" s="1" t="s">
        <v>50</v>
      </c>
      <c r="O1008" s="1" t="s">
        <v>1936</v>
      </c>
    </row>
    <row r="1009" spans="1:15" x14ac:dyDescent="0.35">
      <c r="A1009" s="1" t="s">
        <v>1937</v>
      </c>
      <c r="B1009" s="2">
        <v>45050</v>
      </c>
      <c r="C1009" s="1" t="s">
        <v>16</v>
      </c>
      <c r="D1009" s="1" t="s">
        <v>24</v>
      </c>
      <c r="E1009" s="1" t="str">
        <f>TRIM(CLEAN(Sheet1[[#This Row],[Category]]))</f>
        <v>Electronics</v>
      </c>
      <c r="F1009">
        <v>2</v>
      </c>
      <c r="G1009" t="str">
        <f t="shared" si="15"/>
        <v>1. Retail (1-3 Units)</v>
      </c>
      <c r="H1009">
        <v>2</v>
      </c>
      <c r="I1009">
        <v>56.44</v>
      </c>
      <c r="J1009">
        <f>IF(ISBLANK(I1009), ROUND(I1009/ABS(VALUE(_xlfn.TEXTBEFORE(F1009&amp;" ", " "))), 2), ABS(VALUE(SUBSTITUTE(I1009, "$", ""))))</f>
        <v>56.44</v>
      </c>
      <c r="K1009">
        <f>ROUND(Sheet1[[#This Row],[CleanedUnits_sold]]*Sheet1[[#This Row],[Cleaned_Unit_Price]],2)</f>
        <v>112.88</v>
      </c>
      <c r="L1009">
        <v>112.88</v>
      </c>
      <c r="M1009" s="1" t="s">
        <v>1938</v>
      </c>
      <c r="N1009" s="1" t="s">
        <v>26</v>
      </c>
      <c r="O1009" s="1" t="s">
        <v>1938</v>
      </c>
    </row>
    <row r="1010" spans="1:15" x14ac:dyDescent="0.35">
      <c r="A1010" s="1" t="s">
        <v>1939</v>
      </c>
      <c r="B1010" s="2">
        <v>44963</v>
      </c>
      <c r="C1010" s="1" t="s">
        <v>11</v>
      </c>
      <c r="D1010" s="1" t="s">
        <v>32</v>
      </c>
      <c r="E1010" s="1" t="str">
        <f>TRIM(CLEAN(Sheet1[[#This Row],[Category]]))</f>
        <v>Furniture</v>
      </c>
      <c r="F1010">
        <v>5</v>
      </c>
      <c r="G1010" t="str">
        <f t="shared" si="15"/>
        <v>2. Mid-Market (4-7 Units)</v>
      </c>
      <c r="H1010">
        <v>5</v>
      </c>
      <c r="I1010">
        <v>13.33</v>
      </c>
      <c r="J1010">
        <f>IF(ISBLANK(I1010), ROUND(I1010/ABS(VALUE(_xlfn.TEXTBEFORE(F1010&amp;" ", " "))), 2), ABS(VALUE(SUBSTITUTE(I1010, "$", ""))))</f>
        <v>13.33</v>
      </c>
      <c r="K1010">
        <f>ROUND(Sheet1[[#This Row],[CleanedUnits_sold]]*Sheet1[[#This Row],[Cleaned_Unit_Price]],2)</f>
        <v>66.650000000000006</v>
      </c>
      <c r="L1010">
        <v>66.650000000000006</v>
      </c>
      <c r="M1010" s="1" t="s">
        <v>1940</v>
      </c>
      <c r="N1010" s="1" t="s">
        <v>50</v>
      </c>
      <c r="O1010" s="1" t="s">
        <v>1940</v>
      </c>
    </row>
    <row r="1011" spans="1:15" x14ac:dyDescent="0.35">
      <c r="A1011" s="1" t="s">
        <v>1941</v>
      </c>
      <c r="B1011" s="2">
        <v>45266</v>
      </c>
      <c r="C1011" s="1" t="s">
        <v>23</v>
      </c>
      <c r="D1011" s="1" t="s">
        <v>12</v>
      </c>
      <c r="E1011" s="1" t="str">
        <f>TRIM(CLEAN(Sheet1[[#This Row],[Category]]))</f>
        <v>Office Supplies</v>
      </c>
      <c r="F1011">
        <v>4</v>
      </c>
      <c r="G1011" t="str">
        <f t="shared" si="15"/>
        <v>2. Mid-Market (4-7 Units)</v>
      </c>
      <c r="H1011">
        <v>4</v>
      </c>
      <c r="I1011">
        <v>84.94</v>
      </c>
      <c r="J1011">
        <f>IF(ISBLANK(I1011), ROUND(I1011/ABS(VALUE(_xlfn.TEXTBEFORE(F1011&amp;" ", " "))), 2), ABS(VALUE(SUBSTITUTE(I1011, "$", ""))))</f>
        <v>84.94</v>
      </c>
      <c r="K1011">
        <f>ROUND(Sheet1[[#This Row],[CleanedUnits_sold]]*Sheet1[[#This Row],[Cleaned_Unit_Price]],2)</f>
        <v>339.76</v>
      </c>
      <c r="L1011">
        <v>339.76</v>
      </c>
      <c r="M1011" s="1"/>
      <c r="N1011" s="1" t="s">
        <v>50</v>
      </c>
      <c r="O1011" s="1" t="s">
        <v>131</v>
      </c>
    </row>
    <row r="1012" spans="1:15" x14ac:dyDescent="0.35">
      <c r="A1012" s="1" t="s">
        <v>1942</v>
      </c>
      <c r="B1012" s="2">
        <v>45218</v>
      </c>
      <c r="C1012" s="1" t="s">
        <v>11</v>
      </c>
      <c r="D1012" s="1" t="s">
        <v>24</v>
      </c>
      <c r="E1012" s="1" t="str">
        <f>TRIM(CLEAN(Sheet1[[#This Row],[Category]]))</f>
        <v>Electronics</v>
      </c>
      <c r="F1012">
        <v>-1</v>
      </c>
      <c r="G1012" t="str">
        <f t="shared" si="15"/>
        <v>1. Retail (1-3 Units)</v>
      </c>
      <c r="H1012">
        <v>1</v>
      </c>
      <c r="I1012">
        <v>43.81</v>
      </c>
      <c r="J1012">
        <f>IF(ISBLANK(I1012), ROUND(I1012/ABS(VALUE(_xlfn.TEXTBEFORE(F1012&amp;" ", " "))), 2), ABS(VALUE(SUBSTITUTE(I1012, "$", ""))))</f>
        <v>43.81</v>
      </c>
      <c r="K1012">
        <f>ROUND(Sheet1[[#This Row],[CleanedUnits_sold]]*Sheet1[[#This Row],[Cleaned_Unit_Price]],2)</f>
        <v>43.81</v>
      </c>
      <c r="L1012">
        <v>131.43</v>
      </c>
      <c r="M1012" s="1" t="s">
        <v>1943</v>
      </c>
      <c r="N1012" s="1" t="s">
        <v>14</v>
      </c>
      <c r="O1012" s="1" t="s">
        <v>1943</v>
      </c>
    </row>
    <row r="1013" spans="1:15" x14ac:dyDescent="0.35">
      <c r="A1013" s="1" t="s">
        <v>1944</v>
      </c>
      <c r="B1013" s="2">
        <v>1</v>
      </c>
      <c r="C1013" s="1" t="s">
        <v>16</v>
      </c>
      <c r="D1013" s="1" t="s">
        <v>32</v>
      </c>
      <c r="E1013" s="1" t="str">
        <f>TRIM(CLEAN(Sheet1[[#This Row],[Category]]))</f>
        <v>Furniture</v>
      </c>
      <c r="F1013">
        <v>5</v>
      </c>
      <c r="G1013" t="str">
        <f t="shared" si="15"/>
        <v>2. Mid-Market (4-7 Units)</v>
      </c>
      <c r="H1013">
        <v>5</v>
      </c>
      <c r="I1013">
        <v>497.94</v>
      </c>
      <c r="J1013">
        <f>IF(ISBLANK(I1013), ROUND(I1013/ABS(VALUE(_xlfn.TEXTBEFORE(F1013&amp;" ", " "))), 2), ABS(VALUE(SUBSTITUTE(I1013, "$", ""))))</f>
        <v>497.94</v>
      </c>
      <c r="K1013">
        <f>ROUND(Sheet1[[#This Row],[CleanedUnits_sold]]*Sheet1[[#This Row],[Cleaned_Unit_Price]],2)</f>
        <v>2489.6999999999998</v>
      </c>
      <c r="M1013" s="1" t="s">
        <v>1945</v>
      </c>
      <c r="N1013" s="1" t="s">
        <v>14</v>
      </c>
      <c r="O1013" s="1" t="s">
        <v>1945</v>
      </c>
    </row>
    <row r="1014" spans="1:15" x14ac:dyDescent="0.35">
      <c r="A1014" s="1" t="s">
        <v>1946</v>
      </c>
      <c r="B1014" s="2">
        <v>44964</v>
      </c>
      <c r="C1014" s="1" t="s">
        <v>11</v>
      </c>
      <c r="D1014" s="1" t="s">
        <v>12</v>
      </c>
      <c r="E1014" s="1" t="str">
        <f>TRIM(CLEAN(Sheet1[[#This Row],[Category]]))</f>
        <v>Office Supplies</v>
      </c>
      <c r="F1014">
        <v>3</v>
      </c>
      <c r="G1014" t="str">
        <f t="shared" si="15"/>
        <v>1. Retail (1-3 Units)</v>
      </c>
      <c r="H1014">
        <v>3</v>
      </c>
      <c r="I1014">
        <v>151.52000000000001</v>
      </c>
      <c r="J1014">
        <f>IF(ISBLANK(I1014), ROUND(I1014/ABS(VALUE(_xlfn.TEXTBEFORE(F1014&amp;" ", " "))), 2), ABS(VALUE(SUBSTITUTE(I1014, "$", ""))))</f>
        <v>151.52000000000001</v>
      </c>
      <c r="K1014">
        <f>ROUND(Sheet1[[#This Row],[CleanedUnits_sold]]*Sheet1[[#This Row],[Cleaned_Unit_Price]],2)</f>
        <v>454.56</v>
      </c>
      <c r="M1014" s="1" t="s">
        <v>1947</v>
      </c>
      <c r="N1014" s="1" t="s">
        <v>14</v>
      </c>
      <c r="O1014" s="1" t="s">
        <v>1947</v>
      </c>
    </row>
    <row r="1015" spans="1:15" x14ac:dyDescent="0.35">
      <c r="A1015" s="1" t="s">
        <v>1948</v>
      </c>
      <c r="B1015" s="2">
        <v>44934</v>
      </c>
      <c r="C1015" s="1" t="s">
        <v>19</v>
      </c>
      <c r="D1015" s="1" t="s">
        <v>24</v>
      </c>
      <c r="E1015" s="1" t="str">
        <f>TRIM(CLEAN(Sheet1[[#This Row],[Category]]))</f>
        <v>Electronics</v>
      </c>
      <c r="F1015">
        <v>3</v>
      </c>
      <c r="G1015" t="str">
        <f t="shared" si="15"/>
        <v>1. Retail (1-3 Units)</v>
      </c>
      <c r="H1015">
        <v>3</v>
      </c>
      <c r="I1015">
        <v>83.14</v>
      </c>
      <c r="J1015">
        <f>IF(ISBLANK(I1015), ROUND(I1015/ABS(VALUE(_xlfn.TEXTBEFORE(F1015&amp;" ", " "))), 2), ABS(VALUE(SUBSTITUTE(I1015, "$", ""))))</f>
        <v>83.14</v>
      </c>
      <c r="K1015">
        <f>ROUND(Sheet1[[#This Row],[CleanedUnits_sold]]*Sheet1[[#This Row],[Cleaned_Unit_Price]],2)</f>
        <v>249.42</v>
      </c>
      <c r="L1015">
        <v>249.42</v>
      </c>
      <c r="M1015" s="1" t="s">
        <v>1949</v>
      </c>
      <c r="N1015" s="1" t="s">
        <v>26</v>
      </c>
      <c r="O1015" s="1" t="s">
        <v>1949</v>
      </c>
    </row>
    <row r="1016" spans="1:15" x14ac:dyDescent="0.35">
      <c r="A1016" s="1" t="s">
        <v>1950</v>
      </c>
      <c r="B1016" s="2">
        <v>44957</v>
      </c>
      <c r="C1016" s="1" t="s">
        <v>23</v>
      </c>
      <c r="D1016" s="1" t="s">
        <v>12</v>
      </c>
      <c r="E1016" s="1" t="str">
        <f>TRIM(CLEAN(Sheet1[[#This Row],[Category]]))</f>
        <v>Office Supplies</v>
      </c>
      <c r="F1016">
        <v>4</v>
      </c>
      <c r="G1016" t="str">
        <f t="shared" si="15"/>
        <v>2. Mid-Market (4-7 Units)</v>
      </c>
      <c r="H1016">
        <v>4</v>
      </c>
      <c r="I1016">
        <v>128.09</v>
      </c>
      <c r="J1016">
        <f>IF(ISBLANK(I1016), ROUND(I1016/ABS(VALUE(_xlfn.TEXTBEFORE(F1016&amp;" ", " "))), 2), ABS(VALUE(SUBSTITUTE(I1016, "$", ""))))</f>
        <v>128.09</v>
      </c>
      <c r="K1016">
        <f>ROUND(Sheet1[[#This Row],[CleanedUnits_sold]]*Sheet1[[#This Row],[Cleaned_Unit_Price]],2)</f>
        <v>512.36</v>
      </c>
      <c r="L1016">
        <v>512.36</v>
      </c>
      <c r="M1016" s="1" t="s">
        <v>1951</v>
      </c>
      <c r="N1016" s="1" t="s">
        <v>26</v>
      </c>
      <c r="O1016" s="1" t="s">
        <v>1951</v>
      </c>
    </row>
    <row r="1017" spans="1:15" x14ac:dyDescent="0.35">
      <c r="A1017" s="1" t="s">
        <v>1952</v>
      </c>
      <c r="B1017" s="2">
        <v>45248</v>
      </c>
      <c r="C1017" s="1" t="s">
        <v>23</v>
      </c>
      <c r="D1017" s="1" t="s">
        <v>46</v>
      </c>
      <c r="E1017" s="1" t="str">
        <f>TRIM(CLEAN(Sheet1[[#This Row],[Category]]))</f>
        <v>Furniture</v>
      </c>
      <c r="F1017">
        <v>8</v>
      </c>
      <c r="G1017" t="str">
        <f t="shared" si="15"/>
        <v>3. Wholesale / Bulk (8+ Units)</v>
      </c>
      <c r="H1017">
        <v>8</v>
      </c>
      <c r="I1017">
        <v>468.7</v>
      </c>
      <c r="J1017">
        <f>IF(ISBLANK(I1017), ROUND(I1017/ABS(VALUE(_xlfn.TEXTBEFORE(F1017&amp;" ", " "))), 2), ABS(VALUE(SUBSTITUTE(I1017, "$", ""))))</f>
        <v>468.7</v>
      </c>
      <c r="K1017">
        <f>ROUND(Sheet1[[#This Row],[CleanedUnits_sold]]*Sheet1[[#This Row],[Cleaned_Unit_Price]],2)</f>
        <v>3749.6</v>
      </c>
      <c r="L1017">
        <v>3749.6</v>
      </c>
      <c r="M1017" s="1" t="s">
        <v>1953</v>
      </c>
      <c r="N1017" s="1" t="s">
        <v>50</v>
      </c>
      <c r="O1017" s="1" t="s">
        <v>1953</v>
      </c>
    </row>
    <row r="1018" spans="1:15" x14ac:dyDescent="0.35">
      <c r="A1018" s="1" t="s">
        <v>1954</v>
      </c>
      <c r="B1018" s="2">
        <v>45132</v>
      </c>
      <c r="C1018" s="1" t="s">
        <v>19</v>
      </c>
      <c r="D1018" s="1" t="s">
        <v>12</v>
      </c>
      <c r="E1018" s="1" t="str">
        <f>TRIM(CLEAN(Sheet1[[#This Row],[Category]]))</f>
        <v>Office Supplies</v>
      </c>
      <c r="F1018">
        <v>5</v>
      </c>
      <c r="G1018" t="str">
        <f t="shared" si="15"/>
        <v>2. Mid-Market (4-7 Units)</v>
      </c>
      <c r="H1018">
        <v>5</v>
      </c>
      <c r="I1018">
        <v>264.88</v>
      </c>
      <c r="J1018">
        <f>IF(ISBLANK(I1018), ROUND(I1018/ABS(VALUE(_xlfn.TEXTBEFORE(F1018&amp;" ", " "))), 2), ABS(VALUE(SUBSTITUTE(I1018, "$", ""))))</f>
        <v>264.88</v>
      </c>
      <c r="K1018">
        <f>ROUND(Sheet1[[#This Row],[CleanedUnits_sold]]*Sheet1[[#This Row],[Cleaned_Unit_Price]],2)</f>
        <v>1324.4</v>
      </c>
      <c r="L1018">
        <v>1324.4</v>
      </c>
      <c r="M1018" s="1" t="s">
        <v>1955</v>
      </c>
      <c r="N1018" s="1" t="s">
        <v>26</v>
      </c>
      <c r="O1018" s="1" t="s">
        <v>1955</v>
      </c>
    </row>
    <row r="1019" spans="1:15" x14ac:dyDescent="0.35">
      <c r="A1019" s="1" t="s">
        <v>1956</v>
      </c>
      <c r="B1019" s="2">
        <v>44995</v>
      </c>
      <c r="C1019" s="1" t="s">
        <v>19</v>
      </c>
      <c r="D1019" s="1" t="s">
        <v>12</v>
      </c>
      <c r="E1019" s="1" t="str">
        <f>TRIM(CLEAN(Sheet1[[#This Row],[Category]]))</f>
        <v>Office Supplies</v>
      </c>
      <c r="F1019">
        <v>4</v>
      </c>
      <c r="G1019" t="str">
        <f t="shared" si="15"/>
        <v>2. Mid-Market (4-7 Units)</v>
      </c>
      <c r="H1019">
        <v>4</v>
      </c>
      <c r="I1019" t="s">
        <v>332</v>
      </c>
      <c r="J1019">
        <f>IF(ISBLANK(I1019), ROUND(I1019/ABS(VALUE(_xlfn.TEXTBEFORE(F1019&amp;" ", " "))), 2), ABS(VALUE(SUBSTITUTE(I1019, "$", ""))))</f>
        <v>250</v>
      </c>
      <c r="K1019">
        <f>ROUND(Sheet1[[#This Row],[CleanedUnits_sold]]*Sheet1[[#This Row],[Cleaned_Unit_Price]],2)</f>
        <v>1000</v>
      </c>
      <c r="L1019">
        <v>755.04</v>
      </c>
      <c r="M1019" s="1" t="s">
        <v>1957</v>
      </c>
      <c r="N1019" s="1" t="s">
        <v>26</v>
      </c>
      <c r="O1019" s="1" t="s">
        <v>1957</v>
      </c>
    </row>
    <row r="1020" spans="1:15" x14ac:dyDescent="0.35">
      <c r="A1020" s="1" t="s">
        <v>1958</v>
      </c>
      <c r="B1020" s="2">
        <v>1</v>
      </c>
      <c r="C1020" s="1" t="s">
        <v>16</v>
      </c>
      <c r="D1020" s="1" t="s">
        <v>46</v>
      </c>
      <c r="E1020" s="1" t="str">
        <f>TRIM(CLEAN(Sheet1[[#This Row],[Category]]))</f>
        <v>Furniture</v>
      </c>
      <c r="F1020">
        <v>4</v>
      </c>
      <c r="G1020" t="str">
        <f t="shared" si="15"/>
        <v>2. Mid-Market (4-7 Units)</v>
      </c>
      <c r="H1020">
        <v>4</v>
      </c>
      <c r="I1020">
        <v>203.55</v>
      </c>
      <c r="J1020">
        <f>IF(ISBLANK(I1020), ROUND(I1020/ABS(VALUE(_xlfn.TEXTBEFORE(F1020&amp;" ", " "))), 2), ABS(VALUE(SUBSTITUTE(I1020, "$", ""))))</f>
        <v>203.55</v>
      </c>
      <c r="K1020">
        <f>ROUND(Sheet1[[#This Row],[CleanedUnits_sold]]*Sheet1[[#This Row],[Cleaned_Unit_Price]],2)</f>
        <v>814.2</v>
      </c>
      <c r="L1020">
        <v>814.2</v>
      </c>
      <c r="M1020" s="1" t="s">
        <v>1959</v>
      </c>
      <c r="N1020" s="1" t="s">
        <v>50</v>
      </c>
      <c r="O1020" s="1" t="s">
        <v>1959</v>
      </c>
    </row>
    <row r="1021" spans="1:15" x14ac:dyDescent="0.35">
      <c r="A1021" s="1" t="s">
        <v>1960</v>
      </c>
      <c r="B1021" s="2">
        <v>45127</v>
      </c>
      <c r="C1021" s="1" t="s">
        <v>23</v>
      </c>
      <c r="D1021" s="1" t="s">
        <v>32</v>
      </c>
      <c r="E1021" s="1" t="str">
        <f>TRIM(CLEAN(Sheet1[[#This Row],[Category]]))</f>
        <v>Furniture</v>
      </c>
      <c r="F1021">
        <v>4</v>
      </c>
      <c r="G1021" t="str">
        <f t="shared" si="15"/>
        <v>2. Mid-Market (4-7 Units)</v>
      </c>
      <c r="H1021">
        <v>4</v>
      </c>
      <c r="I1021">
        <v>174.15</v>
      </c>
      <c r="J1021">
        <f>IF(ISBLANK(I1021), ROUND(I1021/ABS(VALUE(_xlfn.TEXTBEFORE(F1021&amp;" ", " "))), 2), ABS(VALUE(SUBSTITUTE(I1021, "$", ""))))</f>
        <v>174.15</v>
      </c>
      <c r="K1021">
        <f>ROUND(Sheet1[[#This Row],[CleanedUnits_sold]]*Sheet1[[#This Row],[Cleaned_Unit_Price]],2)</f>
        <v>696.6</v>
      </c>
      <c r="L1021">
        <v>696.6</v>
      </c>
      <c r="M1021" s="1" t="s">
        <v>1961</v>
      </c>
      <c r="N1021" s="1" t="s">
        <v>14</v>
      </c>
      <c r="O1021" s="1" t="s">
        <v>1961</v>
      </c>
    </row>
    <row r="1022" spans="1:15" x14ac:dyDescent="0.35">
      <c r="A1022" s="1" t="s">
        <v>1962</v>
      </c>
      <c r="B1022" s="2">
        <v>45268</v>
      </c>
      <c r="C1022" s="1" t="s">
        <v>16</v>
      </c>
      <c r="D1022" s="1" t="s">
        <v>24</v>
      </c>
      <c r="E1022" s="1" t="str">
        <f>TRIM(CLEAN(Sheet1[[#This Row],[Category]]))</f>
        <v>Electronics</v>
      </c>
      <c r="F1022">
        <v>7</v>
      </c>
      <c r="G1022" t="str">
        <f t="shared" si="15"/>
        <v>2. Mid-Market (4-7 Units)</v>
      </c>
      <c r="H1022">
        <v>7</v>
      </c>
      <c r="I1022">
        <v>111.57</v>
      </c>
      <c r="J1022">
        <f>IF(ISBLANK(I1022), ROUND(I1022/ABS(VALUE(_xlfn.TEXTBEFORE(F1022&amp;" ", " "))), 2), ABS(VALUE(SUBSTITUTE(I1022, "$", ""))))</f>
        <v>111.57</v>
      </c>
      <c r="K1022">
        <f>ROUND(Sheet1[[#This Row],[CleanedUnits_sold]]*Sheet1[[#This Row],[Cleaned_Unit_Price]],2)</f>
        <v>780.99</v>
      </c>
      <c r="L1022">
        <v>780.99</v>
      </c>
      <c r="M1022" s="1" t="s">
        <v>1963</v>
      </c>
      <c r="N1022" s="1" t="s">
        <v>50</v>
      </c>
      <c r="O1022" s="1" t="s">
        <v>1963</v>
      </c>
    </row>
    <row r="1023" spans="1:15" x14ac:dyDescent="0.35">
      <c r="A1023" s="1" t="s">
        <v>1964</v>
      </c>
      <c r="B1023" s="2">
        <v>1</v>
      </c>
      <c r="C1023" s="1" t="s">
        <v>19</v>
      </c>
      <c r="D1023" s="1" t="s">
        <v>24</v>
      </c>
      <c r="E1023" s="1" t="str">
        <f>TRIM(CLEAN(Sheet1[[#This Row],[Category]]))</f>
        <v>Electronics</v>
      </c>
      <c r="F1023">
        <v>8</v>
      </c>
      <c r="G1023" t="str">
        <f t="shared" si="15"/>
        <v>3. Wholesale / Bulk (8+ Units)</v>
      </c>
      <c r="H1023">
        <v>8</v>
      </c>
      <c r="I1023">
        <v>195.12</v>
      </c>
      <c r="J1023">
        <f>IF(ISBLANK(I1023), ROUND(I1023/ABS(VALUE(_xlfn.TEXTBEFORE(F1023&amp;" ", " "))), 2), ABS(VALUE(SUBSTITUTE(I1023, "$", ""))))</f>
        <v>195.12</v>
      </c>
      <c r="K1023">
        <f>ROUND(Sheet1[[#This Row],[CleanedUnits_sold]]*Sheet1[[#This Row],[Cleaned_Unit_Price]],2)</f>
        <v>1560.96</v>
      </c>
      <c r="L1023">
        <v>1560.96</v>
      </c>
      <c r="M1023" s="1" t="s">
        <v>1965</v>
      </c>
      <c r="N1023" s="1" t="s">
        <v>50</v>
      </c>
      <c r="O1023" s="1" t="s">
        <v>1965</v>
      </c>
    </row>
    <row r="1024" spans="1:15" x14ac:dyDescent="0.35">
      <c r="A1024" s="1" t="s">
        <v>1966</v>
      </c>
      <c r="B1024" s="2">
        <v>1</v>
      </c>
      <c r="C1024" s="1" t="s">
        <v>11</v>
      </c>
      <c r="D1024" s="1" t="s">
        <v>12</v>
      </c>
      <c r="E1024" s="1" t="str">
        <f>TRIM(CLEAN(Sheet1[[#This Row],[Category]]))</f>
        <v>Office Supplies</v>
      </c>
      <c r="F1024">
        <v>7</v>
      </c>
      <c r="G1024" t="str">
        <f t="shared" si="15"/>
        <v>2. Mid-Market (4-7 Units)</v>
      </c>
      <c r="H1024">
        <v>7</v>
      </c>
      <c r="I1024">
        <v>165.18</v>
      </c>
      <c r="J1024">
        <f>IF(ISBLANK(I1024), ROUND(I1024/ABS(VALUE(_xlfn.TEXTBEFORE(F1024&amp;" ", " "))), 2), ABS(VALUE(SUBSTITUTE(I1024, "$", ""))))</f>
        <v>165.18</v>
      </c>
      <c r="K1024">
        <f>ROUND(Sheet1[[#This Row],[CleanedUnits_sold]]*Sheet1[[#This Row],[Cleaned_Unit_Price]],2)</f>
        <v>1156.26</v>
      </c>
      <c r="L1024">
        <v>1156.26</v>
      </c>
      <c r="M1024" s="1" t="s">
        <v>1967</v>
      </c>
      <c r="N1024" s="1" t="s">
        <v>50</v>
      </c>
      <c r="O1024" s="1" t="s">
        <v>1967</v>
      </c>
    </row>
    <row r="1025" spans="1:15" x14ac:dyDescent="0.35">
      <c r="A1025" s="1" t="s">
        <v>1968</v>
      </c>
      <c r="B1025" s="2">
        <v>45159</v>
      </c>
      <c r="C1025" s="1" t="s">
        <v>11</v>
      </c>
      <c r="D1025" s="1" t="s">
        <v>24</v>
      </c>
      <c r="E1025" s="1" t="str">
        <f>TRIM(CLEAN(Sheet1[[#This Row],[Category]]))</f>
        <v>Electronics</v>
      </c>
      <c r="F1025">
        <v>3</v>
      </c>
      <c r="G1025" t="str">
        <f t="shared" si="15"/>
        <v>1. Retail (1-3 Units)</v>
      </c>
      <c r="H1025">
        <v>3</v>
      </c>
      <c r="I1025">
        <v>341.88</v>
      </c>
      <c r="J1025">
        <f>IF(ISBLANK(I1025), ROUND(I1025/ABS(VALUE(_xlfn.TEXTBEFORE(F1025&amp;" ", " "))), 2), ABS(VALUE(SUBSTITUTE(I1025, "$", ""))))</f>
        <v>341.88</v>
      </c>
      <c r="K1025">
        <f>ROUND(Sheet1[[#This Row],[CleanedUnits_sold]]*Sheet1[[#This Row],[Cleaned_Unit_Price]],2)</f>
        <v>1025.6400000000001</v>
      </c>
      <c r="L1025">
        <v>1025.6400000000001</v>
      </c>
      <c r="M1025" s="1" t="s">
        <v>1969</v>
      </c>
      <c r="N1025" s="1" t="s">
        <v>26</v>
      </c>
      <c r="O1025" s="1" t="s">
        <v>1969</v>
      </c>
    </row>
    <row r="1026" spans="1:15" x14ac:dyDescent="0.35">
      <c r="A1026" s="1" t="s">
        <v>1970</v>
      </c>
      <c r="B1026" s="2">
        <v>44997</v>
      </c>
      <c r="C1026" s="1" t="s">
        <v>58</v>
      </c>
      <c r="D1026" s="1" t="s">
        <v>46</v>
      </c>
      <c r="E1026" s="1" t="str">
        <f>TRIM(CLEAN(Sheet1[[#This Row],[Category]]))</f>
        <v>Furniture</v>
      </c>
      <c r="F1026">
        <v>6</v>
      </c>
      <c r="G1026" t="str">
        <f t="shared" ref="G1026:G1089" si="16">IF(H1026=0, "Non-Billable / Zero", IF(H1026&lt;=3, "1. Retail (1-3 Units)", IF(H1026&lt;=7, "2. Mid-Market (4-7 Units)", "3. Wholesale / Bulk (8+ Units)")))</f>
        <v>2. Mid-Market (4-7 Units)</v>
      </c>
      <c r="H1026">
        <v>6</v>
      </c>
      <c r="I1026">
        <v>151.9</v>
      </c>
      <c r="J1026">
        <f>IF(ISBLANK(I1026), ROUND(I1026/ABS(VALUE(_xlfn.TEXTBEFORE(F1026&amp;" ", " "))), 2), ABS(VALUE(SUBSTITUTE(I1026, "$", ""))))</f>
        <v>151.9</v>
      </c>
      <c r="K1026">
        <f>ROUND(Sheet1[[#This Row],[CleanedUnits_sold]]*Sheet1[[#This Row],[Cleaned_Unit_Price]],2)</f>
        <v>911.4</v>
      </c>
      <c r="L1026">
        <v>911.4</v>
      </c>
      <c r="M1026" s="1" t="s">
        <v>1971</v>
      </c>
      <c r="N1026" s="1" t="s">
        <v>26</v>
      </c>
      <c r="O1026" s="1" t="s">
        <v>1971</v>
      </c>
    </row>
    <row r="1027" spans="1:15" x14ac:dyDescent="0.35">
      <c r="A1027" s="1" t="s">
        <v>1972</v>
      </c>
      <c r="B1027" s="2">
        <v>1</v>
      </c>
      <c r="C1027" s="1" t="s">
        <v>19</v>
      </c>
      <c r="D1027" s="1" t="s">
        <v>24</v>
      </c>
      <c r="E1027" s="1" t="str">
        <f>TRIM(CLEAN(Sheet1[[#This Row],[Category]]))</f>
        <v>Electronics</v>
      </c>
      <c r="F1027">
        <v>6</v>
      </c>
      <c r="G1027" t="str">
        <f t="shared" si="16"/>
        <v>2. Mid-Market (4-7 Units)</v>
      </c>
      <c r="H1027">
        <v>6</v>
      </c>
      <c r="I1027">
        <v>292.83</v>
      </c>
      <c r="J1027">
        <f>IF(ISBLANK(I1027), ROUND(I1027/ABS(VALUE(_xlfn.TEXTBEFORE(F1027&amp;" ", " "))), 2), ABS(VALUE(SUBSTITUTE(I1027, "$", ""))))</f>
        <v>292.83</v>
      </c>
      <c r="K1027">
        <f>ROUND(Sheet1[[#This Row],[CleanedUnits_sold]]*Sheet1[[#This Row],[Cleaned_Unit_Price]],2)</f>
        <v>1756.98</v>
      </c>
      <c r="L1027">
        <v>1756.98</v>
      </c>
      <c r="M1027" s="1" t="s">
        <v>1973</v>
      </c>
      <c r="N1027" s="1" t="s">
        <v>38</v>
      </c>
      <c r="O1027" s="1" t="s">
        <v>1973</v>
      </c>
    </row>
    <row r="1028" spans="1:15" x14ac:dyDescent="0.35">
      <c r="A1028" s="1" t="s">
        <v>1974</v>
      </c>
      <c r="B1028" s="2">
        <v>45010</v>
      </c>
      <c r="C1028" s="1" t="s">
        <v>58</v>
      </c>
      <c r="D1028" s="1" t="s">
        <v>12</v>
      </c>
      <c r="E1028" s="1" t="str">
        <f>TRIM(CLEAN(Sheet1[[#This Row],[Category]]))</f>
        <v>Office Supplies</v>
      </c>
      <c r="F1028">
        <v>4</v>
      </c>
      <c r="G1028" t="str">
        <f t="shared" si="16"/>
        <v>2. Mid-Market (4-7 Units)</v>
      </c>
      <c r="H1028">
        <v>4</v>
      </c>
      <c r="I1028">
        <v>42.29</v>
      </c>
      <c r="J1028">
        <f>IF(ISBLANK(I1028), ROUND(I1028/ABS(VALUE(_xlfn.TEXTBEFORE(F1028&amp;" ", " "))), 2), ABS(VALUE(SUBSTITUTE(I1028, "$", ""))))</f>
        <v>42.29</v>
      </c>
      <c r="K1028">
        <f>ROUND(Sheet1[[#This Row],[CleanedUnits_sold]]*Sheet1[[#This Row],[Cleaned_Unit_Price]],2)</f>
        <v>169.16</v>
      </c>
      <c r="L1028">
        <v>169.16</v>
      </c>
      <c r="M1028" s="1" t="s">
        <v>1975</v>
      </c>
      <c r="N1028" s="1" t="s">
        <v>26</v>
      </c>
      <c r="O1028" s="1" t="s">
        <v>1975</v>
      </c>
    </row>
    <row r="1029" spans="1:15" x14ac:dyDescent="0.35">
      <c r="A1029" s="1" t="s">
        <v>1976</v>
      </c>
      <c r="B1029" s="2">
        <v>45194</v>
      </c>
      <c r="C1029" s="1" t="s">
        <v>16</v>
      </c>
      <c r="D1029" s="1" t="s">
        <v>24</v>
      </c>
      <c r="E1029" s="1" t="str">
        <f>TRIM(CLEAN(Sheet1[[#This Row],[Category]]))</f>
        <v>Electronics</v>
      </c>
      <c r="F1029">
        <v>6</v>
      </c>
      <c r="G1029" t="str">
        <f t="shared" si="16"/>
        <v>2. Mid-Market (4-7 Units)</v>
      </c>
      <c r="H1029">
        <v>6</v>
      </c>
      <c r="I1029">
        <v>103.73</v>
      </c>
      <c r="J1029">
        <f>IF(ISBLANK(I1029), ROUND(I1029/ABS(VALUE(_xlfn.TEXTBEFORE(F1029&amp;" ", " "))), 2), ABS(VALUE(SUBSTITUTE(I1029, "$", ""))))</f>
        <v>103.73</v>
      </c>
      <c r="K1029">
        <f>ROUND(Sheet1[[#This Row],[CleanedUnits_sold]]*Sheet1[[#This Row],[Cleaned_Unit_Price]],2)</f>
        <v>622.38</v>
      </c>
      <c r="L1029">
        <v>622.38</v>
      </c>
      <c r="M1029" s="1" t="s">
        <v>1977</v>
      </c>
      <c r="N1029" s="1" t="s">
        <v>14</v>
      </c>
      <c r="O1029" s="1" t="s">
        <v>1977</v>
      </c>
    </row>
    <row r="1030" spans="1:15" x14ac:dyDescent="0.35">
      <c r="A1030" s="1" t="s">
        <v>1978</v>
      </c>
      <c r="B1030" s="2">
        <v>44991</v>
      </c>
      <c r="C1030" s="1" t="s">
        <v>23</v>
      </c>
      <c r="D1030" s="1" t="s">
        <v>12</v>
      </c>
      <c r="E1030" s="1" t="str">
        <f>TRIM(CLEAN(Sheet1[[#This Row],[Category]]))</f>
        <v>Office Supplies</v>
      </c>
      <c r="F1030">
        <v>9</v>
      </c>
      <c r="G1030" t="str">
        <f t="shared" si="16"/>
        <v>3. Wholesale / Bulk (8+ Units)</v>
      </c>
      <c r="H1030">
        <v>9</v>
      </c>
      <c r="I1030">
        <v>209.63</v>
      </c>
      <c r="J1030">
        <f>IF(ISBLANK(I1030), ROUND(I1030/ABS(VALUE(_xlfn.TEXTBEFORE(F1030&amp;" ", " "))), 2), ABS(VALUE(SUBSTITUTE(I1030, "$", ""))))</f>
        <v>209.63</v>
      </c>
      <c r="K1030">
        <f>ROUND(Sheet1[[#This Row],[CleanedUnits_sold]]*Sheet1[[#This Row],[Cleaned_Unit_Price]],2)</f>
        <v>1886.67</v>
      </c>
      <c r="M1030" s="1" t="s">
        <v>1979</v>
      </c>
      <c r="N1030" s="1" t="s">
        <v>50</v>
      </c>
      <c r="O1030" s="1" t="s">
        <v>1979</v>
      </c>
    </row>
    <row r="1031" spans="1:15" x14ac:dyDescent="0.35">
      <c r="A1031" s="1" t="s">
        <v>1980</v>
      </c>
      <c r="B1031" s="2">
        <v>44987</v>
      </c>
      <c r="C1031" s="1" t="s">
        <v>23</v>
      </c>
      <c r="D1031" s="1" t="s">
        <v>24</v>
      </c>
      <c r="E1031" s="1" t="str">
        <f>TRIM(CLEAN(Sheet1[[#This Row],[Category]]))</f>
        <v>Electronics</v>
      </c>
      <c r="F1031">
        <v>6</v>
      </c>
      <c r="G1031" t="str">
        <f t="shared" si="16"/>
        <v>2. Mid-Market (4-7 Units)</v>
      </c>
      <c r="H1031">
        <v>6</v>
      </c>
      <c r="I1031">
        <v>469.11</v>
      </c>
      <c r="J1031">
        <f>IF(ISBLANK(I1031), ROUND(I1031/ABS(VALUE(_xlfn.TEXTBEFORE(F1031&amp;" ", " "))), 2), ABS(VALUE(SUBSTITUTE(I1031, "$", ""))))</f>
        <v>469.11</v>
      </c>
      <c r="K1031">
        <f>ROUND(Sheet1[[#This Row],[CleanedUnits_sold]]*Sheet1[[#This Row],[Cleaned_Unit_Price]],2)</f>
        <v>2814.66</v>
      </c>
      <c r="L1031">
        <v>2814.66</v>
      </c>
      <c r="M1031" s="1" t="s">
        <v>1981</v>
      </c>
      <c r="N1031" s="1" t="s">
        <v>14</v>
      </c>
      <c r="O1031" s="1" t="s">
        <v>1981</v>
      </c>
    </row>
    <row r="1032" spans="1:15" x14ac:dyDescent="0.35">
      <c r="A1032" s="1" t="s">
        <v>1982</v>
      </c>
      <c r="B1032" s="2">
        <v>45146</v>
      </c>
      <c r="C1032" s="1" t="s">
        <v>23</v>
      </c>
      <c r="D1032" s="1" t="s">
        <v>46</v>
      </c>
      <c r="E1032" s="1" t="str">
        <f>TRIM(CLEAN(Sheet1[[#This Row],[Category]]))</f>
        <v>Furniture</v>
      </c>
      <c r="F1032">
        <v>4</v>
      </c>
      <c r="G1032" t="str">
        <f t="shared" si="16"/>
        <v>2. Mid-Market (4-7 Units)</v>
      </c>
      <c r="H1032">
        <v>4</v>
      </c>
      <c r="I1032">
        <v>194.85</v>
      </c>
      <c r="J1032">
        <f>IF(ISBLANK(I1032), ROUND(I1032/ABS(VALUE(_xlfn.TEXTBEFORE(F1032&amp;" ", " "))), 2), ABS(VALUE(SUBSTITUTE(I1032, "$", ""))))</f>
        <v>194.85</v>
      </c>
      <c r="K1032">
        <f>ROUND(Sheet1[[#This Row],[CleanedUnits_sold]]*Sheet1[[#This Row],[Cleaned_Unit_Price]],2)</f>
        <v>779.4</v>
      </c>
      <c r="L1032">
        <v>779.4</v>
      </c>
      <c r="M1032" s="1" t="s">
        <v>1983</v>
      </c>
      <c r="N1032" s="1" t="s">
        <v>38</v>
      </c>
      <c r="O1032" s="1" t="s">
        <v>1983</v>
      </c>
    </row>
    <row r="1033" spans="1:15" x14ac:dyDescent="0.35">
      <c r="A1033" s="1" t="s">
        <v>1984</v>
      </c>
      <c r="B1033" s="2">
        <v>45061</v>
      </c>
      <c r="C1033" s="1" t="s">
        <v>58</v>
      </c>
      <c r="D1033" s="1" t="s">
        <v>12</v>
      </c>
      <c r="E1033" s="1" t="str">
        <f>TRIM(CLEAN(Sheet1[[#This Row],[Category]]))</f>
        <v>Office Supplies</v>
      </c>
      <c r="F1033">
        <v>6</v>
      </c>
      <c r="G1033" t="str">
        <f t="shared" si="16"/>
        <v>2. Mid-Market (4-7 Units)</v>
      </c>
      <c r="H1033">
        <v>6</v>
      </c>
      <c r="I1033">
        <v>335.4</v>
      </c>
      <c r="J1033">
        <f>IF(ISBLANK(I1033), ROUND(I1033/ABS(VALUE(_xlfn.TEXTBEFORE(F1033&amp;" ", " "))), 2), ABS(VALUE(SUBSTITUTE(I1033, "$", ""))))</f>
        <v>335.4</v>
      </c>
      <c r="K1033">
        <f>ROUND(Sheet1[[#This Row],[CleanedUnits_sold]]*Sheet1[[#This Row],[Cleaned_Unit_Price]],2)</f>
        <v>2012.4</v>
      </c>
      <c r="L1033">
        <v>2012.4</v>
      </c>
      <c r="M1033" s="1" t="s">
        <v>1985</v>
      </c>
      <c r="N1033" s="1" t="s">
        <v>14</v>
      </c>
      <c r="O1033" s="1" t="s">
        <v>1985</v>
      </c>
    </row>
    <row r="1034" spans="1:15" x14ac:dyDescent="0.35">
      <c r="A1034" s="1" t="s">
        <v>1986</v>
      </c>
      <c r="B1034" s="2">
        <v>45188</v>
      </c>
      <c r="C1034" s="1" t="s">
        <v>16</v>
      </c>
      <c r="D1034" s="1" t="s">
        <v>12</v>
      </c>
      <c r="E1034" s="1" t="str">
        <f>TRIM(CLEAN(Sheet1[[#This Row],[Category]]))</f>
        <v>Office Supplies</v>
      </c>
      <c r="F1034">
        <v>7</v>
      </c>
      <c r="G1034" t="str">
        <f t="shared" si="16"/>
        <v>2. Mid-Market (4-7 Units)</v>
      </c>
      <c r="H1034">
        <v>7</v>
      </c>
      <c r="J1034">
        <f>IF(ISBLANK(I1034), ROUND(I1034/ABS(VALUE(_xlfn.TEXTBEFORE(F1034&amp;" ", " "))), 2), ABS(VALUE(SUBSTITUTE(I1034, "$", ""))))</f>
        <v>0</v>
      </c>
      <c r="K1034">
        <f>ROUND(Sheet1[[#This Row],[CleanedUnits_sold]]*Sheet1[[#This Row],[Cleaned_Unit_Price]],2)</f>
        <v>0</v>
      </c>
      <c r="L1034">
        <v>944.93</v>
      </c>
      <c r="M1034" s="1" t="s">
        <v>1987</v>
      </c>
      <c r="N1034" s="1" t="s">
        <v>26</v>
      </c>
      <c r="O1034" s="1" t="s">
        <v>1987</v>
      </c>
    </row>
    <row r="1035" spans="1:15" x14ac:dyDescent="0.35">
      <c r="A1035" s="1" t="s">
        <v>1988</v>
      </c>
      <c r="B1035" s="2">
        <v>1</v>
      </c>
      <c r="C1035" s="1" t="s">
        <v>19</v>
      </c>
      <c r="D1035" s="1" t="s">
        <v>32</v>
      </c>
      <c r="E1035" s="1" t="str">
        <f>TRIM(CLEAN(Sheet1[[#This Row],[Category]]))</f>
        <v>Furniture</v>
      </c>
      <c r="F1035">
        <v>4</v>
      </c>
      <c r="G1035" t="str">
        <f t="shared" si="16"/>
        <v>2. Mid-Market (4-7 Units)</v>
      </c>
      <c r="H1035">
        <v>4</v>
      </c>
      <c r="I1035">
        <v>72.25</v>
      </c>
      <c r="J1035">
        <f>IF(ISBLANK(I1035), ROUND(I1035/ABS(VALUE(_xlfn.TEXTBEFORE(F1035&amp;" ", " "))), 2), ABS(VALUE(SUBSTITUTE(I1035, "$", ""))))</f>
        <v>72.25</v>
      </c>
      <c r="K1035">
        <f>ROUND(Sheet1[[#This Row],[CleanedUnits_sold]]*Sheet1[[#This Row],[Cleaned_Unit_Price]],2)</f>
        <v>289</v>
      </c>
      <c r="L1035">
        <v>289</v>
      </c>
      <c r="M1035" s="1"/>
      <c r="N1035" s="1" t="s">
        <v>14</v>
      </c>
      <c r="O1035" s="1" t="s">
        <v>131</v>
      </c>
    </row>
    <row r="1036" spans="1:15" x14ac:dyDescent="0.35">
      <c r="A1036" s="1" t="s">
        <v>1989</v>
      </c>
      <c r="B1036" s="2">
        <v>45012</v>
      </c>
      <c r="C1036" s="1" t="s">
        <v>11</v>
      </c>
      <c r="D1036" s="1" t="s">
        <v>12</v>
      </c>
      <c r="E1036" s="1" t="str">
        <f>TRIM(CLEAN(Sheet1[[#This Row],[Category]]))</f>
        <v>Office Supplies</v>
      </c>
      <c r="F1036">
        <v>3</v>
      </c>
      <c r="G1036" t="str">
        <f t="shared" si="16"/>
        <v>1. Retail (1-3 Units)</v>
      </c>
      <c r="H1036">
        <v>3</v>
      </c>
      <c r="I1036">
        <v>38.68</v>
      </c>
      <c r="J1036">
        <f>IF(ISBLANK(I1036), ROUND(I1036/ABS(VALUE(_xlfn.TEXTBEFORE(F1036&amp;" ", " "))), 2), ABS(VALUE(SUBSTITUTE(I1036, "$", ""))))</f>
        <v>38.68</v>
      </c>
      <c r="K1036">
        <f>ROUND(Sheet1[[#This Row],[CleanedUnits_sold]]*Sheet1[[#This Row],[Cleaned_Unit_Price]],2)</f>
        <v>116.04</v>
      </c>
      <c r="L1036">
        <v>116.04</v>
      </c>
      <c r="M1036" s="1" t="s">
        <v>1990</v>
      </c>
      <c r="N1036" s="1" t="s">
        <v>14</v>
      </c>
      <c r="O1036" s="1" t="s">
        <v>1990</v>
      </c>
    </row>
    <row r="1037" spans="1:15" x14ac:dyDescent="0.35">
      <c r="A1037" s="1" t="s">
        <v>1991</v>
      </c>
      <c r="B1037" s="2">
        <v>44979</v>
      </c>
      <c r="C1037" s="1" t="s">
        <v>23</v>
      </c>
      <c r="D1037" s="1" t="s">
        <v>24</v>
      </c>
      <c r="E1037" s="1" t="str">
        <f>TRIM(CLEAN(Sheet1[[#This Row],[Category]]))</f>
        <v>Electronics</v>
      </c>
      <c r="F1037">
        <v>4</v>
      </c>
      <c r="G1037" t="str">
        <f t="shared" si="16"/>
        <v>2. Mid-Market (4-7 Units)</v>
      </c>
      <c r="H1037">
        <v>4</v>
      </c>
      <c r="I1037">
        <v>159.65</v>
      </c>
      <c r="J1037">
        <f>IF(ISBLANK(I1037), ROUND(I1037/ABS(VALUE(_xlfn.TEXTBEFORE(F1037&amp;" ", " "))), 2), ABS(VALUE(SUBSTITUTE(I1037, "$", ""))))</f>
        <v>159.65</v>
      </c>
      <c r="K1037">
        <f>ROUND(Sheet1[[#This Row],[CleanedUnits_sold]]*Sheet1[[#This Row],[Cleaned_Unit_Price]],2)</f>
        <v>638.6</v>
      </c>
      <c r="L1037">
        <v>1123.6600000000001</v>
      </c>
      <c r="M1037" s="1" t="s">
        <v>1992</v>
      </c>
      <c r="N1037" s="1" t="s">
        <v>14</v>
      </c>
      <c r="O1037" s="1" t="s">
        <v>1992</v>
      </c>
    </row>
    <row r="1038" spans="1:15" x14ac:dyDescent="0.35">
      <c r="A1038" s="1" t="s">
        <v>1993</v>
      </c>
      <c r="B1038" s="2">
        <v>45187</v>
      </c>
      <c r="C1038" s="1" t="s">
        <v>11</v>
      </c>
      <c r="D1038" s="1" t="s">
        <v>24</v>
      </c>
      <c r="E1038" s="1" t="str">
        <f>TRIM(CLEAN(Sheet1[[#This Row],[Category]]))</f>
        <v>Electronics</v>
      </c>
      <c r="F1038">
        <v>5</v>
      </c>
      <c r="G1038" t="str">
        <f t="shared" si="16"/>
        <v>2. Mid-Market (4-7 Units)</v>
      </c>
      <c r="H1038">
        <v>5</v>
      </c>
      <c r="I1038">
        <v>87.25</v>
      </c>
      <c r="J1038">
        <f>IF(ISBLANK(I1038), ROUND(I1038/ABS(VALUE(_xlfn.TEXTBEFORE(F1038&amp;" ", " "))), 2), ABS(VALUE(SUBSTITUTE(I1038, "$", ""))))</f>
        <v>87.25</v>
      </c>
      <c r="K1038">
        <f>ROUND(Sheet1[[#This Row],[CleanedUnits_sold]]*Sheet1[[#This Row],[Cleaned_Unit_Price]],2)</f>
        <v>436.25</v>
      </c>
      <c r="L1038">
        <v>436.25</v>
      </c>
      <c r="M1038" s="1" t="s">
        <v>1994</v>
      </c>
      <c r="N1038" s="1" t="s">
        <v>14</v>
      </c>
      <c r="O1038" s="1" t="s">
        <v>1994</v>
      </c>
    </row>
    <row r="1039" spans="1:15" x14ac:dyDescent="0.35">
      <c r="A1039" s="1" t="s">
        <v>1995</v>
      </c>
      <c r="B1039" s="2">
        <v>1</v>
      </c>
      <c r="C1039" s="1" t="s">
        <v>19</v>
      </c>
      <c r="D1039" s="1" t="s">
        <v>24</v>
      </c>
      <c r="E1039" s="1" t="str">
        <f>TRIM(CLEAN(Sheet1[[#This Row],[Category]]))</f>
        <v>Electronics</v>
      </c>
      <c r="F1039">
        <v>3</v>
      </c>
      <c r="G1039" t="str">
        <f t="shared" si="16"/>
        <v>1. Retail (1-3 Units)</v>
      </c>
      <c r="H1039">
        <v>3</v>
      </c>
      <c r="I1039">
        <v>95.27</v>
      </c>
      <c r="J1039">
        <f>IF(ISBLANK(I1039), ROUND(I1039/ABS(VALUE(_xlfn.TEXTBEFORE(F1039&amp;" ", " "))), 2), ABS(VALUE(SUBSTITUTE(I1039, "$", ""))))</f>
        <v>95.27</v>
      </c>
      <c r="K1039">
        <f>ROUND(Sheet1[[#This Row],[CleanedUnits_sold]]*Sheet1[[#This Row],[Cleaned_Unit_Price]],2)</f>
        <v>285.81</v>
      </c>
      <c r="L1039">
        <v>285.81</v>
      </c>
      <c r="M1039" s="1" t="s">
        <v>1996</v>
      </c>
      <c r="N1039" s="1" t="s">
        <v>38</v>
      </c>
      <c r="O1039" s="1" t="s">
        <v>1996</v>
      </c>
    </row>
    <row r="1040" spans="1:15" x14ac:dyDescent="0.35">
      <c r="A1040" s="1" t="s">
        <v>1997</v>
      </c>
      <c r="B1040" s="2">
        <v>45052</v>
      </c>
      <c r="C1040" s="1" t="s">
        <v>23</v>
      </c>
      <c r="D1040" s="1" t="s">
        <v>46</v>
      </c>
      <c r="E1040" s="1" t="str">
        <f>TRIM(CLEAN(Sheet1[[#This Row],[Category]]))</f>
        <v>Furniture</v>
      </c>
      <c r="F1040">
        <v>5</v>
      </c>
      <c r="G1040" t="str">
        <f t="shared" si="16"/>
        <v>2. Mid-Market (4-7 Units)</v>
      </c>
      <c r="H1040">
        <v>5</v>
      </c>
      <c r="I1040">
        <v>382.77</v>
      </c>
      <c r="J1040">
        <f>IF(ISBLANK(I1040), ROUND(I1040/ABS(VALUE(_xlfn.TEXTBEFORE(F1040&amp;" ", " "))), 2), ABS(VALUE(SUBSTITUTE(I1040, "$", ""))))</f>
        <v>382.77</v>
      </c>
      <c r="K1040">
        <f>ROUND(Sheet1[[#This Row],[CleanedUnits_sold]]*Sheet1[[#This Row],[Cleaned_Unit_Price]],2)</f>
        <v>1913.85</v>
      </c>
      <c r="L1040">
        <v>1913.85</v>
      </c>
      <c r="M1040" s="1" t="s">
        <v>1998</v>
      </c>
      <c r="N1040" s="1" t="s">
        <v>14</v>
      </c>
      <c r="O1040" s="1" t="s">
        <v>1998</v>
      </c>
    </row>
    <row r="1041" spans="1:15" x14ac:dyDescent="0.35">
      <c r="A1041" s="1" t="s">
        <v>1999</v>
      </c>
      <c r="B1041" s="2">
        <v>1</v>
      </c>
      <c r="C1041" s="1" t="s">
        <v>23</v>
      </c>
      <c r="D1041" s="1" t="s">
        <v>24</v>
      </c>
      <c r="E1041" s="1" t="str">
        <f>TRIM(CLEAN(Sheet1[[#This Row],[Category]]))</f>
        <v>Electronics</v>
      </c>
      <c r="F1041">
        <v>3</v>
      </c>
      <c r="G1041" t="str">
        <f t="shared" si="16"/>
        <v>1. Retail (1-3 Units)</v>
      </c>
      <c r="H1041">
        <v>3</v>
      </c>
      <c r="I1041">
        <v>17.760000000000002</v>
      </c>
      <c r="J1041">
        <f>IF(ISBLANK(I1041), ROUND(I1041/ABS(VALUE(_xlfn.TEXTBEFORE(F1041&amp;" ", " "))), 2), ABS(VALUE(SUBSTITUTE(I1041, "$", ""))))</f>
        <v>17.760000000000002</v>
      </c>
      <c r="K1041">
        <f>ROUND(Sheet1[[#This Row],[CleanedUnits_sold]]*Sheet1[[#This Row],[Cleaned_Unit_Price]],2)</f>
        <v>53.28</v>
      </c>
      <c r="L1041">
        <v>53.28</v>
      </c>
      <c r="M1041" s="1" t="s">
        <v>2000</v>
      </c>
      <c r="N1041" s="1" t="s">
        <v>14</v>
      </c>
      <c r="O1041" s="1" t="s">
        <v>2000</v>
      </c>
    </row>
    <row r="1042" spans="1:15" x14ac:dyDescent="0.35">
      <c r="A1042" s="1" t="s">
        <v>2001</v>
      </c>
      <c r="B1042" s="2">
        <v>44945</v>
      </c>
      <c r="C1042" s="1" t="s">
        <v>23</v>
      </c>
      <c r="D1042" s="1" t="s">
        <v>12</v>
      </c>
      <c r="E1042" s="1" t="str">
        <f>TRIM(CLEAN(Sheet1[[#This Row],[Category]]))</f>
        <v>Office Supplies</v>
      </c>
      <c r="F1042">
        <v>5</v>
      </c>
      <c r="G1042" t="str">
        <f t="shared" si="16"/>
        <v>2. Mid-Market (4-7 Units)</v>
      </c>
      <c r="H1042">
        <v>5</v>
      </c>
      <c r="I1042">
        <v>283.33</v>
      </c>
      <c r="J1042">
        <f>IF(ISBLANK(I1042), ROUND(I1042/ABS(VALUE(_xlfn.TEXTBEFORE(F1042&amp;" ", " "))), 2), ABS(VALUE(SUBSTITUTE(I1042, "$", ""))))</f>
        <v>283.33</v>
      </c>
      <c r="K1042">
        <f>ROUND(Sheet1[[#This Row],[CleanedUnits_sold]]*Sheet1[[#This Row],[Cleaned_Unit_Price]],2)</f>
        <v>1416.65</v>
      </c>
      <c r="L1042">
        <v>1416.65</v>
      </c>
      <c r="M1042" s="1" t="s">
        <v>49</v>
      </c>
      <c r="N1042" s="1" t="s">
        <v>21</v>
      </c>
      <c r="O1042" s="1" t="s">
        <v>51</v>
      </c>
    </row>
    <row r="1043" spans="1:15" x14ac:dyDescent="0.35">
      <c r="A1043" s="1" t="s">
        <v>2002</v>
      </c>
      <c r="B1043" s="2">
        <v>45054</v>
      </c>
      <c r="C1043" s="1" t="s">
        <v>19</v>
      </c>
      <c r="D1043" s="1" t="s">
        <v>12</v>
      </c>
      <c r="E1043" s="1" t="str">
        <f>TRIM(CLEAN(Sheet1[[#This Row],[Category]]))</f>
        <v>Office Supplies</v>
      </c>
      <c r="F1043">
        <v>5</v>
      </c>
      <c r="G1043" t="str">
        <f t="shared" si="16"/>
        <v>2. Mid-Market (4-7 Units)</v>
      </c>
      <c r="H1043">
        <v>5</v>
      </c>
      <c r="I1043">
        <v>195.94</v>
      </c>
      <c r="J1043">
        <f>IF(ISBLANK(I1043), ROUND(I1043/ABS(VALUE(_xlfn.TEXTBEFORE(F1043&amp;" ", " "))), 2), ABS(VALUE(SUBSTITUTE(I1043, "$", ""))))</f>
        <v>195.94</v>
      </c>
      <c r="K1043">
        <f>ROUND(Sheet1[[#This Row],[CleanedUnits_sold]]*Sheet1[[#This Row],[Cleaned_Unit_Price]],2)</f>
        <v>979.7</v>
      </c>
      <c r="L1043">
        <v>979.7</v>
      </c>
      <c r="M1043" s="1" t="s">
        <v>49</v>
      </c>
      <c r="N1043" s="1" t="s">
        <v>50</v>
      </c>
      <c r="O1043" s="1" t="s">
        <v>51</v>
      </c>
    </row>
    <row r="1044" spans="1:15" x14ac:dyDescent="0.35">
      <c r="A1044" s="1" t="s">
        <v>2003</v>
      </c>
      <c r="B1044" s="2">
        <v>45090</v>
      </c>
      <c r="C1044" s="1" t="s">
        <v>19</v>
      </c>
      <c r="D1044" s="1" t="s">
        <v>24</v>
      </c>
      <c r="E1044" s="1" t="str">
        <f>TRIM(CLEAN(Sheet1[[#This Row],[Category]]))</f>
        <v>Electronics</v>
      </c>
      <c r="F1044">
        <v>5</v>
      </c>
      <c r="G1044" t="str">
        <f t="shared" si="16"/>
        <v>2. Mid-Market (4-7 Units)</v>
      </c>
      <c r="H1044">
        <v>5</v>
      </c>
      <c r="I1044">
        <v>258.20999999999998</v>
      </c>
      <c r="J1044">
        <f>IF(ISBLANK(I1044), ROUND(I1044/ABS(VALUE(_xlfn.TEXTBEFORE(F1044&amp;" ", " "))), 2), ABS(VALUE(SUBSTITUTE(I1044, "$", ""))))</f>
        <v>258.20999999999998</v>
      </c>
      <c r="K1044">
        <f>ROUND(Sheet1[[#This Row],[CleanedUnits_sold]]*Sheet1[[#This Row],[Cleaned_Unit_Price]],2)</f>
        <v>1291.05</v>
      </c>
      <c r="L1044">
        <v>1291.05</v>
      </c>
      <c r="M1044" s="1" t="s">
        <v>2004</v>
      </c>
      <c r="N1044" s="1" t="s">
        <v>14</v>
      </c>
      <c r="O1044" s="1" t="s">
        <v>2004</v>
      </c>
    </row>
    <row r="1045" spans="1:15" x14ac:dyDescent="0.35">
      <c r="A1045" s="1" t="s">
        <v>2005</v>
      </c>
      <c r="B1045" s="2">
        <v>45219</v>
      </c>
      <c r="C1045" s="1" t="s">
        <v>58</v>
      </c>
      <c r="D1045" s="1" t="s">
        <v>24</v>
      </c>
      <c r="E1045" s="1" t="str">
        <f>TRIM(CLEAN(Sheet1[[#This Row],[Category]]))</f>
        <v>Electronics</v>
      </c>
      <c r="F1045">
        <v>6</v>
      </c>
      <c r="G1045" t="str">
        <f t="shared" si="16"/>
        <v>2. Mid-Market (4-7 Units)</v>
      </c>
      <c r="H1045">
        <v>6</v>
      </c>
      <c r="I1045">
        <v>285.79000000000002</v>
      </c>
      <c r="J1045">
        <f>IF(ISBLANK(I1045), ROUND(I1045/ABS(VALUE(_xlfn.TEXTBEFORE(F1045&amp;" ", " "))), 2), ABS(VALUE(SUBSTITUTE(I1045, "$", ""))))</f>
        <v>285.79000000000002</v>
      </c>
      <c r="K1045">
        <f>ROUND(Sheet1[[#This Row],[CleanedUnits_sold]]*Sheet1[[#This Row],[Cleaned_Unit_Price]],2)</f>
        <v>1714.74</v>
      </c>
      <c r="L1045">
        <v>1714.74</v>
      </c>
      <c r="M1045" s="1" t="s">
        <v>2006</v>
      </c>
      <c r="N1045" s="1" t="s">
        <v>26</v>
      </c>
      <c r="O1045" s="1" t="s">
        <v>2006</v>
      </c>
    </row>
    <row r="1046" spans="1:15" x14ac:dyDescent="0.35">
      <c r="A1046" s="1" t="s">
        <v>2007</v>
      </c>
      <c r="B1046" s="2">
        <v>45271</v>
      </c>
      <c r="C1046" s="1" t="s">
        <v>16</v>
      </c>
      <c r="D1046" s="1" t="s">
        <v>32</v>
      </c>
      <c r="E1046" s="1" t="str">
        <f>TRIM(CLEAN(Sheet1[[#This Row],[Category]]))</f>
        <v>Furniture</v>
      </c>
      <c r="G1046" t="str">
        <f t="shared" si="16"/>
        <v>2. Mid-Market (4-7 Units)</v>
      </c>
      <c r="H1046">
        <v>6</v>
      </c>
      <c r="I1046">
        <v>163.55000000000001</v>
      </c>
      <c r="J1046">
        <f>IF(ISBLANK(I1046), ROUND(I1046/ABS(VALUE(_xlfn.TEXTBEFORE(F1046&amp;" ", " "))), 2), ABS(VALUE(SUBSTITUTE(I1046, "$", ""))))</f>
        <v>163.55000000000001</v>
      </c>
      <c r="K1046">
        <f>ROUND(Sheet1[[#This Row],[CleanedUnits_sold]]*Sheet1[[#This Row],[Cleaned_Unit_Price]],2)</f>
        <v>981.3</v>
      </c>
      <c r="L1046">
        <v>981.3</v>
      </c>
      <c r="M1046" s="1" t="s">
        <v>2008</v>
      </c>
      <c r="N1046" s="1" t="s">
        <v>50</v>
      </c>
      <c r="O1046" s="1" t="s">
        <v>2008</v>
      </c>
    </row>
    <row r="1047" spans="1:15" x14ac:dyDescent="0.35">
      <c r="A1047" s="1" t="s">
        <v>2009</v>
      </c>
      <c r="B1047" s="2">
        <v>45191</v>
      </c>
      <c r="C1047" s="1" t="s">
        <v>19</v>
      </c>
      <c r="D1047" s="1" t="s">
        <v>24</v>
      </c>
      <c r="E1047" s="1" t="str">
        <f>TRIM(CLEAN(Sheet1[[#This Row],[Category]]))</f>
        <v>Electronics</v>
      </c>
      <c r="F1047">
        <v>6</v>
      </c>
      <c r="G1047" t="str">
        <f t="shared" si="16"/>
        <v>2. Mid-Market (4-7 Units)</v>
      </c>
      <c r="H1047">
        <v>6</v>
      </c>
      <c r="I1047">
        <v>154.6</v>
      </c>
      <c r="J1047">
        <f>IF(ISBLANK(I1047), ROUND(I1047/ABS(VALUE(_xlfn.TEXTBEFORE(F1047&amp;" ", " "))), 2), ABS(VALUE(SUBSTITUTE(I1047, "$", ""))))</f>
        <v>154.6</v>
      </c>
      <c r="K1047">
        <f>ROUND(Sheet1[[#This Row],[CleanedUnits_sold]]*Sheet1[[#This Row],[Cleaned_Unit_Price]],2)</f>
        <v>927.6</v>
      </c>
      <c r="L1047">
        <v>927.6</v>
      </c>
      <c r="M1047" s="1" t="s">
        <v>2010</v>
      </c>
      <c r="N1047" s="1" t="s">
        <v>26</v>
      </c>
      <c r="O1047" s="1" t="s">
        <v>2010</v>
      </c>
    </row>
    <row r="1048" spans="1:15" x14ac:dyDescent="0.35">
      <c r="A1048" s="1" t="s">
        <v>2011</v>
      </c>
      <c r="B1048" s="2">
        <v>44962</v>
      </c>
      <c r="C1048" s="1" t="s">
        <v>16</v>
      </c>
      <c r="D1048" s="1" t="s">
        <v>24</v>
      </c>
      <c r="E1048" s="1" t="str">
        <f>TRIM(CLEAN(Sheet1[[#This Row],[Category]]))</f>
        <v>Electronics</v>
      </c>
      <c r="F1048">
        <v>9999</v>
      </c>
      <c r="G1048" t="str">
        <f t="shared" si="16"/>
        <v>2. Mid-Market (4-7 Units)</v>
      </c>
      <c r="H1048">
        <v>5</v>
      </c>
      <c r="I1048">
        <v>369.37</v>
      </c>
      <c r="J1048">
        <f>IF(ISBLANK(I1048), ROUND(I1048/ABS(VALUE(_xlfn.TEXTBEFORE(F1048&amp;" ", " "))), 2), ABS(VALUE(SUBSTITUTE(I1048, "$", ""))))</f>
        <v>369.37</v>
      </c>
      <c r="K1048">
        <f>ROUND(Sheet1[[#This Row],[CleanedUnits_sold]]*Sheet1[[#This Row],[Cleaned_Unit_Price]],2)</f>
        <v>1846.85</v>
      </c>
      <c r="L1048">
        <v>1846.85</v>
      </c>
      <c r="M1048" s="1" t="s">
        <v>84</v>
      </c>
      <c r="N1048" s="1" t="s">
        <v>21</v>
      </c>
      <c r="O1048" s="1" t="s">
        <v>85</v>
      </c>
    </row>
    <row r="1049" spans="1:15" x14ac:dyDescent="0.35">
      <c r="A1049" s="1" t="s">
        <v>2012</v>
      </c>
      <c r="B1049" s="2">
        <v>45086</v>
      </c>
      <c r="C1049" s="1" t="s">
        <v>19</v>
      </c>
      <c r="D1049" s="1" t="s">
        <v>12</v>
      </c>
      <c r="E1049" s="1" t="str">
        <f>TRIM(CLEAN(Sheet1[[#This Row],[Category]]))</f>
        <v>Office Supplies</v>
      </c>
      <c r="F1049">
        <v>7</v>
      </c>
      <c r="G1049" t="str">
        <f t="shared" si="16"/>
        <v>2. Mid-Market (4-7 Units)</v>
      </c>
      <c r="H1049">
        <v>7</v>
      </c>
      <c r="I1049">
        <v>436.93</v>
      </c>
      <c r="J1049">
        <f>IF(ISBLANK(I1049), ROUND(I1049/ABS(VALUE(_xlfn.TEXTBEFORE(F1049&amp;" ", " "))), 2), ABS(VALUE(SUBSTITUTE(I1049, "$", ""))))</f>
        <v>436.93</v>
      </c>
      <c r="K1049">
        <f>ROUND(Sheet1[[#This Row],[CleanedUnits_sold]]*Sheet1[[#This Row],[Cleaned_Unit_Price]],2)</f>
        <v>3058.51</v>
      </c>
      <c r="L1049">
        <v>3058.51</v>
      </c>
      <c r="M1049" s="1" t="s">
        <v>2013</v>
      </c>
      <c r="N1049" s="1" t="s">
        <v>26</v>
      </c>
      <c r="O1049" s="1" t="s">
        <v>2013</v>
      </c>
    </row>
    <row r="1050" spans="1:15" x14ac:dyDescent="0.35">
      <c r="A1050" s="1" t="s">
        <v>2014</v>
      </c>
      <c r="B1050" s="2">
        <v>1</v>
      </c>
      <c r="C1050" s="1" t="s">
        <v>16</v>
      </c>
      <c r="D1050" s="1" t="s">
        <v>12</v>
      </c>
      <c r="E1050" s="1" t="str">
        <f>TRIM(CLEAN(Sheet1[[#This Row],[Category]]))</f>
        <v>Office Supplies</v>
      </c>
      <c r="F1050">
        <v>3</v>
      </c>
      <c r="G1050" t="str">
        <f t="shared" si="16"/>
        <v>1. Retail (1-3 Units)</v>
      </c>
      <c r="H1050">
        <v>3</v>
      </c>
      <c r="I1050">
        <v>104.36</v>
      </c>
      <c r="J1050">
        <f>IF(ISBLANK(I1050), ROUND(I1050/ABS(VALUE(_xlfn.TEXTBEFORE(F1050&amp;" ", " "))), 2), ABS(VALUE(SUBSTITUTE(I1050, "$", ""))))</f>
        <v>104.36</v>
      </c>
      <c r="K1050">
        <f>ROUND(Sheet1[[#This Row],[CleanedUnits_sold]]*Sheet1[[#This Row],[Cleaned_Unit_Price]],2)</f>
        <v>313.08</v>
      </c>
      <c r="L1050">
        <v>313.08</v>
      </c>
      <c r="M1050" s="1" t="s">
        <v>2015</v>
      </c>
      <c r="N1050" s="1" t="s">
        <v>26</v>
      </c>
      <c r="O1050" s="1" t="s">
        <v>2015</v>
      </c>
    </row>
    <row r="1051" spans="1:15" x14ac:dyDescent="0.35">
      <c r="A1051" s="1" t="s">
        <v>2016</v>
      </c>
      <c r="B1051" s="2">
        <v>45145</v>
      </c>
      <c r="C1051" s="1" t="s">
        <v>11</v>
      </c>
      <c r="D1051" s="1" t="s">
        <v>24</v>
      </c>
      <c r="E1051" s="1" t="str">
        <f>TRIM(CLEAN(Sheet1[[#This Row],[Category]]))</f>
        <v>Electronics</v>
      </c>
      <c r="F1051">
        <v>5</v>
      </c>
      <c r="G1051" t="str">
        <f t="shared" si="16"/>
        <v>2. Mid-Market (4-7 Units)</v>
      </c>
      <c r="H1051">
        <v>5</v>
      </c>
      <c r="I1051">
        <v>57.83</v>
      </c>
      <c r="J1051">
        <f>IF(ISBLANK(I1051), ROUND(I1051/ABS(VALUE(_xlfn.TEXTBEFORE(F1051&amp;" ", " "))), 2), ABS(VALUE(SUBSTITUTE(I1051, "$", ""))))</f>
        <v>57.83</v>
      </c>
      <c r="K1051">
        <f>ROUND(Sheet1[[#This Row],[CleanedUnits_sold]]*Sheet1[[#This Row],[Cleaned_Unit_Price]],2)</f>
        <v>289.14999999999998</v>
      </c>
      <c r="L1051">
        <v>289.14999999999998</v>
      </c>
      <c r="M1051" s="1" t="s">
        <v>2017</v>
      </c>
      <c r="N1051" s="1" t="s">
        <v>26</v>
      </c>
      <c r="O1051" s="1" t="s">
        <v>2017</v>
      </c>
    </row>
    <row r="1052" spans="1:15" x14ac:dyDescent="0.35">
      <c r="A1052" s="1" t="s">
        <v>2018</v>
      </c>
      <c r="B1052" s="2">
        <v>45052</v>
      </c>
      <c r="C1052" s="1" t="s">
        <v>16</v>
      </c>
      <c r="D1052" s="1" t="s">
        <v>24</v>
      </c>
      <c r="E1052" s="1" t="str">
        <f>TRIM(CLEAN(Sheet1[[#This Row],[Category]]))</f>
        <v>Electronics</v>
      </c>
      <c r="F1052">
        <v>7</v>
      </c>
      <c r="G1052" t="str">
        <f t="shared" si="16"/>
        <v>2. Mid-Market (4-7 Units)</v>
      </c>
      <c r="H1052">
        <v>7</v>
      </c>
      <c r="I1052">
        <v>449.92</v>
      </c>
      <c r="J1052">
        <f>IF(ISBLANK(I1052), ROUND(I1052/ABS(VALUE(_xlfn.TEXTBEFORE(F1052&amp;" ", " "))), 2), ABS(VALUE(SUBSTITUTE(I1052, "$", ""))))</f>
        <v>449.92</v>
      </c>
      <c r="K1052">
        <f>ROUND(Sheet1[[#This Row],[CleanedUnits_sold]]*Sheet1[[#This Row],[Cleaned_Unit_Price]],2)</f>
        <v>3149.44</v>
      </c>
      <c r="L1052">
        <v>3149.44</v>
      </c>
      <c r="M1052" s="1" t="s">
        <v>2019</v>
      </c>
      <c r="N1052" s="1" t="s">
        <v>14</v>
      </c>
      <c r="O1052" s="1" t="s">
        <v>2019</v>
      </c>
    </row>
    <row r="1053" spans="1:15" x14ac:dyDescent="0.35">
      <c r="A1053" s="1" t="s">
        <v>2020</v>
      </c>
      <c r="B1053" s="2">
        <v>45229</v>
      </c>
      <c r="C1053" s="1" t="s">
        <v>19</v>
      </c>
      <c r="D1053" s="1" t="s">
        <v>32</v>
      </c>
      <c r="E1053" s="1" t="str">
        <f>TRIM(CLEAN(Sheet1[[#This Row],[Category]]))</f>
        <v>Furniture</v>
      </c>
      <c r="F1053">
        <v>9999</v>
      </c>
      <c r="G1053" t="str">
        <f t="shared" si="16"/>
        <v>2. Mid-Market (4-7 Units)</v>
      </c>
      <c r="H1053">
        <v>5</v>
      </c>
      <c r="I1053">
        <v>181.45</v>
      </c>
      <c r="J1053">
        <f>IF(ISBLANK(I1053), ROUND(I1053/ABS(VALUE(_xlfn.TEXTBEFORE(F1053&amp;" ", " "))), 2), ABS(VALUE(SUBSTITUTE(I1053, "$", ""))))</f>
        <v>181.45</v>
      </c>
      <c r="K1053">
        <f>ROUND(Sheet1[[#This Row],[CleanedUnits_sold]]*Sheet1[[#This Row],[Cleaned_Unit_Price]],2)</f>
        <v>907.25</v>
      </c>
      <c r="L1053">
        <v>362.9</v>
      </c>
      <c r="M1053" s="1" t="s">
        <v>2021</v>
      </c>
      <c r="N1053" s="1" t="s">
        <v>14</v>
      </c>
      <c r="O1053" s="1" t="s">
        <v>2021</v>
      </c>
    </row>
    <row r="1054" spans="1:15" x14ac:dyDescent="0.35">
      <c r="A1054" s="1" t="s">
        <v>2022</v>
      </c>
      <c r="B1054" s="2">
        <v>45234</v>
      </c>
      <c r="C1054" s="1" t="s">
        <v>11</v>
      </c>
      <c r="D1054" s="1" t="s">
        <v>24</v>
      </c>
      <c r="E1054" s="1" t="str">
        <f>TRIM(CLEAN(Sheet1[[#This Row],[Category]]))</f>
        <v>Electronics</v>
      </c>
      <c r="F1054">
        <v>8</v>
      </c>
      <c r="G1054" t="str">
        <f t="shared" si="16"/>
        <v>3. Wholesale / Bulk (8+ Units)</v>
      </c>
      <c r="H1054">
        <v>8</v>
      </c>
      <c r="I1054">
        <v>280.14999999999998</v>
      </c>
      <c r="J1054">
        <f>IF(ISBLANK(I1054), ROUND(I1054/ABS(VALUE(_xlfn.TEXTBEFORE(F1054&amp;" ", " "))), 2), ABS(VALUE(SUBSTITUTE(I1054, "$", ""))))</f>
        <v>280.14999999999998</v>
      </c>
      <c r="K1054">
        <f>ROUND(Sheet1[[#This Row],[CleanedUnits_sold]]*Sheet1[[#This Row],[Cleaned_Unit_Price]],2)</f>
        <v>2241.1999999999998</v>
      </c>
      <c r="L1054">
        <v>2241.1999999999998</v>
      </c>
      <c r="M1054" s="1" t="s">
        <v>2023</v>
      </c>
      <c r="N1054" s="1" t="s">
        <v>50</v>
      </c>
      <c r="O1054" s="1" t="s">
        <v>2023</v>
      </c>
    </row>
    <row r="1055" spans="1:15" x14ac:dyDescent="0.35">
      <c r="A1055" s="1" t="s">
        <v>2024</v>
      </c>
      <c r="B1055" s="2">
        <v>45136</v>
      </c>
      <c r="C1055" s="1" t="s">
        <v>11</v>
      </c>
      <c r="D1055" s="1" t="s">
        <v>32</v>
      </c>
      <c r="E1055" s="1" t="str">
        <f>TRIM(CLEAN(Sheet1[[#This Row],[Category]]))</f>
        <v>Furniture</v>
      </c>
      <c r="F1055">
        <v>4</v>
      </c>
      <c r="G1055" t="str">
        <f t="shared" si="16"/>
        <v>2. Mid-Market (4-7 Units)</v>
      </c>
      <c r="H1055">
        <v>4</v>
      </c>
      <c r="I1055">
        <v>186.18</v>
      </c>
      <c r="J1055">
        <f>IF(ISBLANK(I1055), ROUND(I1055/ABS(VALUE(_xlfn.TEXTBEFORE(F1055&amp;" ", " "))), 2), ABS(VALUE(SUBSTITUTE(I1055, "$", ""))))</f>
        <v>186.18</v>
      </c>
      <c r="K1055">
        <f>ROUND(Sheet1[[#This Row],[CleanedUnits_sold]]*Sheet1[[#This Row],[Cleaned_Unit_Price]],2)</f>
        <v>744.72</v>
      </c>
      <c r="L1055">
        <v>744.72</v>
      </c>
      <c r="M1055" s="1" t="s">
        <v>2025</v>
      </c>
      <c r="N1055" s="1" t="s">
        <v>26</v>
      </c>
      <c r="O1055" s="1" t="s">
        <v>2025</v>
      </c>
    </row>
    <row r="1056" spans="1:15" x14ac:dyDescent="0.35">
      <c r="A1056" s="1" t="s">
        <v>2026</v>
      </c>
      <c r="B1056" s="2">
        <v>45104</v>
      </c>
      <c r="C1056" s="1" t="s">
        <v>16</v>
      </c>
      <c r="D1056" s="1" t="s">
        <v>46</v>
      </c>
      <c r="E1056" s="1" t="str">
        <f>TRIM(CLEAN(Sheet1[[#This Row],[Category]]))</f>
        <v>Furniture</v>
      </c>
      <c r="F1056">
        <v>2</v>
      </c>
      <c r="G1056" t="str">
        <f t="shared" si="16"/>
        <v>1. Retail (1-3 Units)</v>
      </c>
      <c r="H1056">
        <v>2</v>
      </c>
      <c r="I1056">
        <v>71.64</v>
      </c>
      <c r="J1056">
        <f>IF(ISBLANK(I1056), ROUND(I1056/ABS(VALUE(_xlfn.TEXTBEFORE(F1056&amp;" ", " "))), 2), ABS(VALUE(SUBSTITUTE(I1056, "$", ""))))</f>
        <v>71.64</v>
      </c>
      <c r="K1056">
        <f>ROUND(Sheet1[[#This Row],[CleanedUnits_sold]]*Sheet1[[#This Row],[Cleaned_Unit_Price]],2)</f>
        <v>143.28</v>
      </c>
      <c r="L1056">
        <v>143.28</v>
      </c>
      <c r="M1056" s="1" t="s">
        <v>49</v>
      </c>
      <c r="N1056" s="1" t="s">
        <v>14</v>
      </c>
      <c r="O1056" s="1" t="s">
        <v>51</v>
      </c>
    </row>
    <row r="1057" spans="1:15" x14ac:dyDescent="0.35">
      <c r="A1057" s="1" t="s">
        <v>2027</v>
      </c>
      <c r="B1057" s="2">
        <v>44927</v>
      </c>
      <c r="C1057" s="1" t="s">
        <v>16</v>
      </c>
      <c r="D1057" s="1" t="s">
        <v>12</v>
      </c>
      <c r="E1057" s="1" t="str">
        <f>TRIM(CLEAN(Sheet1[[#This Row],[Category]]))</f>
        <v>Office Supplies</v>
      </c>
      <c r="F1057">
        <v>5</v>
      </c>
      <c r="G1057" t="str">
        <f t="shared" si="16"/>
        <v>2. Mid-Market (4-7 Units)</v>
      </c>
      <c r="H1057">
        <v>5</v>
      </c>
      <c r="I1057">
        <v>298.77</v>
      </c>
      <c r="J1057">
        <f>IF(ISBLANK(I1057), ROUND(I1057/ABS(VALUE(_xlfn.TEXTBEFORE(F1057&amp;" ", " "))), 2), ABS(VALUE(SUBSTITUTE(I1057, "$", ""))))</f>
        <v>298.77</v>
      </c>
      <c r="K1057">
        <f>ROUND(Sheet1[[#This Row],[CleanedUnits_sold]]*Sheet1[[#This Row],[Cleaned_Unit_Price]],2)</f>
        <v>1493.85</v>
      </c>
      <c r="L1057">
        <v>1493.85</v>
      </c>
      <c r="M1057" s="1" t="s">
        <v>2028</v>
      </c>
      <c r="N1057" s="1" t="s">
        <v>21</v>
      </c>
      <c r="O1057" s="1" t="s">
        <v>2028</v>
      </c>
    </row>
    <row r="1058" spans="1:15" x14ac:dyDescent="0.35">
      <c r="A1058" s="1" t="s">
        <v>2029</v>
      </c>
      <c r="B1058" s="2">
        <v>45084</v>
      </c>
      <c r="C1058" s="1" t="s">
        <v>16</v>
      </c>
      <c r="D1058" s="1" t="s">
        <v>46</v>
      </c>
      <c r="E1058" s="1" t="str">
        <f>TRIM(CLEAN(Sheet1[[#This Row],[Category]]))</f>
        <v>Furniture</v>
      </c>
      <c r="F1058">
        <v>5</v>
      </c>
      <c r="G1058" t="str">
        <f t="shared" si="16"/>
        <v>2. Mid-Market (4-7 Units)</v>
      </c>
      <c r="H1058">
        <v>5</v>
      </c>
      <c r="I1058">
        <v>267.32</v>
      </c>
      <c r="J1058">
        <f>IF(ISBLANK(I1058), ROUND(I1058/ABS(VALUE(_xlfn.TEXTBEFORE(F1058&amp;" ", " "))), 2), ABS(VALUE(SUBSTITUTE(I1058, "$", ""))))</f>
        <v>267.32</v>
      </c>
      <c r="K1058">
        <f>ROUND(Sheet1[[#This Row],[CleanedUnits_sold]]*Sheet1[[#This Row],[Cleaned_Unit_Price]],2)</f>
        <v>1336.6</v>
      </c>
      <c r="L1058">
        <v>1756.82</v>
      </c>
      <c r="M1058" s="1" t="s">
        <v>2030</v>
      </c>
      <c r="N1058" s="1" t="s">
        <v>38</v>
      </c>
      <c r="O1058" s="1" t="s">
        <v>2030</v>
      </c>
    </row>
    <row r="1059" spans="1:15" x14ac:dyDescent="0.35">
      <c r="A1059" s="1" t="s">
        <v>2031</v>
      </c>
      <c r="B1059" s="2">
        <v>45048</v>
      </c>
      <c r="C1059" s="1" t="s">
        <v>23</v>
      </c>
      <c r="D1059" s="1" t="s">
        <v>46</v>
      </c>
      <c r="E1059" s="1" t="str">
        <f>TRIM(CLEAN(Sheet1[[#This Row],[Category]]))</f>
        <v>Furniture</v>
      </c>
      <c r="F1059">
        <v>4</v>
      </c>
      <c r="G1059" t="str">
        <f t="shared" si="16"/>
        <v>2. Mid-Market (4-7 Units)</v>
      </c>
      <c r="H1059">
        <v>4</v>
      </c>
      <c r="I1059">
        <v>109.47</v>
      </c>
      <c r="J1059">
        <f>IF(ISBLANK(I1059), ROUND(I1059/ABS(VALUE(_xlfn.TEXTBEFORE(F1059&amp;" ", " "))), 2), ABS(VALUE(SUBSTITUTE(I1059, "$", ""))))</f>
        <v>109.47</v>
      </c>
      <c r="K1059">
        <f>ROUND(Sheet1[[#This Row],[CleanedUnits_sold]]*Sheet1[[#This Row],[Cleaned_Unit_Price]],2)</f>
        <v>437.88</v>
      </c>
      <c r="L1059">
        <v>437.88</v>
      </c>
      <c r="M1059" s="1" t="s">
        <v>2032</v>
      </c>
      <c r="N1059" s="1" t="s">
        <v>26</v>
      </c>
      <c r="O1059" s="1" t="s">
        <v>2032</v>
      </c>
    </row>
    <row r="1060" spans="1:15" x14ac:dyDescent="0.35">
      <c r="A1060" s="1" t="s">
        <v>2033</v>
      </c>
      <c r="B1060" s="2">
        <v>1</v>
      </c>
      <c r="C1060" s="1" t="s">
        <v>58</v>
      </c>
      <c r="D1060" s="1" t="s">
        <v>32</v>
      </c>
      <c r="E1060" s="1" t="str">
        <f>TRIM(CLEAN(Sheet1[[#This Row],[Category]]))</f>
        <v>Furniture</v>
      </c>
      <c r="F1060">
        <v>6</v>
      </c>
      <c r="G1060" t="str">
        <f t="shared" si="16"/>
        <v>2. Mid-Market (4-7 Units)</v>
      </c>
      <c r="H1060">
        <v>6</v>
      </c>
      <c r="I1060" t="s">
        <v>332</v>
      </c>
      <c r="J1060">
        <f>IF(ISBLANK(I1060), ROUND(I1060/ABS(VALUE(_xlfn.TEXTBEFORE(F1060&amp;" ", " "))), 2), ABS(VALUE(SUBSTITUTE(I1060, "$", ""))))</f>
        <v>250</v>
      </c>
      <c r="K1060">
        <f>ROUND(Sheet1[[#This Row],[CleanedUnits_sold]]*Sheet1[[#This Row],[Cleaned_Unit_Price]],2)</f>
        <v>1500</v>
      </c>
      <c r="L1060">
        <v>1388.52</v>
      </c>
      <c r="M1060" s="1" t="s">
        <v>2034</v>
      </c>
      <c r="N1060" s="1" t="s">
        <v>14</v>
      </c>
      <c r="O1060" s="1" t="s">
        <v>2034</v>
      </c>
    </row>
    <row r="1061" spans="1:15" x14ac:dyDescent="0.35">
      <c r="A1061" s="1" t="s">
        <v>2035</v>
      </c>
      <c r="B1061" s="2">
        <v>44974</v>
      </c>
      <c r="C1061" s="1" t="s">
        <v>16</v>
      </c>
      <c r="D1061" s="1" t="s">
        <v>32</v>
      </c>
      <c r="E1061" s="1" t="str">
        <f>TRIM(CLEAN(Sheet1[[#This Row],[Category]]))</f>
        <v>Furniture</v>
      </c>
      <c r="F1061">
        <v>8</v>
      </c>
      <c r="G1061" t="str">
        <f t="shared" si="16"/>
        <v>3. Wholesale / Bulk (8+ Units)</v>
      </c>
      <c r="H1061">
        <v>8</v>
      </c>
      <c r="I1061">
        <v>400.5</v>
      </c>
      <c r="J1061">
        <f>IF(ISBLANK(I1061), ROUND(I1061/ABS(VALUE(_xlfn.TEXTBEFORE(F1061&amp;" ", " "))), 2), ABS(VALUE(SUBSTITUTE(I1061, "$", ""))))</f>
        <v>400.5</v>
      </c>
      <c r="K1061">
        <f>ROUND(Sheet1[[#This Row],[CleanedUnits_sold]]*Sheet1[[#This Row],[Cleaned_Unit_Price]],2)</f>
        <v>3204</v>
      </c>
      <c r="L1061">
        <v>3204</v>
      </c>
      <c r="M1061" s="1" t="s">
        <v>2036</v>
      </c>
      <c r="N1061" s="1" t="s">
        <v>21</v>
      </c>
      <c r="O1061" s="1" t="s">
        <v>2036</v>
      </c>
    </row>
    <row r="1062" spans="1:15" x14ac:dyDescent="0.35">
      <c r="A1062" s="1" t="s">
        <v>2037</v>
      </c>
      <c r="B1062" s="2">
        <v>45193</v>
      </c>
      <c r="C1062" s="1" t="s">
        <v>11</v>
      </c>
      <c r="D1062" s="1" t="s">
        <v>12</v>
      </c>
      <c r="E1062" s="1" t="str">
        <f>TRIM(CLEAN(Sheet1[[#This Row],[Category]]))</f>
        <v>Office Supplies</v>
      </c>
      <c r="F1062">
        <v>4</v>
      </c>
      <c r="G1062" t="str">
        <f t="shared" si="16"/>
        <v>2. Mid-Market (4-7 Units)</v>
      </c>
      <c r="H1062">
        <v>4</v>
      </c>
      <c r="I1062">
        <v>299.31</v>
      </c>
      <c r="J1062">
        <f>IF(ISBLANK(I1062), ROUND(I1062/ABS(VALUE(_xlfn.TEXTBEFORE(F1062&amp;" ", " "))), 2), ABS(VALUE(SUBSTITUTE(I1062, "$", ""))))</f>
        <v>299.31</v>
      </c>
      <c r="K1062">
        <f>ROUND(Sheet1[[#This Row],[CleanedUnits_sold]]*Sheet1[[#This Row],[Cleaned_Unit_Price]],2)</f>
        <v>1197.24</v>
      </c>
      <c r="L1062">
        <v>1197.24</v>
      </c>
      <c r="M1062" s="1" t="s">
        <v>2038</v>
      </c>
      <c r="N1062" s="1" t="s">
        <v>14</v>
      </c>
      <c r="O1062" s="1" t="s">
        <v>2038</v>
      </c>
    </row>
    <row r="1063" spans="1:15" x14ac:dyDescent="0.35">
      <c r="A1063" s="1" t="s">
        <v>2039</v>
      </c>
      <c r="B1063" s="2">
        <v>45117</v>
      </c>
      <c r="C1063" s="1" t="s">
        <v>23</v>
      </c>
      <c r="D1063" s="1" t="s">
        <v>12</v>
      </c>
      <c r="E1063" s="1" t="str">
        <f>TRIM(CLEAN(Sheet1[[#This Row],[Category]]))</f>
        <v>Office Supplies</v>
      </c>
      <c r="F1063">
        <v>3</v>
      </c>
      <c r="G1063" t="str">
        <f t="shared" si="16"/>
        <v>1. Retail (1-3 Units)</v>
      </c>
      <c r="H1063">
        <v>3</v>
      </c>
      <c r="I1063">
        <v>-40.08</v>
      </c>
      <c r="J1063">
        <f>IF(ISBLANK(I1063), ROUND(I1063/ABS(VALUE(_xlfn.TEXTBEFORE(F1063&amp;" ", " "))), 2), ABS(VALUE(SUBSTITUTE(I1063, "$", ""))))</f>
        <v>40.08</v>
      </c>
      <c r="K1063">
        <f>ROUND(Sheet1[[#This Row],[CleanedUnits_sold]]*Sheet1[[#This Row],[Cleaned_Unit_Price]],2)</f>
        <v>120.24</v>
      </c>
      <c r="L1063">
        <v>172.47</v>
      </c>
      <c r="M1063" s="1" t="s">
        <v>2040</v>
      </c>
      <c r="N1063" s="1" t="s">
        <v>38</v>
      </c>
      <c r="O1063" s="1" t="s">
        <v>2040</v>
      </c>
    </row>
    <row r="1064" spans="1:15" x14ac:dyDescent="0.35">
      <c r="A1064" s="1" t="s">
        <v>2041</v>
      </c>
      <c r="B1064" s="2">
        <v>44970</v>
      </c>
      <c r="C1064" s="1" t="s">
        <v>23</v>
      </c>
      <c r="D1064" s="1" t="s">
        <v>24</v>
      </c>
      <c r="E1064" s="1" t="str">
        <f>TRIM(CLEAN(Sheet1[[#This Row],[Category]]))</f>
        <v>Electronics</v>
      </c>
      <c r="F1064">
        <v>6</v>
      </c>
      <c r="G1064" t="str">
        <f t="shared" si="16"/>
        <v>2. Mid-Market (4-7 Units)</v>
      </c>
      <c r="H1064">
        <v>6</v>
      </c>
      <c r="I1064">
        <v>278.52999999999997</v>
      </c>
      <c r="J1064">
        <f>IF(ISBLANK(I1064), ROUND(I1064/ABS(VALUE(_xlfn.TEXTBEFORE(F1064&amp;" ", " "))), 2), ABS(VALUE(SUBSTITUTE(I1064, "$", ""))))</f>
        <v>278.52999999999997</v>
      </c>
      <c r="K1064">
        <f>ROUND(Sheet1[[#This Row],[CleanedUnits_sold]]*Sheet1[[#This Row],[Cleaned_Unit_Price]],2)</f>
        <v>1671.18</v>
      </c>
      <c r="L1064">
        <v>1671.18</v>
      </c>
      <c r="M1064" s="1" t="s">
        <v>2042</v>
      </c>
      <c r="N1064" s="1" t="s">
        <v>38</v>
      </c>
      <c r="O1064" s="1" t="s">
        <v>2042</v>
      </c>
    </row>
    <row r="1065" spans="1:15" x14ac:dyDescent="0.35">
      <c r="A1065" s="1" t="s">
        <v>2043</v>
      </c>
      <c r="B1065" s="2">
        <v>45253</v>
      </c>
      <c r="C1065" s="1" t="s">
        <v>16</v>
      </c>
      <c r="D1065" s="1" t="s">
        <v>32</v>
      </c>
      <c r="E1065" s="1" t="str">
        <f>TRIM(CLEAN(Sheet1[[#This Row],[Category]]))</f>
        <v>Furniture</v>
      </c>
      <c r="F1065">
        <v>4</v>
      </c>
      <c r="G1065" t="str">
        <f t="shared" si="16"/>
        <v>2. Mid-Market (4-7 Units)</v>
      </c>
      <c r="H1065">
        <v>4</v>
      </c>
      <c r="I1065">
        <v>354.34</v>
      </c>
      <c r="J1065">
        <f>IF(ISBLANK(I1065), ROUND(I1065/ABS(VALUE(_xlfn.TEXTBEFORE(F1065&amp;" ", " "))), 2), ABS(VALUE(SUBSTITUTE(I1065, "$", ""))))</f>
        <v>354.34</v>
      </c>
      <c r="K1065">
        <f>ROUND(Sheet1[[#This Row],[CleanedUnits_sold]]*Sheet1[[#This Row],[Cleaned_Unit_Price]],2)</f>
        <v>1417.36</v>
      </c>
      <c r="L1065">
        <v>1417.36</v>
      </c>
      <c r="M1065" s="1" t="s">
        <v>2044</v>
      </c>
      <c r="N1065" s="1" t="s">
        <v>14</v>
      </c>
      <c r="O1065" s="1" t="s">
        <v>2044</v>
      </c>
    </row>
    <row r="1066" spans="1:15" x14ac:dyDescent="0.35">
      <c r="A1066" s="1" t="s">
        <v>2045</v>
      </c>
      <c r="B1066" s="2">
        <v>1</v>
      </c>
      <c r="C1066" s="1" t="s">
        <v>19</v>
      </c>
      <c r="D1066" s="1" t="s">
        <v>24</v>
      </c>
      <c r="E1066" s="1" t="str">
        <f>TRIM(CLEAN(Sheet1[[#This Row],[Category]]))</f>
        <v>Electronics</v>
      </c>
      <c r="F1066">
        <v>2</v>
      </c>
      <c r="G1066" t="str">
        <f t="shared" si="16"/>
        <v>1. Retail (1-3 Units)</v>
      </c>
      <c r="H1066">
        <v>2</v>
      </c>
      <c r="I1066">
        <v>398.42</v>
      </c>
      <c r="J1066">
        <f>IF(ISBLANK(I1066), ROUND(I1066/ABS(VALUE(_xlfn.TEXTBEFORE(F1066&amp;" ", " "))), 2), ABS(VALUE(SUBSTITUTE(I1066, "$", ""))))</f>
        <v>398.42</v>
      </c>
      <c r="K1066">
        <f>ROUND(Sheet1[[#This Row],[CleanedUnits_sold]]*Sheet1[[#This Row],[Cleaned_Unit_Price]],2)</f>
        <v>796.84</v>
      </c>
      <c r="L1066">
        <v>796.84</v>
      </c>
      <c r="M1066" s="1" t="s">
        <v>2046</v>
      </c>
      <c r="N1066" s="1" t="s">
        <v>14</v>
      </c>
      <c r="O1066" s="1" t="s">
        <v>2046</v>
      </c>
    </row>
    <row r="1067" spans="1:15" x14ac:dyDescent="0.35">
      <c r="A1067" s="1" t="s">
        <v>2047</v>
      </c>
      <c r="B1067" s="2">
        <v>45238</v>
      </c>
      <c r="C1067" s="1" t="s">
        <v>19</v>
      </c>
      <c r="D1067" s="1" t="s">
        <v>24</v>
      </c>
      <c r="E1067" s="1" t="str">
        <f>TRIM(CLEAN(Sheet1[[#This Row],[Category]]))</f>
        <v>Electronics</v>
      </c>
      <c r="F1067">
        <v>3</v>
      </c>
      <c r="G1067" t="str">
        <f t="shared" si="16"/>
        <v>1. Retail (1-3 Units)</v>
      </c>
      <c r="H1067">
        <v>3</v>
      </c>
      <c r="I1067">
        <v>318.27</v>
      </c>
      <c r="J1067">
        <f>IF(ISBLANK(I1067), ROUND(I1067/ABS(VALUE(_xlfn.TEXTBEFORE(F1067&amp;" ", " "))), 2), ABS(VALUE(SUBSTITUTE(I1067, "$", ""))))</f>
        <v>318.27</v>
      </c>
      <c r="K1067">
        <f>ROUND(Sheet1[[#This Row],[CleanedUnits_sold]]*Sheet1[[#This Row],[Cleaned_Unit_Price]],2)</f>
        <v>954.81</v>
      </c>
      <c r="L1067">
        <v>1394.71</v>
      </c>
      <c r="M1067" s="1" t="s">
        <v>2048</v>
      </c>
      <c r="N1067" s="1" t="s">
        <v>26</v>
      </c>
      <c r="O1067" s="1" t="s">
        <v>2048</v>
      </c>
    </row>
    <row r="1068" spans="1:15" x14ac:dyDescent="0.35">
      <c r="A1068" s="1" t="s">
        <v>2049</v>
      </c>
      <c r="B1068" s="2">
        <v>45060</v>
      </c>
      <c r="C1068" s="1" t="s">
        <v>19</v>
      </c>
      <c r="D1068" s="1" t="s">
        <v>32</v>
      </c>
      <c r="E1068" s="1" t="str">
        <f>TRIM(CLEAN(Sheet1[[#This Row],[Category]]))</f>
        <v>Furniture</v>
      </c>
      <c r="F1068">
        <v>1</v>
      </c>
      <c r="G1068" t="str">
        <f t="shared" si="16"/>
        <v>1. Retail (1-3 Units)</v>
      </c>
      <c r="H1068">
        <v>1</v>
      </c>
      <c r="I1068">
        <v>84.8</v>
      </c>
      <c r="J1068">
        <f>IF(ISBLANK(I1068), ROUND(I1068/ABS(VALUE(_xlfn.TEXTBEFORE(F1068&amp;" ", " "))), 2), ABS(VALUE(SUBSTITUTE(I1068, "$", ""))))</f>
        <v>84.8</v>
      </c>
      <c r="K1068">
        <f>ROUND(Sheet1[[#This Row],[CleanedUnits_sold]]*Sheet1[[#This Row],[Cleaned_Unit_Price]],2)</f>
        <v>84.8</v>
      </c>
      <c r="L1068">
        <v>84.8</v>
      </c>
      <c r="M1068" s="1" t="s">
        <v>2050</v>
      </c>
      <c r="N1068" s="1" t="s">
        <v>14</v>
      </c>
      <c r="O1068" s="1" t="s">
        <v>2050</v>
      </c>
    </row>
    <row r="1069" spans="1:15" x14ac:dyDescent="0.35">
      <c r="A1069" s="1" t="s">
        <v>2051</v>
      </c>
      <c r="B1069" s="2">
        <v>45128</v>
      </c>
      <c r="C1069" s="1" t="s">
        <v>11</v>
      </c>
      <c r="D1069" s="1" t="s">
        <v>24</v>
      </c>
      <c r="E1069" s="1" t="str">
        <f>TRIM(CLEAN(Sheet1[[#This Row],[Category]]))</f>
        <v>Electronics</v>
      </c>
      <c r="G1069" t="str">
        <f t="shared" si="16"/>
        <v>3. Wholesale / Bulk (8+ Units)</v>
      </c>
      <c r="H1069">
        <v>9</v>
      </c>
      <c r="I1069">
        <v>357.98</v>
      </c>
      <c r="J1069">
        <f>IF(ISBLANK(I1069), ROUND(I1069/ABS(VALUE(_xlfn.TEXTBEFORE(F1069&amp;" ", " "))), 2), ABS(VALUE(SUBSTITUTE(I1069, "$", ""))))</f>
        <v>357.98</v>
      </c>
      <c r="K1069">
        <f>ROUND(Sheet1[[#This Row],[CleanedUnits_sold]]*Sheet1[[#This Row],[Cleaned_Unit_Price]],2)</f>
        <v>3221.82</v>
      </c>
      <c r="L1069">
        <v>3221.82</v>
      </c>
      <c r="M1069" s="1" t="s">
        <v>2052</v>
      </c>
      <c r="N1069" s="1" t="s">
        <v>50</v>
      </c>
      <c r="O1069" s="1" t="s">
        <v>2052</v>
      </c>
    </row>
    <row r="1070" spans="1:15" x14ac:dyDescent="0.35">
      <c r="A1070" s="1" t="s">
        <v>2053</v>
      </c>
      <c r="B1070" s="2">
        <v>1</v>
      </c>
      <c r="C1070" s="1" t="s">
        <v>58</v>
      </c>
      <c r="D1070" s="1" t="s">
        <v>24</v>
      </c>
      <c r="E1070" s="1" t="str">
        <f>TRIM(CLEAN(Sheet1[[#This Row],[Category]]))</f>
        <v>Electronics</v>
      </c>
      <c r="F1070">
        <v>5</v>
      </c>
      <c r="G1070" t="str">
        <f t="shared" si="16"/>
        <v>2. Mid-Market (4-7 Units)</v>
      </c>
      <c r="H1070">
        <v>5</v>
      </c>
      <c r="I1070">
        <v>341.9</v>
      </c>
      <c r="J1070">
        <f>IF(ISBLANK(I1070), ROUND(I1070/ABS(VALUE(_xlfn.TEXTBEFORE(F1070&amp;" ", " "))), 2), ABS(VALUE(SUBSTITUTE(I1070, "$", ""))))</f>
        <v>341.9</v>
      </c>
      <c r="K1070">
        <f>ROUND(Sheet1[[#This Row],[CleanedUnits_sold]]*Sheet1[[#This Row],[Cleaned_Unit_Price]],2)</f>
        <v>1709.5</v>
      </c>
      <c r="L1070">
        <v>1709.5</v>
      </c>
      <c r="M1070" s="1" t="s">
        <v>2054</v>
      </c>
      <c r="N1070" s="1" t="s">
        <v>14</v>
      </c>
      <c r="O1070" s="1" t="s">
        <v>2054</v>
      </c>
    </row>
    <row r="1071" spans="1:15" x14ac:dyDescent="0.35">
      <c r="A1071" s="1" t="s">
        <v>2055</v>
      </c>
      <c r="B1071" s="2">
        <v>1</v>
      </c>
      <c r="C1071" s="1" t="s">
        <v>16</v>
      </c>
      <c r="D1071" s="1" t="s">
        <v>24</v>
      </c>
      <c r="E1071" s="1" t="str">
        <f>TRIM(CLEAN(Sheet1[[#This Row],[Category]]))</f>
        <v>Electronics</v>
      </c>
      <c r="F1071">
        <v>3</v>
      </c>
      <c r="G1071" t="str">
        <f t="shared" si="16"/>
        <v>1. Retail (1-3 Units)</v>
      </c>
      <c r="H1071">
        <v>3</v>
      </c>
      <c r="I1071">
        <v>21.97</v>
      </c>
      <c r="J1071">
        <f>IF(ISBLANK(I1071), ROUND(I1071/ABS(VALUE(_xlfn.TEXTBEFORE(F1071&amp;" ", " "))), 2), ABS(VALUE(SUBSTITUTE(I1071, "$", ""))))</f>
        <v>21.97</v>
      </c>
      <c r="K1071">
        <f>ROUND(Sheet1[[#This Row],[CleanedUnits_sold]]*Sheet1[[#This Row],[Cleaned_Unit_Price]],2)</f>
        <v>65.91</v>
      </c>
      <c r="L1071">
        <v>65.91</v>
      </c>
      <c r="M1071" s="1" t="s">
        <v>2056</v>
      </c>
      <c r="N1071" s="1" t="s">
        <v>14</v>
      </c>
      <c r="O1071" s="1" t="s">
        <v>2056</v>
      </c>
    </row>
    <row r="1072" spans="1:15" x14ac:dyDescent="0.35">
      <c r="A1072" s="1" t="s">
        <v>2057</v>
      </c>
      <c r="B1072" s="2">
        <v>45226</v>
      </c>
      <c r="C1072" s="1" t="s">
        <v>23</v>
      </c>
      <c r="D1072" s="1" t="s">
        <v>46</v>
      </c>
      <c r="E1072" s="1" t="str">
        <f>TRIM(CLEAN(Sheet1[[#This Row],[Category]]))</f>
        <v>Furniture</v>
      </c>
      <c r="F1072">
        <v>4</v>
      </c>
      <c r="G1072" t="str">
        <f t="shared" si="16"/>
        <v>2. Mid-Market (4-7 Units)</v>
      </c>
      <c r="H1072">
        <v>4</v>
      </c>
      <c r="I1072">
        <v>211.76</v>
      </c>
      <c r="J1072">
        <f>IF(ISBLANK(I1072), ROUND(I1072/ABS(VALUE(_xlfn.TEXTBEFORE(F1072&amp;" ", " "))), 2), ABS(VALUE(SUBSTITUTE(I1072, "$", ""))))</f>
        <v>211.76</v>
      </c>
      <c r="K1072">
        <f>ROUND(Sheet1[[#This Row],[CleanedUnits_sold]]*Sheet1[[#This Row],[Cleaned_Unit_Price]],2)</f>
        <v>847.04</v>
      </c>
      <c r="L1072">
        <v>847.04</v>
      </c>
      <c r="M1072" s="1" t="s">
        <v>2058</v>
      </c>
      <c r="N1072" s="1" t="s">
        <v>14</v>
      </c>
      <c r="O1072" s="1" t="s">
        <v>2058</v>
      </c>
    </row>
    <row r="1073" spans="1:15" x14ac:dyDescent="0.35">
      <c r="A1073" s="1" t="s">
        <v>2059</v>
      </c>
      <c r="B1073" s="2">
        <v>45011</v>
      </c>
      <c r="C1073" s="1" t="s">
        <v>16</v>
      </c>
      <c r="D1073" s="1" t="s">
        <v>12</v>
      </c>
      <c r="E1073" s="1" t="str">
        <f>TRIM(CLEAN(Sheet1[[#This Row],[Category]]))</f>
        <v>Office Supplies</v>
      </c>
      <c r="F1073">
        <v>3</v>
      </c>
      <c r="G1073" t="str">
        <f t="shared" si="16"/>
        <v>1. Retail (1-3 Units)</v>
      </c>
      <c r="H1073">
        <v>3</v>
      </c>
      <c r="I1073">
        <v>173.15</v>
      </c>
      <c r="J1073">
        <f>IF(ISBLANK(I1073), ROUND(I1073/ABS(VALUE(_xlfn.TEXTBEFORE(F1073&amp;" ", " "))), 2), ABS(VALUE(SUBSTITUTE(I1073, "$", ""))))</f>
        <v>173.15</v>
      </c>
      <c r="K1073">
        <f>ROUND(Sheet1[[#This Row],[CleanedUnits_sold]]*Sheet1[[#This Row],[Cleaned_Unit_Price]],2)</f>
        <v>519.45000000000005</v>
      </c>
      <c r="L1073">
        <v>519.45000000000005</v>
      </c>
      <c r="M1073" s="1"/>
      <c r="N1073" s="1" t="s">
        <v>26</v>
      </c>
      <c r="O1073" s="1" t="s">
        <v>131</v>
      </c>
    </row>
    <row r="1074" spans="1:15" x14ac:dyDescent="0.35">
      <c r="A1074" s="1" t="s">
        <v>2060</v>
      </c>
      <c r="B1074" s="2">
        <v>45135</v>
      </c>
      <c r="C1074" s="1" t="s">
        <v>11</v>
      </c>
      <c r="D1074" s="1" t="s">
        <v>12</v>
      </c>
      <c r="E1074" s="1" t="str">
        <f>TRIM(CLEAN(Sheet1[[#This Row],[Category]]))</f>
        <v>Office Supplies</v>
      </c>
      <c r="G1074" t="str">
        <f t="shared" si="16"/>
        <v>2. Mid-Market (4-7 Units)</v>
      </c>
      <c r="H1074">
        <v>5</v>
      </c>
      <c r="I1074">
        <v>-149.25</v>
      </c>
      <c r="J1074">
        <f>IF(ISBLANK(I1074), ROUND(I1074/ABS(VALUE(_xlfn.TEXTBEFORE(F1074&amp;" ", " "))), 2), ABS(VALUE(SUBSTITUTE(I1074, "$", ""))))</f>
        <v>149.25</v>
      </c>
      <c r="K1074">
        <f>ROUND(Sheet1[[#This Row],[CleanedUnits_sold]]*Sheet1[[#This Row],[Cleaned_Unit_Price]],2)</f>
        <v>746.25</v>
      </c>
      <c r="L1074">
        <v>1352.04</v>
      </c>
      <c r="M1074" s="1" t="s">
        <v>2061</v>
      </c>
      <c r="N1074" s="1" t="s">
        <v>50</v>
      </c>
      <c r="O1074" s="1" t="s">
        <v>2061</v>
      </c>
    </row>
    <row r="1075" spans="1:15" x14ac:dyDescent="0.35">
      <c r="A1075" s="1" t="s">
        <v>2062</v>
      </c>
      <c r="B1075" s="2">
        <v>45033</v>
      </c>
      <c r="C1075" s="1" t="s">
        <v>16</v>
      </c>
      <c r="D1075" s="1" t="s">
        <v>32</v>
      </c>
      <c r="E1075" s="1" t="str">
        <f>TRIM(CLEAN(Sheet1[[#This Row],[Category]]))</f>
        <v>Furniture</v>
      </c>
      <c r="F1075">
        <v>6</v>
      </c>
      <c r="G1075" t="str">
        <f t="shared" si="16"/>
        <v>2. Mid-Market (4-7 Units)</v>
      </c>
      <c r="H1075">
        <v>6</v>
      </c>
      <c r="I1075">
        <v>115.91</v>
      </c>
      <c r="J1075">
        <f>IF(ISBLANK(I1075), ROUND(I1075/ABS(VALUE(_xlfn.TEXTBEFORE(F1075&amp;" ", " "))), 2), ABS(VALUE(SUBSTITUTE(I1075, "$", ""))))</f>
        <v>115.91</v>
      </c>
      <c r="K1075">
        <f>ROUND(Sheet1[[#This Row],[CleanedUnits_sold]]*Sheet1[[#This Row],[Cleaned_Unit_Price]],2)</f>
        <v>695.46</v>
      </c>
      <c r="L1075">
        <v>695.46</v>
      </c>
      <c r="M1075" s="1" t="s">
        <v>2063</v>
      </c>
      <c r="N1075" s="1" t="s">
        <v>50</v>
      </c>
      <c r="O1075" s="1" t="s">
        <v>2063</v>
      </c>
    </row>
    <row r="1076" spans="1:15" x14ac:dyDescent="0.35">
      <c r="A1076" s="1" t="s">
        <v>2064</v>
      </c>
      <c r="B1076" s="2">
        <v>45062</v>
      </c>
      <c r="C1076" s="1" t="s">
        <v>16</v>
      </c>
      <c r="D1076" s="1" t="s">
        <v>24</v>
      </c>
      <c r="E1076" s="1" t="str">
        <f>TRIM(CLEAN(Sheet1[[#This Row],[Category]]))</f>
        <v>Electronics</v>
      </c>
      <c r="F1076">
        <v>4</v>
      </c>
      <c r="G1076" t="str">
        <f t="shared" si="16"/>
        <v>2. Mid-Market (4-7 Units)</v>
      </c>
      <c r="H1076">
        <v>4</v>
      </c>
      <c r="I1076">
        <v>299.52999999999997</v>
      </c>
      <c r="J1076">
        <f>IF(ISBLANK(I1076), ROUND(I1076/ABS(VALUE(_xlfn.TEXTBEFORE(F1076&amp;" ", " "))), 2), ABS(VALUE(SUBSTITUTE(I1076, "$", ""))))</f>
        <v>299.52999999999997</v>
      </c>
      <c r="K1076">
        <f>ROUND(Sheet1[[#This Row],[CleanedUnits_sold]]*Sheet1[[#This Row],[Cleaned_Unit_Price]],2)</f>
        <v>1198.1199999999999</v>
      </c>
      <c r="L1076">
        <v>1198.1199999999999</v>
      </c>
      <c r="M1076" s="1" t="s">
        <v>2065</v>
      </c>
      <c r="N1076" s="1" t="s">
        <v>38</v>
      </c>
      <c r="O1076" s="1" t="s">
        <v>2065</v>
      </c>
    </row>
    <row r="1077" spans="1:15" x14ac:dyDescent="0.35">
      <c r="A1077" s="1" t="s">
        <v>2066</v>
      </c>
      <c r="B1077" s="2">
        <v>1</v>
      </c>
      <c r="C1077" s="1" t="s">
        <v>58</v>
      </c>
      <c r="D1077" s="1" t="s">
        <v>32</v>
      </c>
      <c r="E1077" s="1" t="str">
        <f>TRIM(CLEAN(Sheet1[[#This Row],[Category]]))</f>
        <v>Furniture</v>
      </c>
      <c r="F1077">
        <v>2</v>
      </c>
      <c r="G1077" t="str">
        <f t="shared" si="16"/>
        <v>1. Retail (1-3 Units)</v>
      </c>
      <c r="H1077">
        <v>2</v>
      </c>
      <c r="I1077">
        <v>457.47</v>
      </c>
      <c r="J1077">
        <f>IF(ISBLANK(I1077), ROUND(I1077/ABS(VALUE(_xlfn.TEXTBEFORE(F1077&amp;" ", " "))), 2), ABS(VALUE(SUBSTITUTE(I1077, "$", ""))))</f>
        <v>457.47</v>
      </c>
      <c r="K1077">
        <f>ROUND(Sheet1[[#This Row],[CleanedUnits_sold]]*Sheet1[[#This Row],[Cleaned_Unit_Price]],2)</f>
        <v>914.94</v>
      </c>
      <c r="L1077">
        <v>914.94</v>
      </c>
      <c r="M1077" s="1" t="s">
        <v>2067</v>
      </c>
      <c r="N1077" s="1" t="s">
        <v>14</v>
      </c>
      <c r="O1077" s="1" t="s">
        <v>2067</v>
      </c>
    </row>
    <row r="1078" spans="1:15" x14ac:dyDescent="0.35">
      <c r="A1078" s="1" t="s">
        <v>2068</v>
      </c>
      <c r="B1078" s="2">
        <v>45082</v>
      </c>
      <c r="C1078" s="1" t="s">
        <v>58</v>
      </c>
      <c r="D1078" s="1" t="s">
        <v>46</v>
      </c>
      <c r="E1078" s="1" t="str">
        <f>TRIM(CLEAN(Sheet1[[#This Row],[Category]]))</f>
        <v>Furniture</v>
      </c>
      <c r="F1078">
        <v>6</v>
      </c>
      <c r="G1078" t="str">
        <f t="shared" si="16"/>
        <v>2. Mid-Market (4-7 Units)</v>
      </c>
      <c r="H1078">
        <v>6</v>
      </c>
      <c r="I1078">
        <v>400.92</v>
      </c>
      <c r="J1078">
        <f>IF(ISBLANK(I1078), ROUND(I1078/ABS(VALUE(_xlfn.TEXTBEFORE(F1078&amp;" ", " "))), 2), ABS(VALUE(SUBSTITUTE(I1078, "$", ""))))</f>
        <v>400.92</v>
      </c>
      <c r="K1078">
        <f>ROUND(Sheet1[[#This Row],[CleanedUnits_sold]]*Sheet1[[#This Row],[Cleaned_Unit_Price]],2)</f>
        <v>2405.52</v>
      </c>
      <c r="L1078">
        <v>2405.52</v>
      </c>
      <c r="M1078" s="1" t="s">
        <v>2069</v>
      </c>
      <c r="N1078" s="1" t="s">
        <v>38</v>
      </c>
      <c r="O1078" s="1" t="s">
        <v>2069</v>
      </c>
    </row>
    <row r="1079" spans="1:15" x14ac:dyDescent="0.35">
      <c r="A1079" s="1" t="s">
        <v>2070</v>
      </c>
      <c r="B1079" s="2">
        <v>1</v>
      </c>
      <c r="C1079" s="1" t="s">
        <v>16</v>
      </c>
      <c r="D1079" s="1" t="s">
        <v>24</v>
      </c>
      <c r="E1079" s="1" t="str">
        <f>TRIM(CLEAN(Sheet1[[#This Row],[Category]]))</f>
        <v>Electronics</v>
      </c>
      <c r="F1079">
        <v>3</v>
      </c>
      <c r="G1079" t="str">
        <f t="shared" si="16"/>
        <v>1. Retail (1-3 Units)</v>
      </c>
      <c r="H1079">
        <v>3</v>
      </c>
      <c r="I1079">
        <v>461.51</v>
      </c>
      <c r="J1079">
        <f>IF(ISBLANK(I1079), ROUND(I1079/ABS(VALUE(_xlfn.TEXTBEFORE(F1079&amp;" ", " "))), 2), ABS(VALUE(SUBSTITUTE(I1079, "$", ""))))</f>
        <v>461.51</v>
      </c>
      <c r="K1079">
        <f>ROUND(Sheet1[[#This Row],[CleanedUnits_sold]]*Sheet1[[#This Row],[Cleaned_Unit_Price]],2)</f>
        <v>1384.53</v>
      </c>
      <c r="L1079">
        <v>1384.53</v>
      </c>
      <c r="M1079" s="1" t="s">
        <v>2071</v>
      </c>
      <c r="N1079" s="1" t="s">
        <v>14</v>
      </c>
      <c r="O1079" s="1" t="s">
        <v>2071</v>
      </c>
    </row>
    <row r="1080" spans="1:15" x14ac:dyDescent="0.35">
      <c r="A1080" s="1" t="s">
        <v>2072</v>
      </c>
      <c r="B1080" s="2">
        <v>1</v>
      </c>
      <c r="C1080" s="1" t="s">
        <v>16</v>
      </c>
      <c r="D1080" s="1" t="s">
        <v>24</v>
      </c>
      <c r="E1080" s="1" t="str">
        <f>TRIM(CLEAN(Sheet1[[#This Row],[Category]]))</f>
        <v>Electronics</v>
      </c>
      <c r="F1080">
        <v>6</v>
      </c>
      <c r="G1080" t="str">
        <f t="shared" si="16"/>
        <v>2. Mid-Market (4-7 Units)</v>
      </c>
      <c r="H1080">
        <v>6</v>
      </c>
      <c r="I1080" t="s">
        <v>332</v>
      </c>
      <c r="J1080">
        <f>IF(ISBLANK(I1080), ROUND(I1080/ABS(VALUE(_xlfn.TEXTBEFORE(F1080&amp;" ", " "))), 2), ABS(VALUE(SUBSTITUTE(I1080, "$", ""))))</f>
        <v>250</v>
      </c>
      <c r="K1080">
        <f>ROUND(Sheet1[[#This Row],[CleanedUnits_sold]]*Sheet1[[#This Row],[Cleaned_Unit_Price]],2)</f>
        <v>1500</v>
      </c>
      <c r="L1080">
        <v>2936.82</v>
      </c>
      <c r="M1080" s="1"/>
      <c r="N1080" s="1" t="s">
        <v>21</v>
      </c>
      <c r="O1080" s="1" t="s">
        <v>131</v>
      </c>
    </row>
    <row r="1081" spans="1:15" x14ac:dyDescent="0.35">
      <c r="A1081" s="1" t="s">
        <v>2073</v>
      </c>
      <c r="B1081" s="2">
        <v>45109</v>
      </c>
      <c r="C1081" s="1" t="s">
        <v>19</v>
      </c>
      <c r="D1081" s="1" t="s">
        <v>32</v>
      </c>
      <c r="E1081" s="1" t="str">
        <f>TRIM(CLEAN(Sheet1[[#This Row],[Category]]))</f>
        <v>Furniture</v>
      </c>
      <c r="F1081">
        <v>2</v>
      </c>
      <c r="G1081" t="str">
        <f t="shared" si="16"/>
        <v>1. Retail (1-3 Units)</v>
      </c>
      <c r="H1081">
        <v>2</v>
      </c>
      <c r="I1081">
        <v>15.23</v>
      </c>
      <c r="J1081">
        <f>IF(ISBLANK(I1081), ROUND(I1081/ABS(VALUE(_xlfn.TEXTBEFORE(F1081&amp;" ", " "))), 2), ABS(VALUE(SUBSTITUTE(I1081, "$", ""))))</f>
        <v>15.23</v>
      </c>
      <c r="K1081">
        <f>ROUND(Sheet1[[#This Row],[CleanedUnits_sold]]*Sheet1[[#This Row],[Cleaned_Unit_Price]],2)</f>
        <v>30.46</v>
      </c>
      <c r="L1081">
        <v>30.46</v>
      </c>
      <c r="M1081" s="1" t="s">
        <v>2074</v>
      </c>
      <c r="N1081" s="1" t="s">
        <v>26</v>
      </c>
      <c r="O1081" s="1" t="s">
        <v>2074</v>
      </c>
    </row>
    <row r="1082" spans="1:15" x14ac:dyDescent="0.35">
      <c r="A1082" s="1" t="s">
        <v>2075</v>
      </c>
      <c r="B1082" s="2">
        <v>45273</v>
      </c>
      <c r="C1082" s="1" t="s">
        <v>16</v>
      </c>
      <c r="D1082" s="1" t="s">
        <v>12</v>
      </c>
      <c r="E1082" s="1" t="str">
        <f>TRIM(CLEAN(Sheet1[[#This Row],[Category]]))</f>
        <v>Office Supplies</v>
      </c>
      <c r="F1082">
        <v>9999</v>
      </c>
      <c r="G1082" t="str">
        <f t="shared" si="16"/>
        <v>2. Mid-Market (4-7 Units)</v>
      </c>
      <c r="H1082">
        <v>5</v>
      </c>
      <c r="I1082">
        <v>315.14</v>
      </c>
      <c r="J1082">
        <f>IF(ISBLANK(I1082), ROUND(I1082/ABS(VALUE(_xlfn.TEXTBEFORE(F1082&amp;" ", " "))), 2), ABS(VALUE(SUBSTITUTE(I1082, "$", ""))))</f>
        <v>315.14</v>
      </c>
      <c r="K1082">
        <f>ROUND(Sheet1[[#This Row],[CleanedUnits_sold]]*Sheet1[[#This Row],[Cleaned_Unit_Price]],2)</f>
        <v>1575.7</v>
      </c>
      <c r="L1082">
        <v>2521.12</v>
      </c>
      <c r="M1082" s="1" t="s">
        <v>84</v>
      </c>
      <c r="N1082" s="1" t="s">
        <v>26</v>
      </c>
      <c r="O1082" s="1" t="s">
        <v>85</v>
      </c>
    </row>
    <row r="1083" spans="1:15" x14ac:dyDescent="0.35">
      <c r="A1083" s="1" t="s">
        <v>2076</v>
      </c>
      <c r="B1083" s="2">
        <v>45016</v>
      </c>
      <c r="C1083" s="1" t="s">
        <v>58</v>
      </c>
      <c r="D1083" s="1" t="s">
        <v>12</v>
      </c>
      <c r="E1083" s="1" t="str">
        <f>TRIM(CLEAN(Sheet1[[#This Row],[Category]]))</f>
        <v>Office Supplies</v>
      </c>
      <c r="F1083">
        <v>3</v>
      </c>
      <c r="G1083" t="str">
        <f t="shared" si="16"/>
        <v>1. Retail (1-3 Units)</v>
      </c>
      <c r="H1083">
        <v>3</v>
      </c>
      <c r="I1083">
        <v>212.29</v>
      </c>
      <c r="J1083">
        <f>IF(ISBLANK(I1083), ROUND(I1083/ABS(VALUE(_xlfn.TEXTBEFORE(F1083&amp;" ", " "))), 2), ABS(VALUE(SUBSTITUTE(I1083, "$", ""))))</f>
        <v>212.29</v>
      </c>
      <c r="K1083">
        <f>ROUND(Sheet1[[#This Row],[CleanedUnits_sold]]*Sheet1[[#This Row],[Cleaned_Unit_Price]],2)</f>
        <v>636.87</v>
      </c>
      <c r="L1083">
        <v>636.87</v>
      </c>
      <c r="M1083" s="1" t="s">
        <v>2077</v>
      </c>
      <c r="N1083" s="1" t="s">
        <v>50</v>
      </c>
      <c r="O1083" s="1" t="s">
        <v>2077</v>
      </c>
    </row>
    <row r="1084" spans="1:15" x14ac:dyDescent="0.35">
      <c r="A1084" s="1" t="s">
        <v>2078</v>
      </c>
      <c r="B1084" s="2">
        <v>1</v>
      </c>
      <c r="C1084" s="1" t="s">
        <v>16</v>
      </c>
      <c r="D1084" s="1" t="s">
        <v>24</v>
      </c>
      <c r="E1084" s="1" t="str">
        <f>TRIM(CLEAN(Sheet1[[#This Row],[Category]]))</f>
        <v>Electronics</v>
      </c>
      <c r="F1084">
        <v>6</v>
      </c>
      <c r="G1084" t="str">
        <f t="shared" si="16"/>
        <v>2. Mid-Market (4-7 Units)</v>
      </c>
      <c r="H1084">
        <v>6</v>
      </c>
      <c r="I1084">
        <v>431.33</v>
      </c>
      <c r="J1084">
        <f>IF(ISBLANK(I1084), ROUND(I1084/ABS(VALUE(_xlfn.TEXTBEFORE(F1084&amp;" ", " "))), 2), ABS(VALUE(SUBSTITUTE(I1084, "$", ""))))</f>
        <v>431.33</v>
      </c>
      <c r="K1084">
        <f>ROUND(Sheet1[[#This Row],[CleanedUnits_sold]]*Sheet1[[#This Row],[Cleaned_Unit_Price]],2)</f>
        <v>2587.98</v>
      </c>
      <c r="L1084">
        <v>2661.42</v>
      </c>
      <c r="M1084" s="1" t="s">
        <v>2079</v>
      </c>
      <c r="N1084" s="1" t="s">
        <v>14</v>
      </c>
      <c r="O1084" s="1" t="s">
        <v>2079</v>
      </c>
    </row>
    <row r="1085" spans="1:15" x14ac:dyDescent="0.35">
      <c r="A1085" s="1" t="s">
        <v>2080</v>
      </c>
      <c r="B1085" s="2">
        <v>1</v>
      </c>
      <c r="C1085" s="1" t="s">
        <v>16</v>
      </c>
      <c r="D1085" s="1" t="s">
        <v>24</v>
      </c>
      <c r="E1085" s="1" t="str">
        <f>TRIM(CLEAN(Sheet1[[#This Row],[Category]]))</f>
        <v>Electronics</v>
      </c>
      <c r="F1085">
        <v>4</v>
      </c>
      <c r="G1085" t="str">
        <f t="shared" si="16"/>
        <v>2. Mid-Market (4-7 Units)</v>
      </c>
      <c r="H1085">
        <v>4</v>
      </c>
      <c r="I1085">
        <v>133.38999999999999</v>
      </c>
      <c r="J1085">
        <f>IF(ISBLANK(I1085), ROUND(I1085/ABS(VALUE(_xlfn.TEXTBEFORE(F1085&amp;" ", " "))), 2), ABS(VALUE(SUBSTITUTE(I1085, "$", ""))))</f>
        <v>133.38999999999999</v>
      </c>
      <c r="K1085">
        <f>ROUND(Sheet1[[#This Row],[CleanedUnits_sold]]*Sheet1[[#This Row],[Cleaned_Unit_Price]],2)</f>
        <v>533.55999999999995</v>
      </c>
      <c r="L1085">
        <v>533.55999999999995</v>
      </c>
      <c r="M1085" s="1" t="s">
        <v>2081</v>
      </c>
      <c r="N1085" s="1" t="s">
        <v>14</v>
      </c>
      <c r="O1085" s="1" t="s">
        <v>2081</v>
      </c>
    </row>
    <row r="1086" spans="1:15" x14ac:dyDescent="0.35">
      <c r="A1086" s="1" t="s">
        <v>2082</v>
      </c>
      <c r="B1086" s="2">
        <v>44998</v>
      </c>
      <c r="C1086" s="1" t="s">
        <v>16</v>
      </c>
      <c r="D1086" s="1" t="s">
        <v>24</v>
      </c>
      <c r="E1086" s="1" t="str">
        <f>TRIM(CLEAN(Sheet1[[#This Row],[Category]]))</f>
        <v>Electronics</v>
      </c>
      <c r="F1086">
        <v>5</v>
      </c>
      <c r="G1086" t="str">
        <f t="shared" si="16"/>
        <v>2. Mid-Market (4-7 Units)</v>
      </c>
      <c r="H1086">
        <v>5</v>
      </c>
      <c r="I1086">
        <v>490.7</v>
      </c>
      <c r="J1086">
        <f>IF(ISBLANK(I1086), ROUND(I1086/ABS(VALUE(_xlfn.TEXTBEFORE(F1086&amp;" ", " "))), 2), ABS(VALUE(SUBSTITUTE(I1086, "$", ""))))</f>
        <v>490.7</v>
      </c>
      <c r="K1086">
        <f>ROUND(Sheet1[[#This Row],[CleanedUnits_sold]]*Sheet1[[#This Row],[Cleaned_Unit_Price]],2)</f>
        <v>2453.5</v>
      </c>
      <c r="L1086">
        <v>2453.5</v>
      </c>
      <c r="M1086" s="1" t="s">
        <v>2083</v>
      </c>
      <c r="N1086" s="1" t="s">
        <v>14</v>
      </c>
      <c r="O1086" s="1" t="s">
        <v>2083</v>
      </c>
    </row>
    <row r="1087" spans="1:15" x14ac:dyDescent="0.35">
      <c r="A1087" s="1" t="s">
        <v>2084</v>
      </c>
      <c r="B1087" s="2">
        <v>1</v>
      </c>
      <c r="C1087" s="1" t="s">
        <v>11</v>
      </c>
      <c r="D1087" s="1" t="s">
        <v>12</v>
      </c>
      <c r="E1087" s="1" t="str">
        <f>TRIM(CLEAN(Sheet1[[#This Row],[Category]]))</f>
        <v>Office Supplies</v>
      </c>
      <c r="F1087">
        <v>6</v>
      </c>
      <c r="G1087" t="str">
        <f t="shared" si="16"/>
        <v>2. Mid-Market (4-7 Units)</v>
      </c>
      <c r="H1087">
        <v>6</v>
      </c>
      <c r="I1087">
        <v>-192.37</v>
      </c>
      <c r="J1087">
        <f>IF(ISBLANK(I1087), ROUND(I1087/ABS(VALUE(_xlfn.TEXTBEFORE(F1087&amp;" ", " "))), 2), ABS(VALUE(SUBSTITUTE(I1087, "$", ""))))</f>
        <v>192.37</v>
      </c>
      <c r="K1087">
        <f>ROUND(Sheet1[[#This Row],[CleanedUnits_sold]]*Sheet1[[#This Row],[Cleaned_Unit_Price]],2)</f>
        <v>1154.22</v>
      </c>
      <c r="L1087">
        <v>1864.32</v>
      </c>
      <c r="M1087" s="1" t="s">
        <v>2085</v>
      </c>
      <c r="N1087" s="1" t="s">
        <v>50</v>
      </c>
      <c r="O1087" s="1" t="s">
        <v>2085</v>
      </c>
    </row>
    <row r="1088" spans="1:15" x14ac:dyDescent="0.35">
      <c r="A1088" s="1" t="s">
        <v>2086</v>
      </c>
      <c r="B1088" s="2">
        <v>1</v>
      </c>
      <c r="C1088" s="1" t="s">
        <v>16</v>
      </c>
      <c r="D1088" s="1" t="s">
        <v>24</v>
      </c>
      <c r="E1088" s="1" t="str">
        <f>TRIM(CLEAN(Sheet1[[#This Row],[Category]]))</f>
        <v>Electronics</v>
      </c>
      <c r="F1088">
        <v>9999</v>
      </c>
      <c r="G1088" t="str">
        <f t="shared" si="16"/>
        <v>2. Mid-Market (4-7 Units)</v>
      </c>
      <c r="H1088">
        <v>5</v>
      </c>
      <c r="I1088">
        <v>398.83</v>
      </c>
      <c r="J1088">
        <f>IF(ISBLANK(I1088), ROUND(I1088/ABS(VALUE(_xlfn.TEXTBEFORE(F1088&amp;" ", " "))), 2), ABS(VALUE(SUBSTITUTE(I1088, "$", ""))))</f>
        <v>398.83</v>
      </c>
      <c r="K1088">
        <f>ROUND(Sheet1[[#This Row],[CleanedUnits_sold]]*Sheet1[[#This Row],[Cleaned_Unit_Price]],2)</f>
        <v>1994.15</v>
      </c>
      <c r="M1088" s="1" t="s">
        <v>2087</v>
      </c>
      <c r="N1088" s="1" t="s">
        <v>26</v>
      </c>
      <c r="O1088" s="1" t="s">
        <v>2087</v>
      </c>
    </row>
    <row r="1089" spans="1:15" x14ac:dyDescent="0.35">
      <c r="A1089" s="1" t="s">
        <v>2088</v>
      </c>
      <c r="B1089" s="2">
        <v>45132</v>
      </c>
      <c r="C1089" s="1" t="s">
        <v>19</v>
      </c>
      <c r="D1089" s="1" t="s">
        <v>24</v>
      </c>
      <c r="E1089" s="1" t="str">
        <f>TRIM(CLEAN(Sheet1[[#This Row],[Category]]))</f>
        <v>Electronics</v>
      </c>
      <c r="F1089">
        <v>5</v>
      </c>
      <c r="G1089" t="str">
        <f t="shared" si="16"/>
        <v>2. Mid-Market (4-7 Units)</v>
      </c>
      <c r="H1089">
        <v>5</v>
      </c>
      <c r="I1089">
        <v>51.94</v>
      </c>
      <c r="J1089">
        <f>IF(ISBLANK(I1089), ROUND(I1089/ABS(VALUE(_xlfn.TEXTBEFORE(F1089&amp;" ", " "))), 2), ABS(VALUE(SUBSTITUTE(I1089, "$", ""))))</f>
        <v>51.94</v>
      </c>
      <c r="K1089">
        <f>ROUND(Sheet1[[#This Row],[CleanedUnits_sold]]*Sheet1[[#This Row],[Cleaned_Unit_Price]],2)</f>
        <v>259.7</v>
      </c>
      <c r="L1089">
        <v>259.7</v>
      </c>
      <c r="M1089" s="1" t="s">
        <v>2089</v>
      </c>
      <c r="N1089" s="1" t="s">
        <v>14</v>
      </c>
      <c r="O1089" s="1" t="s">
        <v>2089</v>
      </c>
    </row>
    <row r="1090" spans="1:15" x14ac:dyDescent="0.35">
      <c r="A1090" s="1" t="s">
        <v>2090</v>
      </c>
      <c r="B1090" s="2">
        <v>45257</v>
      </c>
      <c r="C1090" s="1" t="s">
        <v>23</v>
      </c>
      <c r="D1090" s="1" t="s">
        <v>12</v>
      </c>
      <c r="E1090" s="1" t="str">
        <f>TRIM(CLEAN(Sheet1[[#This Row],[Category]]))</f>
        <v>Office Supplies</v>
      </c>
      <c r="F1090">
        <v>7</v>
      </c>
      <c r="G1090" t="str">
        <f t="shared" ref="G1090:G1153" si="17">IF(H1090=0, "Non-Billable / Zero", IF(H1090&lt;=3, "1. Retail (1-3 Units)", IF(H1090&lt;=7, "2. Mid-Market (4-7 Units)", "3. Wholesale / Bulk (8+ Units)")))</f>
        <v>2. Mid-Market (4-7 Units)</v>
      </c>
      <c r="H1090">
        <v>7</v>
      </c>
      <c r="I1090">
        <v>99.89</v>
      </c>
      <c r="J1090">
        <f>IF(ISBLANK(I1090), ROUND(I1090/ABS(VALUE(_xlfn.TEXTBEFORE(F1090&amp;" ", " "))), 2), ABS(VALUE(SUBSTITUTE(I1090, "$", ""))))</f>
        <v>99.89</v>
      </c>
      <c r="K1090">
        <f>ROUND(Sheet1[[#This Row],[CleanedUnits_sold]]*Sheet1[[#This Row],[Cleaned_Unit_Price]],2)</f>
        <v>699.23</v>
      </c>
      <c r="L1090">
        <v>699.23</v>
      </c>
      <c r="M1090" s="1" t="s">
        <v>2091</v>
      </c>
      <c r="N1090" s="1" t="s">
        <v>50</v>
      </c>
      <c r="O1090" s="1" t="s">
        <v>2091</v>
      </c>
    </row>
    <row r="1091" spans="1:15" x14ac:dyDescent="0.35">
      <c r="A1091" s="1" t="s">
        <v>2092</v>
      </c>
      <c r="B1091" s="2">
        <v>45059</v>
      </c>
      <c r="C1091" s="1" t="s">
        <v>58</v>
      </c>
      <c r="D1091" s="1" t="s">
        <v>24</v>
      </c>
      <c r="E1091" s="1" t="str">
        <f>TRIM(CLEAN(Sheet1[[#This Row],[Category]]))</f>
        <v>Electronics</v>
      </c>
      <c r="F1091">
        <v>6</v>
      </c>
      <c r="G1091" t="str">
        <f t="shared" si="17"/>
        <v>2. Mid-Market (4-7 Units)</v>
      </c>
      <c r="H1091">
        <v>6</v>
      </c>
      <c r="I1091">
        <v>381.62</v>
      </c>
      <c r="J1091">
        <f>IF(ISBLANK(I1091), ROUND(I1091/ABS(VALUE(_xlfn.TEXTBEFORE(F1091&amp;" ", " "))), 2), ABS(VALUE(SUBSTITUTE(I1091, "$", ""))))</f>
        <v>381.62</v>
      </c>
      <c r="K1091">
        <f>ROUND(Sheet1[[#This Row],[CleanedUnits_sold]]*Sheet1[[#This Row],[Cleaned_Unit_Price]],2)</f>
        <v>2289.7199999999998</v>
      </c>
      <c r="L1091">
        <v>2289.7199999999998</v>
      </c>
      <c r="M1091" s="1" t="s">
        <v>2093</v>
      </c>
      <c r="N1091" s="1" t="s">
        <v>38</v>
      </c>
      <c r="O1091" s="1" t="s">
        <v>2093</v>
      </c>
    </row>
    <row r="1092" spans="1:15" x14ac:dyDescent="0.35">
      <c r="A1092" s="1" t="s">
        <v>2094</v>
      </c>
      <c r="B1092" s="2">
        <v>1</v>
      </c>
      <c r="C1092" s="1" t="s">
        <v>58</v>
      </c>
      <c r="D1092" s="1" t="s">
        <v>24</v>
      </c>
      <c r="E1092" s="1" t="str">
        <f>TRIM(CLEAN(Sheet1[[#This Row],[Category]]))</f>
        <v>Electronics</v>
      </c>
      <c r="F1092">
        <v>6</v>
      </c>
      <c r="G1092" t="str">
        <f t="shared" si="17"/>
        <v>2. Mid-Market (4-7 Units)</v>
      </c>
      <c r="H1092">
        <v>6</v>
      </c>
      <c r="I1092">
        <v>20.77</v>
      </c>
      <c r="J1092">
        <f>IF(ISBLANK(I1092), ROUND(I1092/ABS(VALUE(_xlfn.TEXTBEFORE(F1092&amp;" ", " "))), 2), ABS(VALUE(SUBSTITUTE(I1092, "$", ""))))</f>
        <v>20.77</v>
      </c>
      <c r="K1092">
        <f>ROUND(Sheet1[[#This Row],[CleanedUnits_sold]]*Sheet1[[#This Row],[Cleaned_Unit_Price]],2)</f>
        <v>124.62</v>
      </c>
      <c r="L1092">
        <v>245.64</v>
      </c>
      <c r="M1092" s="1" t="s">
        <v>2095</v>
      </c>
      <c r="N1092" s="1" t="s">
        <v>26</v>
      </c>
      <c r="O1092" s="1" t="s">
        <v>2095</v>
      </c>
    </row>
    <row r="1093" spans="1:15" x14ac:dyDescent="0.35">
      <c r="A1093" s="1" t="s">
        <v>2096</v>
      </c>
      <c r="B1093" s="2">
        <v>1</v>
      </c>
      <c r="C1093" s="1" t="s">
        <v>16</v>
      </c>
      <c r="D1093" s="1" t="s">
        <v>12</v>
      </c>
      <c r="E1093" s="1" t="str">
        <f>TRIM(CLEAN(Sheet1[[#This Row],[Category]]))</f>
        <v>Office Supplies</v>
      </c>
      <c r="F1093">
        <v>7</v>
      </c>
      <c r="G1093" t="str">
        <f t="shared" si="17"/>
        <v>2. Mid-Market (4-7 Units)</v>
      </c>
      <c r="H1093">
        <v>7</v>
      </c>
      <c r="I1093">
        <v>410.27</v>
      </c>
      <c r="J1093">
        <f>IF(ISBLANK(I1093), ROUND(I1093/ABS(VALUE(_xlfn.TEXTBEFORE(F1093&amp;" ", " "))), 2), ABS(VALUE(SUBSTITUTE(I1093, "$", ""))))</f>
        <v>410.27</v>
      </c>
      <c r="K1093">
        <f>ROUND(Sheet1[[#This Row],[CleanedUnits_sold]]*Sheet1[[#This Row],[Cleaned_Unit_Price]],2)</f>
        <v>2871.89</v>
      </c>
      <c r="L1093">
        <v>2871.89</v>
      </c>
      <c r="M1093" s="1" t="s">
        <v>2097</v>
      </c>
      <c r="N1093" s="1" t="s">
        <v>14</v>
      </c>
      <c r="O1093" s="1" t="s">
        <v>2097</v>
      </c>
    </row>
    <row r="1094" spans="1:15" x14ac:dyDescent="0.35">
      <c r="A1094" s="1" t="s">
        <v>2098</v>
      </c>
      <c r="B1094" s="2">
        <v>1</v>
      </c>
      <c r="C1094" s="1" t="s">
        <v>11</v>
      </c>
      <c r="D1094" s="1" t="s">
        <v>12</v>
      </c>
      <c r="E1094" s="1" t="str">
        <f>TRIM(CLEAN(Sheet1[[#This Row],[Category]]))</f>
        <v>Office Supplies</v>
      </c>
      <c r="F1094">
        <v>4</v>
      </c>
      <c r="G1094" t="str">
        <f t="shared" si="17"/>
        <v>2. Mid-Market (4-7 Units)</v>
      </c>
      <c r="H1094">
        <v>4</v>
      </c>
      <c r="I1094">
        <v>16.84</v>
      </c>
      <c r="J1094">
        <f>IF(ISBLANK(I1094), ROUND(I1094/ABS(VALUE(_xlfn.TEXTBEFORE(F1094&amp;" ", " "))), 2), ABS(VALUE(SUBSTITUTE(I1094, "$", ""))))</f>
        <v>16.84</v>
      </c>
      <c r="K1094">
        <f>ROUND(Sheet1[[#This Row],[CleanedUnits_sold]]*Sheet1[[#This Row],[Cleaned_Unit_Price]],2)</f>
        <v>67.36</v>
      </c>
      <c r="L1094">
        <v>67.36</v>
      </c>
      <c r="M1094" s="1" t="s">
        <v>2099</v>
      </c>
      <c r="N1094" s="1" t="s">
        <v>50</v>
      </c>
      <c r="O1094" s="1" t="s">
        <v>2099</v>
      </c>
    </row>
    <row r="1095" spans="1:15" x14ac:dyDescent="0.35">
      <c r="A1095" s="1" t="s">
        <v>2100</v>
      </c>
      <c r="B1095" s="2">
        <v>1</v>
      </c>
      <c r="C1095" s="1" t="s">
        <v>16</v>
      </c>
      <c r="D1095" s="1" t="s">
        <v>24</v>
      </c>
      <c r="E1095" s="1" t="str">
        <f>TRIM(CLEAN(Sheet1[[#This Row],[Category]]))</f>
        <v>Electronics</v>
      </c>
      <c r="F1095">
        <v>3</v>
      </c>
      <c r="G1095" t="str">
        <f t="shared" si="17"/>
        <v>1. Retail (1-3 Units)</v>
      </c>
      <c r="H1095">
        <v>3</v>
      </c>
      <c r="I1095">
        <v>331.99</v>
      </c>
      <c r="J1095">
        <f>IF(ISBLANK(I1095), ROUND(I1095/ABS(VALUE(_xlfn.TEXTBEFORE(F1095&amp;" ", " "))), 2), ABS(VALUE(SUBSTITUTE(I1095, "$", ""))))</f>
        <v>331.99</v>
      </c>
      <c r="K1095">
        <f>ROUND(Sheet1[[#This Row],[CleanedUnits_sold]]*Sheet1[[#This Row],[Cleaned_Unit_Price]],2)</f>
        <v>995.97</v>
      </c>
      <c r="L1095">
        <v>995.97</v>
      </c>
      <c r="M1095" s="1" t="s">
        <v>2101</v>
      </c>
      <c r="N1095" s="1" t="s">
        <v>50</v>
      </c>
      <c r="O1095" s="1" t="s">
        <v>2101</v>
      </c>
    </row>
    <row r="1096" spans="1:15" x14ac:dyDescent="0.35">
      <c r="A1096" s="1" t="s">
        <v>2102</v>
      </c>
      <c r="B1096" s="2">
        <v>45096</v>
      </c>
      <c r="C1096" s="1" t="s">
        <v>11</v>
      </c>
      <c r="D1096" s="1" t="s">
        <v>12</v>
      </c>
      <c r="E1096" s="1" t="str">
        <f>TRIM(CLEAN(Sheet1[[#This Row],[Category]]))</f>
        <v>Office Supplies</v>
      </c>
      <c r="F1096">
        <v>8</v>
      </c>
      <c r="G1096" t="str">
        <f t="shared" si="17"/>
        <v>3. Wholesale / Bulk (8+ Units)</v>
      </c>
      <c r="H1096">
        <v>8</v>
      </c>
      <c r="I1096">
        <v>188.9</v>
      </c>
      <c r="J1096">
        <f>IF(ISBLANK(I1096), ROUND(I1096/ABS(VALUE(_xlfn.TEXTBEFORE(F1096&amp;" ", " "))), 2), ABS(VALUE(SUBSTITUTE(I1096, "$", ""))))</f>
        <v>188.9</v>
      </c>
      <c r="K1096">
        <f>ROUND(Sheet1[[#This Row],[CleanedUnits_sold]]*Sheet1[[#This Row],[Cleaned_Unit_Price]],2)</f>
        <v>1511.2</v>
      </c>
      <c r="L1096">
        <v>1511.2</v>
      </c>
      <c r="M1096" s="1" t="s">
        <v>2103</v>
      </c>
      <c r="N1096" s="1" t="s">
        <v>14</v>
      </c>
      <c r="O1096" s="1" t="s">
        <v>2103</v>
      </c>
    </row>
    <row r="1097" spans="1:15" x14ac:dyDescent="0.35">
      <c r="A1097" s="1" t="s">
        <v>2104</v>
      </c>
      <c r="B1097" s="2">
        <v>1</v>
      </c>
      <c r="C1097" s="1" t="s">
        <v>19</v>
      </c>
      <c r="D1097" s="1" t="s">
        <v>12</v>
      </c>
      <c r="E1097" s="1" t="str">
        <f>TRIM(CLEAN(Sheet1[[#This Row],[Category]]))</f>
        <v>Office Supplies</v>
      </c>
      <c r="F1097">
        <v>5</v>
      </c>
      <c r="G1097" t="str">
        <f t="shared" si="17"/>
        <v>2. Mid-Market (4-7 Units)</v>
      </c>
      <c r="H1097">
        <v>5</v>
      </c>
      <c r="I1097">
        <v>309.63</v>
      </c>
      <c r="J1097">
        <f>IF(ISBLANK(I1097), ROUND(I1097/ABS(VALUE(_xlfn.TEXTBEFORE(F1097&amp;" ", " "))), 2), ABS(VALUE(SUBSTITUTE(I1097, "$", ""))))</f>
        <v>309.63</v>
      </c>
      <c r="K1097">
        <f>ROUND(Sheet1[[#This Row],[CleanedUnits_sold]]*Sheet1[[#This Row],[Cleaned_Unit_Price]],2)</f>
        <v>1548.15</v>
      </c>
      <c r="M1097" s="1" t="s">
        <v>2105</v>
      </c>
      <c r="N1097" s="1" t="s">
        <v>26</v>
      </c>
      <c r="O1097" s="1" t="s">
        <v>2105</v>
      </c>
    </row>
    <row r="1098" spans="1:15" x14ac:dyDescent="0.35">
      <c r="A1098" s="1" t="s">
        <v>2106</v>
      </c>
      <c r="B1098" s="2">
        <v>45013</v>
      </c>
      <c r="C1098" s="1" t="s">
        <v>58</v>
      </c>
      <c r="D1098" s="1" t="s">
        <v>32</v>
      </c>
      <c r="E1098" s="1" t="str">
        <f>TRIM(CLEAN(Sheet1[[#This Row],[Category]]))</f>
        <v>Furniture</v>
      </c>
      <c r="F1098">
        <v>5</v>
      </c>
      <c r="G1098" t="str">
        <f t="shared" si="17"/>
        <v>2. Mid-Market (4-7 Units)</v>
      </c>
      <c r="H1098">
        <v>5</v>
      </c>
      <c r="I1098">
        <v>351.06</v>
      </c>
      <c r="J1098">
        <f>IF(ISBLANK(I1098), ROUND(I1098/ABS(VALUE(_xlfn.TEXTBEFORE(F1098&amp;" ", " "))), 2), ABS(VALUE(SUBSTITUTE(I1098, "$", ""))))</f>
        <v>351.06</v>
      </c>
      <c r="K1098">
        <f>ROUND(Sheet1[[#This Row],[CleanedUnits_sold]]*Sheet1[[#This Row],[Cleaned_Unit_Price]],2)</f>
        <v>1755.3</v>
      </c>
      <c r="L1098">
        <v>1755.3</v>
      </c>
      <c r="M1098" s="1" t="s">
        <v>2107</v>
      </c>
      <c r="N1098" s="1" t="s">
        <v>21</v>
      </c>
      <c r="O1098" s="1" t="s">
        <v>2107</v>
      </c>
    </row>
    <row r="1099" spans="1:15" x14ac:dyDescent="0.35">
      <c r="A1099" s="1" t="s">
        <v>2108</v>
      </c>
      <c r="B1099" s="2">
        <v>45129</v>
      </c>
      <c r="C1099" s="1" t="s">
        <v>19</v>
      </c>
      <c r="D1099" s="1" t="s">
        <v>12</v>
      </c>
      <c r="E1099" s="1" t="str">
        <f>TRIM(CLEAN(Sheet1[[#This Row],[Category]]))</f>
        <v>Office Supplies</v>
      </c>
      <c r="F1099">
        <v>5</v>
      </c>
      <c r="G1099" t="str">
        <f t="shared" si="17"/>
        <v>2. Mid-Market (4-7 Units)</v>
      </c>
      <c r="H1099">
        <v>5</v>
      </c>
      <c r="I1099">
        <v>177.81</v>
      </c>
      <c r="J1099">
        <f>IF(ISBLANK(I1099), ROUND(I1099/ABS(VALUE(_xlfn.TEXTBEFORE(F1099&amp;" ", " "))), 2), ABS(VALUE(SUBSTITUTE(I1099, "$", ""))))</f>
        <v>177.81</v>
      </c>
      <c r="K1099">
        <f>ROUND(Sheet1[[#This Row],[CleanedUnits_sold]]*Sheet1[[#This Row],[Cleaned_Unit_Price]],2)</f>
        <v>889.05</v>
      </c>
      <c r="L1099">
        <v>889.05</v>
      </c>
      <c r="M1099" s="1" t="s">
        <v>2109</v>
      </c>
      <c r="N1099" s="1" t="s">
        <v>14</v>
      </c>
      <c r="O1099" s="1" t="s">
        <v>2109</v>
      </c>
    </row>
    <row r="1100" spans="1:15" x14ac:dyDescent="0.35">
      <c r="A1100" s="1" t="s">
        <v>2110</v>
      </c>
      <c r="B1100" s="2">
        <v>1</v>
      </c>
      <c r="C1100" s="1" t="s">
        <v>19</v>
      </c>
      <c r="D1100" s="1" t="s">
        <v>46</v>
      </c>
      <c r="E1100" s="1" t="str">
        <f>TRIM(CLEAN(Sheet1[[#This Row],[Category]]))</f>
        <v>Furniture</v>
      </c>
      <c r="F1100">
        <v>3</v>
      </c>
      <c r="G1100" t="str">
        <f t="shared" si="17"/>
        <v>1. Retail (1-3 Units)</v>
      </c>
      <c r="H1100">
        <v>3</v>
      </c>
      <c r="I1100">
        <v>62.9</v>
      </c>
      <c r="J1100">
        <f>IF(ISBLANK(I1100), ROUND(I1100/ABS(VALUE(_xlfn.TEXTBEFORE(F1100&amp;" ", " "))), 2), ABS(VALUE(SUBSTITUTE(I1100, "$", ""))))</f>
        <v>62.9</v>
      </c>
      <c r="K1100">
        <f>ROUND(Sheet1[[#This Row],[CleanedUnits_sold]]*Sheet1[[#This Row],[Cleaned_Unit_Price]],2)</f>
        <v>188.7</v>
      </c>
      <c r="L1100">
        <v>188.7</v>
      </c>
      <c r="M1100" s="1" t="s">
        <v>2111</v>
      </c>
      <c r="N1100" s="1" t="s">
        <v>26</v>
      </c>
      <c r="O1100" s="1" t="s">
        <v>2111</v>
      </c>
    </row>
    <row r="1101" spans="1:15" x14ac:dyDescent="0.35">
      <c r="A1101" s="1" t="s">
        <v>2112</v>
      </c>
      <c r="B1101" s="2">
        <v>45015</v>
      </c>
      <c r="C1101" s="1" t="s">
        <v>16</v>
      </c>
      <c r="D1101" s="1" t="s">
        <v>24</v>
      </c>
      <c r="E1101" s="1" t="str">
        <f>TRIM(CLEAN(Sheet1[[#This Row],[Category]]))</f>
        <v>Electronics</v>
      </c>
      <c r="F1101">
        <v>9</v>
      </c>
      <c r="G1101" t="str">
        <f t="shared" si="17"/>
        <v>3. Wholesale / Bulk (8+ Units)</v>
      </c>
      <c r="H1101">
        <v>9</v>
      </c>
      <c r="I1101">
        <v>44.13</v>
      </c>
      <c r="J1101">
        <f>IF(ISBLANK(I1101), ROUND(I1101/ABS(VALUE(_xlfn.TEXTBEFORE(F1101&amp;" ", " "))), 2), ABS(VALUE(SUBSTITUTE(I1101, "$", ""))))</f>
        <v>44.13</v>
      </c>
      <c r="K1101">
        <f>ROUND(Sheet1[[#This Row],[CleanedUnits_sold]]*Sheet1[[#This Row],[Cleaned_Unit_Price]],2)</f>
        <v>397.17</v>
      </c>
      <c r="L1101">
        <v>397.17</v>
      </c>
      <c r="M1101" s="1" t="s">
        <v>2113</v>
      </c>
      <c r="N1101" s="1" t="s">
        <v>14</v>
      </c>
      <c r="O1101" s="1" t="s">
        <v>2113</v>
      </c>
    </row>
    <row r="1102" spans="1:15" x14ac:dyDescent="0.35">
      <c r="A1102" s="1" t="s">
        <v>2114</v>
      </c>
      <c r="B1102" s="2">
        <v>45022</v>
      </c>
      <c r="C1102" s="1" t="s">
        <v>11</v>
      </c>
      <c r="D1102" s="1" t="s">
        <v>12</v>
      </c>
      <c r="E1102" s="1" t="str">
        <f>TRIM(CLEAN(Sheet1[[#This Row],[Category]]))</f>
        <v>Office Supplies</v>
      </c>
      <c r="F1102">
        <v>8</v>
      </c>
      <c r="G1102" t="str">
        <f t="shared" si="17"/>
        <v>3. Wholesale / Bulk (8+ Units)</v>
      </c>
      <c r="H1102">
        <v>8</v>
      </c>
      <c r="I1102">
        <v>298.58</v>
      </c>
      <c r="J1102">
        <f>IF(ISBLANK(I1102), ROUND(I1102/ABS(VALUE(_xlfn.TEXTBEFORE(F1102&amp;" ", " "))), 2), ABS(VALUE(SUBSTITUTE(I1102, "$", ""))))</f>
        <v>298.58</v>
      </c>
      <c r="K1102">
        <f>ROUND(Sheet1[[#This Row],[CleanedUnits_sold]]*Sheet1[[#This Row],[Cleaned_Unit_Price]],2)</f>
        <v>2388.64</v>
      </c>
      <c r="L1102">
        <v>2388.64</v>
      </c>
      <c r="M1102" s="1" t="s">
        <v>2115</v>
      </c>
      <c r="N1102" s="1" t="s">
        <v>26</v>
      </c>
      <c r="O1102" s="1" t="s">
        <v>2115</v>
      </c>
    </row>
    <row r="1103" spans="1:15" x14ac:dyDescent="0.35">
      <c r="A1103" s="1" t="s">
        <v>2116</v>
      </c>
      <c r="B1103" s="2">
        <v>45003</v>
      </c>
      <c r="C1103" s="1" t="s">
        <v>23</v>
      </c>
      <c r="D1103" s="1" t="s">
        <v>24</v>
      </c>
      <c r="E1103" s="1" t="str">
        <f>TRIM(CLEAN(Sheet1[[#This Row],[Category]]))</f>
        <v>Electronics</v>
      </c>
      <c r="F1103">
        <v>6</v>
      </c>
      <c r="G1103" t="str">
        <f t="shared" si="17"/>
        <v>2. Mid-Market (4-7 Units)</v>
      </c>
      <c r="H1103">
        <v>6</v>
      </c>
      <c r="I1103">
        <v>265.12</v>
      </c>
      <c r="J1103">
        <f>IF(ISBLANK(I1103), ROUND(I1103/ABS(VALUE(_xlfn.TEXTBEFORE(F1103&amp;" ", " "))), 2), ABS(VALUE(SUBSTITUTE(I1103, "$", ""))))</f>
        <v>265.12</v>
      </c>
      <c r="K1103">
        <f>ROUND(Sheet1[[#This Row],[CleanedUnits_sold]]*Sheet1[[#This Row],[Cleaned_Unit_Price]],2)</f>
        <v>1590.72</v>
      </c>
      <c r="L1103">
        <v>1590.72</v>
      </c>
      <c r="M1103" s="1" t="s">
        <v>2117</v>
      </c>
      <c r="N1103" s="1" t="s">
        <v>50</v>
      </c>
      <c r="O1103" s="1" t="s">
        <v>2117</v>
      </c>
    </row>
    <row r="1104" spans="1:15" x14ac:dyDescent="0.35">
      <c r="A1104" s="1" t="s">
        <v>2118</v>
      </c>
      <c r="B1104" s="2">
        <v>45271</v>
      </c>
      <c r="C1104" s="1" t="s">
        <v>58</v>
      </c>
      <c r="D1104" s="1" t="s">
        <v>24</v>
      </c>
      <c r="E1104" s="1" t="str">
        <f>TRIM(CLEAN(Sheet1[[#This Row],[Category]]))</f>
        <v>Electronics</v>
      </c>
      <c r="F1104">
        <v>3</v>
      </c>
      <c r="G1104" t="str">
        <f t="shared" si="17"/>
        <v>1. Retail (1-3 Units)</v>
      </c>
      <c r="H1104">
        <v>3</v>
      </c>
      <c r="I1104">
        <v>373.68</v>
      </c>
      <c r="J1104">
        <f>IF(ISBLANK(I1104), ROUND(I1104/ABS(VALUE(_xlfn.TEXTBEFORE(F1104&amp;" ", " "))), 2), ABS(VALUE(SUBSTITUTE(I1104, "$", ""))))</f>
        <v>373.68</v>
      </c>
      <c r="K1104">
        <f>ROUND(Sheet1[[#This Row],[CleanedUnits_sold]]*Sheet1[[#This Row],[Cleaned_Unit_Price]],2)</f>
        <v>1121.04</v>
      </c>
      <c r="M1104" s="1" t="s">
        <v>2119</v>
      </c>
      <c r="N1104" s="1" t="s">
        <v>38</v>
      </c>
      <c r="O1104" s="1" t="s">
        <v>2119</v>
      </c>
    </row>
    <row r="1105" spans="1:15" x14ac:dyDescent="0.35">
      <c r="A1105" s="1" t="s">
        <v>2120</v>
      </c>
      <c r="B1105" s="2">
        <v>45182</v>
      </c>
      <c r="C1105" s="1" t="s">
        <v>16</v>
      </c>
      <c r="D1105" s="1" t="s">
        <v>12</v>
      </c>
      <c r="E1105" s="1" t="str">
        <f>TRIM(CLEAN(Sheet1[[#This Row],[Category]]))</f>
        <v>Office Supplies</v>
      </c>
      <c r="F1105">
        <v>5</v>
      </c>
      <c r="G1105" t="str">
        <f t="shared" si="17"/>
        <v>2. Mid-Market (4-7 Units)</v>
      </c>
      <c r="H1105">
        <v>5</v>
      </c>
      <c r="I1105">
        <v>259.77</v>
      </c>
      <c r="J1105">
        <f>IF(ISBLANK(I1105), ROUND(I1105/ABS(VALUE(_xlfn.TEXTBEFORE(F1105&amp;" ", " "))), 2), ABS(VALUE(SUBSTITUTE(I1105, "$", ""))))</f>
        <v>259.77</v>
      </c>
      <c r="K1105">
        <f>ROUND(Sheet1[[#This Row],[CleanedUnits_sold]]*Sheet1[[#This Row],[Cleaned_Unit_Price]],2)</f>
        <v>1298.8499999999999</v>
      </c>
      <c r="L1105">
        <v>1298.8499999999999</v>
      </c>
      <c r="M1105" s="1" t="s">
        <v>2121</v>
      </c>
      <c r="N1105" s="1" t="s">
        <v>14</v>
      </c>
      <c r="O1105" s="1" t="s">
        <v>2121</v>
      </c>
    </row>
    <row r="1106" spans="1:15" x14ac:dyDescent="0.35">
      <c r="A1106" s="1" t="s">
        <v>2122</v>
      </c>
      <c r="B1106" s="2">
        <v>45172</v>
      </c>
      <c r="C1106" s="1" t="s">
        <v>58</v>
      </c>
      <c r="D1106" s="1" t="s">
        <v>24</v>
      </c>
      <c r="E1106" s="1" t="str">
        <f>TRIM(CLEAN(Sheet1[[#This Row],[Category]]))</f>
        <v>Electronics</v>
      </c>
      <c r="F1106">
        <v>5</v>
      </c>
      <c r="G1106" t="str">
        <f t="shared" si="17"/>
        <v>2. Mid-Market (4-7 Units)</v>
      </c>
      <c r="H1106">
        <v>5</v>
      </c>
      <c r="I1106">
        <v>217</v>
      </c>
      <c r="J1106">
        <f>IF(ISBLANK(I1106), ROUND(I1106/ABS(VALUE(_xlfn.TEXTBEFORE(F1106&amp;" ", " "))), 2), ABS(VALUE(SUBSTITUTE(I1106, "$", ""))))</f>
        <v>217</v>
      </c>
      <c r="K1106">
        <f>ROUND(Sheet1[[#This Row],[CleanedUnits_sold]]*Sheet1[[#This Row],[Cleaned_Unit_Price]],2)</f>
        <v>1085</v>
      </c>
      <c r="L1106">
        <v>1085</v>
      </c>
      <c r="M1106" s="1" t="s">
        <v>2123</v>
      </c>
      <c r="N1106" s="1" t="s">
        <v>38</v>
      </c>
      <c r="O1106" s="1" t="s">
        <v>2123</v>
      </c>
    </row>
    <row r="1107" spans="1:15" x14ac:dyDescent="0.35">
      <c r="A1107" s="1" t="s">
        <v>2124</v>
      </c>
      <c r="B1107" s="2">
        <v>1</v>
      </c>
      <c r="C1107" s="1" t="s">
        <v>16</v>
      </c>
      <c r="D1107" s="1" t="s">
        <v>12</v>
      </c>
      <c r="E1107" s="1" t="str">
        <f>TRIM(CLEAN(Sheet1[[#This Row],[Category]]))</f>
        <v>Office Supplies</v>
      </c>
      <c r="F1107">
        <v>5</v>
      </c>
      <c r="G1107" t="str">
        <f t="shared" si="17"/>
        <v>2. Mid-Market (4-7 Units)</v>
      </c>
      <c r="H1107">
        <v>5</v>
      </c>
      <c r="I1107">
        <v>205.06</v>
      </c>
      <c r="J1107">
        <f>IF(ISBLANK(I1107), ROUND(I1107/ABS(VALUE(_xlfn.TEXTBEFORE(F1107&amp;" ", " "))), 2), ABS(VALUE(SUBSTITUTE(I1107, "$", ""))))</f>
        <v>205.06</v>
      </c>
      <c r="K1107">
        <f>ROUND(Sheet1[[#This Row],[CleanedUnits_sold]]*Sheet1[[#This Row],[Cleaned_Unit_Price]],2)</f>
        <v>1025.3</v>
      </c>
      <c r="L1107">
        <v>1025.3</v>
      </c>
      <c r="M1107" s="1" t="s">
        <v>2125</v>
      </c>
      <c r="N1107" s="1" t="s">
        <v>14</v>
      </c>
      <c r="O1107" s="1" t="s">
        <v>2125</v>
      </c>
    </row>
    <row r="1108" spans="1:15" x14ac:dyDescent="0.35">
      <c r="A1108" s="1" t="s">
        <v>2126</v>
      </c>
      <c r="B1108" s="2">
        <v>44993</v>
      </c>
      <c r="C1108" s="1" t="s">
        <v>58</v>
      </c>
      <c r="D1108" s="1" t="s">
        <v>32</v>
      </c>
      <c r="E1108" s="1" t="str">
        <f>TRIM(CLEAN(Sheet1[[#This Row],[Category]]))</f>
        <v>Furniture</v>
      </c>
      <c r="G1108" t="str">
        <f t="shared" si="17"/>
        <v>1. Retail (1-3 Units)</v>
      </c>
      <c r="H1108">
        <v>3</v>
      </c>
      <c r="I1108">
        <v>22.96</v>
      </c>
      <c r="J1108">
        <f>IF(ISBLANK(I1108), ROUND(I1108/ABS(VALUE(_xlfn.TEXTBEFORE(F1108&amp;" ", " "))), 2), ABS(VALUE(SUBSTITUTE(I1108, "$", ""))))</f>
        <v>22.96</v>
      </c>
      <c r="K1108">
        <f>ROUND(Sheet1[[#This Row],[CleanedUnits_sold]]*Sheet1[[#This Row],[Cleaned_Unit_Price]],2)</f>
        <v>68.88</v>
      </c>
      <c r="L1108">
        <v>68.88</v>
      </c>
      <c r="M1108" s="1" t="s">
        <v>2127</v>
      </c>
      <c r="N1108" s="1" t="s">
        <v>26</v>
      </c>
      <c r="O1108" s="1" t="s">
        <v>2127</v>
      </c>
    </row>
    <row r="1109" spans="1:15" x14ac:dyDescent="0.35">
      <c r="A1109" s="1" t="s">
        <v>2128</v>
      </c>
      <c r="B1109" s="2">
        <v>1</v>
      </c>
      <c r="C1109" s="1" t="s">
        <v>19</v>
      </c>
      <c r="D1109" s="1" t="s">
        <v>12</v>
      </c>
      <c r="E1109" s="1" t="str">
        <f>TRIM(CLEAN(Sheet1[[#This Row],[Category]]))</f>
        <v>Office Supplies</v>
      </c>
      <c r="F1109">
        <v>7</v>
      </c>
      <c r="G1109" t="str">
        <f t="shared" si="17"/>
        <v>2. Mid-Market (4-7 Units)</v>
      </c>
      <c r="H1109">
        <v>7</v>
      </c>
      <c r="I1109">
        <v>174.42</v>
      </c>
      <c r="J1109">
        <f>IF(ISBLANK(I1109), ROUND(I1109/ABS(VALUE(_xlfn.TEXTBEFORE(F1109&amp;" ", " "))), 2), ABS(VALUE(SUBSTITUTE(I1109, "$", ""))))</f>
        <v>174.42</v>
      </c>
      <c r="K1109">
        <f>ROUND(Sheet1[[#This Row],[CleanedUnits_sold]]*Sheet1[[#This Row],[Cleaned_Unit_Price]],2)</f>
        <v>1220.94</v>
      </c>
      <c r="L1109">
        <v>1220.94</v>
      </c>
      <c r="M1109" s="1" t="s">
        <v>2129</v>
      </c>
      <c r="N1109" s="1" t="s">
        <v>21</v>
      </c>
      <c r="O1109" s="1" t="s">
        <v>2129</v>
      </c>
    </row>
    <row r="1110" spans="1:15" x14ac:dyDescent="0.35">
      <c r="A1110" s="1" t="s">
        <v>2130</v>
      </c>
      <c r="B1110" s="2">
        <v>45205</v>
      </c>
      <c r="C1110" s="1" t="s">
        <v>11</v>
      </c>
      <c r="D1110" s="1" t="s">
        <v>12</v>
      </c>
      <c r="E1110" s="1" t="str">
        <f>TRIM(CLEAN(Sheet1[[#This Row],[Category]]))</f>
        <v>Office Supplies</v>
      </c>
      <c r="F1110">
        <v>3</v>
      </c>
      <c r="G1110" t="str">
        <f t="shared" si="17"/>
        <v>1. Retail (1-3 Units)</v>
      </c>
      <c r="H1110">
        <v>3</v>
      </c>
      <c r="I1110">
        <v>488.25</v>
      </c>
      <c r="J1110">
        <f>IF(ISBLANK(I1110), ROUND(I1110/ABS(VALUE(_xlfn.TEXTBEFORE(F1110&amp;" ", " "))), 2), ABS(VALUE(SUBSTITUTE(I1110, "$", ""))))</f>
        <v>488.25</v>
      </c>
      <c r="K1110">
        <f>ROUND(Sheet1[[#This Row],[CleanedUnits_sold]]*Sheet1[[#This Row],[Cleaned_Unit_Price]],2)</f>
        <v>1464.75</v>
      </c>
      <c r="L1110">
        <v>1464.75</v>
      </c>
      <c r="M1110" s="1" t="s">
        <v>2131</v>
      </c>
      <c r="N1110" s="1" t="s">
        <v>26</v>
      </c>
      <c r="O1110" s="1" t="s">
        <v>2131</v>
      </c>
    </row>
    <row r="1111" spans="1:15" x14ac:dyDescent="0.35">
      <c r="A1111" s="1" t="s">
        <v>2132</v>
      </c>
      <c r="B1111" s="2">
        <v>45292</v>
      </c>
      <c r="C1111" s="1" t="s">
        <v>16</v>
      </c>
      <c r="D1111" s="1" t="s">
        <v>46</v>
      </c>
      <c r="E1111" s="1" t="str">
        <f>TRIM(CLEAN(Sheet1[[#This Row],[Category]]))</f>
        <v>Furniture</v>
      </c>
      <c r="F1111">
        <v>0</v>
      </c>
      <c r="G1111" t="str">
        <f t="shared" si="17"/>
        <v>Non-Billable / Zero</v>
      </c>
      <c r="H1111">
        <v>0</v>
      </c>
      <c r="I1111">
        <v>438.04</v>
      </c>
      <c r="J1111">
        <f>IF(ISBLANK(I1111), ROUND(I1111/ABS(VALUE(_xlfn.TEXTBEFORE(F1111&amp;" ", " "))), 2), ABS(VALUE(SUBSTITUTE(I1111, "$", ""))))</f>
        <v>438.04</v>
      </c>
      <c r="K1111">
        <f>ROUND(Sheet1[[#This Row],[CleanedUnits_sold]]*Sheet1[[#This Row],[Cleaned_Unit_Price]],2)</f>
        <v>0</v>
      </c>
      <c r="L1111">
        <v>0</v>
      </c>
      <c r="M1111" s="1" t="s">
        <v>2133</v>
      </c>
      <c r="N1111" s="1" t="s">
        <v>21</v>
      </c>
      <c r="O1111" s="1" t="s">
        <v>2133</v>
      </c>
    </row>
    <row r="1112" spans="1:15" x14ac:dyDescent="0.35">
      <c r="A1112" s="1" t="s">
        <v>2134</v>
      </c>
      <c r="B1112" s="2">
        <v>45175</v>
      </c>
      <c r="C1112" s="1" t="s">
        <v>23</v>
      </c>
      <c r="D1112" s="1" t="s">
        <v>46</v>
      </c>
      <c r="E1112" s="1" t="str">
        <f>TRIM(CLEAN(Sheet1[[#This Row],[Category]]))</f>
        <v>Furniture</v>
      </c>
      <c r="F1112">
        <v>6</v>
      </c>
      <c r="G1112" t="str">
        <f t="shared" si="17"/>
        <v>2. Mid-Market (4-7 Units)</v>
      </c>
      <c r="H1112">
        <v>6</v>
      </c>
      <c r="I1112">
        <v>171.4</v>
      </c>
      <c r="J1112">
        <f>IF(ISBLANK(I1112), ROUND(I1112/ABS(VALUE(_xlfn.TEXTBEFORE(F1112&amp;" ", " "))), 2), ABS(VALUE(SUBSTITUTE(I1112, "$", ""))))</f>
        <v>171.4</v>
      </c>
      <c r="K1112">
        <f>ROUND(Sheet1[[#This Row],[CleanedUnits_sold]]*Sheet1[[#This Row],[Cleaned_Unit_Price]],2)</f>
        <v>1028.4000000000001</v>
      </c>
      <c r="L1112">
        <v>1028.4000000000001</v>
      </c>
      <c r="M1112" s="1" t="s">
        <v>49</v>
      </c>
      <c r="N1112" s="1" t="s">
        <v>14</v>
      </c>
      <c r="O1112" s="1" t="s">
        <v>51</v>
      </c>
    </row>
    <row r="1113" spans="1:15" x14ac:dyDescent="0.35">
      <c r="A1113" s="1" t="s">
        <v>2135</v>
      </c>
      <c r="B1113" s="2">
        <v>45019</v>
      </c>
      <c r="C1113" s="1" t="s">
        <v>58</v>
      </c>
      <c r="D1113" s="1" t="s">
        <v>32</v>
      </c>
      <c r="E1113" s="1" t="str">
        <f>TRIM(CLEAN(Sheet1[[#This Row],[Category]]))</f>
        <v>Furniture</v>
      </c>
      <c r="F1113">
        <v>4</v>
      </c>
      <c r="G1113" t="str">
        <f t="shared" si="17"/>
        <v>2. Mid-Market (4-7 Units)</v>
      </c>
      <c r="H1113">
        <v>4</v>
      </c>
      <c r="I1113">
        <v>425.18</v>
      </c>
      <c r="J1113">
        <f>IF(ISBLANK(I1113), ROUND(I1113/ABS(VALUE(_xlfn.TEXTBEFORE(F1113&amp;" ", " "))), 2), ABS(VALUE(SUBSTITUTE(I1113, "$", ""))))</f>
        <v>425.18</v>
      </c>
      <c r="K1113">
        <f>ROUND(Sheet1[[#This Row],[CleanedUnits_sold]]*Sheet1[[#This Row],[Cleaned_Unit_Price]],2)</f>
        <v>1700.72</v>
      </c>
      <c r="L1113">
        <v>1700.72</v>
      </c>
      <c r="M1113" s="1" t="s">
        <v>2136</v>
      </c>
      <c r="N1113" s="1" t="s">
        <v>21</v>
      </c>
      <c r="O1113" s="1" t="s">
        <v>2136</v>
      </c>
    </row>
    <row r="1114" spans="1:15" x14ac:dyDescent="0.35">
      <c r="A1114" s="1" t="s">
        <v>2137</v>
      </c>
      <c r="B1114" s="2">
        <v>45039</v>
      </c>
      <c r="C1114" s="1" t="s">
        <v>58</v>
      </c>
      <c r="D1114" s="1" t="s">
        <v>12</v>
      </c>
      <c r="E1114" s="1" t="str">
        <f>TRIM(CLEAN(Sheet1[[#This Row],[Category]]))</f>
        <v>Office Supplies</v>
      </c>
      <c r="F1114">
        <v>5</v>
      </c>
      <c r="G1114" t="str">
        <f t="shared" si="17"/>
        <v>2. Mid-Market (4-7 Units)</v>
      </c>
      <c r="H1114">
        <v>5</v>
      </c>
      <c r="I1114">
        <v>226.22</v>
      </c>
      <c r="J1114">
        <f>IF(ISBLANK(I1114), ROUND(I1114/ABS(VALUE(_xlfn.TEXTBEFORE(F1114&amp;" ", " "))), 2), ABS(VALUE(SUBSTITUTE(I1114, "$", ""))))</f>
        <v>226.22</v>
      </c>
      <c r="K1114">
        <f>ROUND(Sheet1[[#This Row],[CleanedUnits_sold]]*Sheet1[[#This Row],[Cleaned_Unit_Price]],2)</f>
        <v>1131.0999999999999</v>
      </c>
      <c r="L1114">
        <v>1131.0999999999999</v>
      </c>
      <c r="M1114" s="1" t="s">
        <v>2138</v>
      </c>
      <c r="N1114" s="1" t="s">
        <v>50</v>
      </c>
      <c r="O1114" s="1" t="s">
        <v>2138</v>
      </c>
    </row>
    <row r="1115" spans="1:15" x14ac:dyDescent="0.35">
      <c r="A1115" s="1" t="s">
        <v>2139</v>
      </c>
      <c r="B1115" s="2">
        <v>45070</v>
      </c>
      <c r="C1115" s="1" t="s">
        <v>16</v>
      </c>
      <c r="D1115" s="1" t="s">
        <v>12</v>
      </c>
      <c r="E1115" s="1" t="str">
        <f>TRIM(CLEAN(Sheet1[[#This Row],[Category]]))</f>
        <v>Office Supplies</v>
      </c>
      <c r="F1115">
        <v>9</v>
      </c>
      <c r="G1115" t="str">
        <f t="shared" si="17"/>
        <v>3. Wholesale / Bulk (8+ Units)</v>
      </c>
      <c r="H1115">
        <v>9</v>
      </c>
      <c r="I1115">
        <v>-158.55000000000001</v>
      </c>
      <c r="J1115">
        <f>IF(ISBLANK(I1115), ROUND(I1115/ABS(VALUE(_xlfn.TEXTBEFORE(F1115&amp;" ", " "))), 2), ABS(VALUE(SUBSTITUTE(I1115, "$", ""))))</f>
        <v>158.55000000000001</v>
      </c>
      <c r="K1115">
        <f>ROUND(Sheet1[[#This Row],[CleanedUnits_sold]]*Sheet1[[#This Row],[Cleaned_Unit_Price]],2)</f>
        <v>1426.95</v>
      </c>
      <c r="L1115">
        <v>169.2</v>
      </c>
      <c r="M1115" s="1" t="s">
        <v>2140</v>
      </c>
      <c r="N1115" s="1" t="s">
        <v>14</v>
      </c>
      <c r="O1115" s="1" t="s">
        <v>2140</v>
      </c>
    </row>
    <row r="1116" spans="1:15" x14ac:dyDescent="0.35">
      <c r="A1116" s="1" t="s">
        <v>2141</v>
      </c>
      <c r="B1116" s="2">
        <v>45168</v>
      </c>
      <c r="C1116" s="1" t="s">
        <v>11</v>
      </c>
      <c r="D1116" s="1" t="s">
        <v>24</v>
      </c>
      <c r="E1116" s="1" t="str">
        <f>TRIM(CLEAN(Sheet1[[#This Row],[Category]]))</f>
        <v>Electronics</v>
      </c>
      <c r="F1116">
        <v>5</v>
      </c>
      <c r="G1116" t="str">
        <f t="shared" si="17"/>
        <v>2. Mid-Market (4-7 Units)</v>
      </c>
      <c r="H1116">
        <v>5</v>
      </c>
      <c r="I1116">
        <v>46.51</v>
      </c>
      <c r="J1116">
        <f>IF(ISBLANK(I1116), ROUND(I1116/ABS(VALUE(_xlfn.TEXTBEFORE(F1116&amp;" ", " "))), 2), ABS(VALUE(SUBSTITUTE(I1116, "$", ""))))</f>
        <v>46.51</v>
      </c>
      <c r="K1116">
        <f>ROUND(Sheet1[[#This Row],[CleanedUnits_sold]]*Sheet1[[#This Row],[Cleaned_Unit_Price]],2)</f>
        <v>232.55</v>
      </c>
      <c r="L1116">
        <v>232.55</v>
      </c>
      <c r="M1116" s="1" t="s">
        <v>2142</v>
      </c>
      <c r="N1116" s="1" t="s">
        <v>14</v>
      </c>
      <c r="O1116" s="1" t="s">
        <v>2142</v>
      </c>
    </row>
    <row r="1117" spans="1:15" x14ac:dyDescent="0.35">
      <c r="A1117" s="1" t="s">
        <v>2143</v>
      </c>
      <c r="B1117" s="2">
        <v>1</v>
      </c>
      <c r="C1117" s="1" t="s">
        <v>23</v>
      </c>
      <c r="D1117" s="1" t="s">
        <v>12</v>
      </c>
      <c r="E1117" s="1" t="str">
        <f>TRIM(CLEAN(Sheet1[[#This Row],[Category]]))</f>
        <v>Office Supplies</v>
      </c>
      <c r="F1117">
        <v>-8</v>
      </c>
      <c r="G1117" t="str">
        <f t="shared" si="17"/>
        <v>3. Wholesale / Bulk (8+ Units)</v>
      </c>
      <c r="H1117">
        <v>8</v>
      </c>
      <c r="J1117">
        <f>IF(ISBLANK(I1117), ROUND(I1117/ABS(VALUE(_xlfn.TEXTBEFORE(F1117&amp;" ", " "))), 2), ABS(VALUE(SUBSTITUTE(I1117, "$", ""))))</f>
        <v>0</v>
      </c>
      <c r="K1117">
        <f>ROUND(Sheet1[[#This Row],[CleanedUnits_sold]]*Sheet1[[#This Row],[Cleaned_Unit_Price]],2)</f>
        <v>0</v>
      </c>
      <c r="L1117">
        <v>1040.3599999999999</v>
      </c>
      <c r="M1117" s="1" t="s">
        <v>2144</v>
      </c>
      <c r="N1117" s="1" t="s">
        <v>14</v>
      </c>
      <c r="O1117" s="1" t="s">
        <v>2144</v>
      </c>
    </row>
    <row r="1118" spans="1:15" x14ac:dyDescent="0.35">
      <c r="A1118" s="1" t="s">
        <v>2145</v>
      </c>
      <c r="B1118" s="2">
        <v>44997</v>
      </c>
      <c r="C1118" s="1" t="s">
        <v>23</v>
      </c>
      <c r="D1118" s="1" t="s">
        <v>12</v>
      </c>
      <c r="E1118" s="1" t="str">
        <f>TRIM(CLEAN(Sheet1[[#This Row],[Category]]))</f>
        <v>Office Supplies</v>
      </c>
      <c r="F1118">
        <v>3</v>
      </c>
      <c r="G1118" t="str">
        <f t="shared" si="17"/>
        <v>1. Retail (1-3 Units)</v>
      </c>
      <c r="H1118">
        <v>3</v>
      </c>
      <c r="I1118">
        <v>485.03</v>
      </c>
      <c r="J1118">
        <f>IF(ISBLANK(I1118), ROUND(I1118/ABS(VALUE(_xlfn.TEXTBEFORE(F1118&amp;" ", " "))), 2), ABS(VALUE(SUBSTITUTE(I1118, "$", ""))))</f>
        <v>485.03</v>
      </c>
      <c r="K1118">
        <f>ROUND(Sheet1[[#This Row],[CleanedUnits_sold]]*Sheet1[[#This Row],[Cleaned_Unit_Price]],2)</f>
        <v>1455.09</v>
      </c>
      <c r="L1118">
        <v>1455.09</v>
      </c>
      <c r="M1118" s="1" t="s">
        <v>2146</v>
      </c>
      <c r="N1118" s="1" t="s">
        <v>50</v>
      </c>
      <c r="O1118" s="1" t="s">
        <v>2146</v>
      </c>
    </row>
    <row r="1119" spans="1:15" x14ac:dyDescent="0.35">
      <c r="A1119" s="1" t="s">
        <v>2147</v>
      </c>
      <c r="B1119" s="2">
        <v>1</v>
      </c>
      <c r="C1119" s="1" t="s">
        <v>16</v>
      </c>
      <c r="D1119" s="1" t="s">
        <v>12</v>
      </c>
      <c r="E1119" s="1" t="str">
        <f>TRIM(CLEAN(Sheet1[[#This Row],[Category]]))</f>
        <v>Office Supplies</v>
      </c>
      <c r="F1119">
        <v>6</v>
      </c>
      <c r="G1119" t="str">
        <f t="shared" si="17"/>
        <v>2. Mid-Market (4-7 Units)</v>
      </c>
      <c r="H1119">
        <v>6</v>
      </c>
      <c r="I1119">
        <v>349.67</v>
      </c>
      <c r="J1119">
        <f>IF(ISBLANK(I1119), ROUND(I1119/ABS(VALUE(_xlfn.TEXTBEFORE(F1119&amp;" ", " "))), 2), ABS(VALUE(SUBSTITUTE(I1119, "$", ""))))</f>
        <v>349.67</v>
      </c>
      <c r="K1119">
        <f>ROUND(Sheet1[[#This Row],[CleanedUnits_sold]]*Sheet1[[#This Row],[Cleaned_Unit_Price]],2)</f>
        <v>2098.02</v>
      </c>
      <c r="L1119">
        <v>2098.02</v>
      </c>
      <c r="M1119" s="1" t="s">
        <v>2148</v>
      </c>
      <c r="N1119" s="1" t="s">
        <v>21</v>
      </c>
      <c r="O1119" s="1" t="s">
        <v>2148</v>
      </c>
    </row>
    <row r="1120" spans="1:15" x14ac:dyDescent="0.35">
      <c r="A1120" s="1" t="s">
        <v>2149</v>
      </c>
      <c r="B1120" s="2">
        <v>45125</v>
      </c>
      <c r="C1120" s="1" t="s">
        <v>16</v>
      </c>
      <c r="D1120" s="1" t="s">
        <v>12</v>
      </c>
      <c r="E1120" s="1" t="str">
        <f>TRIM(CLEAN(Sheet1[[#This Row],[Category]]))</f>
        <v>Office Supplies</v>
      </c>
      <c r="F1120">
        <v>2</v>
      </c>
      <c r="G1120" t="str">
        <f t="shared" si="17"/>
        <v>1. Retail (1-3 Units)</v>
      </c>
      <c r="H1120">
        <v>2</v>
      </c>
      <c r="I1120">
        <v>44.75</v>
      </c>
      <c r="J1120">
        <f>IF(ISBLANK(I1120), ROUND(I1120/ABS(VALUE(_xlfn.TEXTBEFORE(F1120&amp;" ", " "))), 2), ABS(VALUE(SUBSTITUTE(I1120, "$", ""))))</f>
        <v>44.75</v>
      </c>
      <c r="K1120">
        <f>ROUND(Sheet1[[#This Row],[CleanedUnits_sold]]*Sheet1[[#This Row],[Cleaned_Unit_Price]],2)</f>
        <v>89.5</v>
      </c>
      <c r="L1120">
        <v>89.5</v>
      </c>
      <c r="M1120" s="1" t="s">
        <v>2150</v>
      </c>
      <c r="N1120" s="1" t="s">
        <v>21</v>
      </c>
      <c r="O1120" s="1" t="s">
        <v>2150</v>
      </c>
    </row>
    <row r="1121" spans="1:15" x14ac:dyDescent="0.35">
      <c r="A1121" s="1" t="s">
        <v>2151</v>
      </c>
      <c r="B1121" s="2">
        <v>1</v>
      </c>
      <c r="C1121" s="1" t="s">
        <v>16</v>
      </c>
      <c r="D1121" s="1" t="s">
        <v>24</v>
      </c>
      <c r="E1121" s="1" t="str">
        <f>TRIM(CLEAN(Sheet1[[#This Row],[Category]]))</f>
        <v>Electronics</v>
      </c>
      <c r="F1121">
        <v>6</v>
      </c>
      <c r="G1121" t="str">
        <f t="shared" si="17"/>
        <v>2. Mid-Market (4-7 Units)</v>
      </c>
      <c r="H1121">
        <v>6</v>
      </c>
      <c r="J1121">
        <f>IF(ISBLANK(I1121), ROUND(I1121/ABS(VALUE(_xlfn.TEXTBEFORE(F1121&amp;" ", " "))), 2), ABS(VALUE(SUBSTITUTE(I1121, "$", ""))))</f>
        <v>0</v>
      </c>
      <c r="K1121">
        <f>ROUND(Sheet1[[#This Row],[CleanedUnits_sold]]*Sheet1[[#This Row],[Cleaned_Unit_Price]],2)</f>
        <v>0</v>
      </c>
      <c r="L1121">
        <v>616.74</v>
      </c>
      <c r="M1121" s="1" t="s">
        <v>2152</v>
      </c>
      <c r="N1121" s="1" t="s">
        <v>14</v>
      </c>
      <c r="O1121" s="1" t="s">
        <v>2152</v>
      </c>
    </row>
    <row r="1122" spans="1:15" x14ac:dyDescent="0.35">
      <c r="A1122" s="1" t="s">
        <v>2153</v>
      </c>
      <c r="B1122" s="2">
        <v>45089</v>
      </c>
      <c r="C1122" s="1" t="s">
        <v>11</v>
      </c>
      <c r="D1122" s="1" t="s">
        <v>24</v>
      </c>
      <c r="E1122" s="1" t="str">
        <f>TRIM(CLEAN(Sheet1[[#This Row],[Category]]))</f>
        <v>Electronics</v>
      </c>
      <c r="F1122">
        <v>6</v>
      </c>
      <c r="G1122" t="str">
        <f t="shared" si="17"/>
        <v>2. Mid-Market (4-7 Units)</v>
      </c>
      <c r="H1122">
        <v>6</v>
      </c>
      <c r="I1122">
        <v>387.95</v>
      </c>
      <c r="J1122">
        <f>IF(ISBLANK(I1122), ROUND(I1122/ABS(VALUE(_xlfn.TEXTBEFORE(F1122&amp;" ", " "))), 2), ABS(VALUE(SUBSTITUTE(I1122, "$", ""))))</f>
        <v>387.95</v>
      </c>
      <c r="K1122">
        <f>ROUND(Sheet1[[#This Row],[CleanedUnits_sold]]*Sheet1[[#This Row],[Cleaned_Unit_Price]],2)</f>
        <v>2327.6999999999998</v>
      </c>
      <c r="L1122">
        <v>2327.6999999999998</v>
      </c>
      <c r="M1122" s="1" t="s">
        <v>2154</v>
      </c>
      <c r="N1122" s="1" t="s">
        <v>14</v>
      </c>
      <c r="O1122" s="1" t="s">
        <v>2154</v>
      </c>
    </row>
    <row r="1123" spans="1:15" x14ac:dyDescent="0.35">
      <c r="A1123" s="1" t="s">
        <v>2155</v>
      </c>
      <c r="B1123" s="2">
        <v>44941</v>
      </c>
      <c r="C1123" s="1" t="s">
        <v>19</v>
      </c>
      <c r="D1123" s="1" t="s">
        <v>12</v>
      </c>
      <c r="E1123" s="1" t="str">
        <f>TRIM(CLEAN(Sheet1[[#This Row],[Category]]))</f>
        <v>Office Supplies</v>
      </c>
      <c r="F1123">
        <v>6</v>
      </c>
      <c r="G1123" t="str">
        <f t="shared" si="17"/>
        <v>2. Mid-Market (4-7 Units)</v>
      </c>
      <c r="H1123">
        <v>6</v>
      </c>
      <c r="I1123">
        <v>422.31</v>
      </c>
      <c r="J1123">
        <f>IF(ISBLANK(I1123), ROUND(I1123/ABS(VALUE(_xlfn.TEXTBEFORE(F1123&amp;" ", " "))), 2), ABS(VALUE(SUBSTITUTE(I1123, "$", ""))))</f>
        <v>422.31</v>
      </c>
      <c r="K1123">
        <f>ROUND(Sheet1[[#This Row],[CleanedUnits_sold]]*Sheet1[[#This Row],[Cleaned_Unit_Price]],2)</f>
        <v>2533.86</v>
      </c>
      <c r="L1123">
        <v>2533.86</v>
      </c>
      <c r="M1123" s="1" t="s">
        <v>2156</v>
      </c>
      <c r="N1123" s="1" t="s">
        <v>50</v>
      </c>
      <c r="O1123" s="1" t="s">
        <v>2156</v>
      </c>
    </row>
    <row r="1124" spans="1:15" x14ac:dyDescent="0.35">
      <c r="A1124" s="1" t="s">
        <v>2157</v>
      </c>
      <c r="B1124" s="2">
        <v>1</v>
      </c>
      <c r="C1124" s="1" t="s">
        <v>19</v>
      </c>
      <c r="D1124" s="1" t="s">
        <v>24</v>
      </c>
      <c r="E1124" s="1" t="str">
        <f>TRIM(CLEAN(Sheet1[[#This Row],[Category]]))</f>
        <v>Electronics</v>
      </c>
      <c r="F1124">
        <v>5</v>
      </c>
      <c r="G1124" t="str">
        <f t="shared" si="17"/>
        <v>2. Mid-Market (4-7 Units)</v>
      </c>
      <c r="H1124">
        <v>5</v>
      </c>
      <c r="I1124">
        <v>-146.77000000000001</v>
      </c>
      <c r="J1124">
        <f>IF(ISBLANK(I1124), ROUND(I1124/ABS(VALUE(_xlfn.TEXTBEFORE(F1124&amp;" ", " "))), 2), ABS(VALUE(SUBSTITUTE(I1124, "$", ""))))</f>
        <v>146.77000000000001</v>
      </c>
      <c r="K1124">
        <f>ROUND(Sheet1[[#This Row],[CleanedUnits_sold]]*Sheet1[[#This Row],[Cleaned_Unit_Price]],2)</f>
        <v>733.85</v>
      </c>
      <c r="L1124">
        <v>1563.35</v>
      </c>
      <c r="M1124" s="1" t="s">
        <v>2158</v>
      </c>
      <c r="N1124" s="1" t="s">
        <v>50</v>
      </c>
      <c r="O1124" s="1" t="s">
        <v>2158</v>
      </c>
    </row>
    <row r="1125" spans="1:15" x14ac:dyDescent="0.35">
      <c r="A1125" s="1" t="s">
        <v>2159</v>
      </c>
      <c r="B1125" s="2">
        <v>45023</v>
      </c>
      <c r="C1125" s="1" t="s">
        <v>23</v>
      </c>
      <c r="D1125" s="1" t="s">
        <v>12</v>
      </c>
      <c r="E1125" s="1" t="str">
        <f>TRIM(CLEAN(Sheet1[[#This Row],[Category]]))</f>
        <v>Office Supplies</v>
      </c>
      <c r="G1125" t="str">
        <f t="shared" si="17"/>
        <v>2. Mid-Market (4-7 Units)</v>
      </c>
      <c r="H1125">
        <v>4</v>
      </c>
      <c r="I1125">
        <v>325.77</v>
      </c>
      <c r="J1125">
        <f>IF(ISBLANK(I1125), ROUND(I1125/ABS(VALUE(_xlfn.TEXTBEFORE(F1125&amp;" ", " "))), 2), ABS(VALUE(SUBSTITUTE(I1125, "$", ""))))</f>
        <v>325.77</v>
      </c>
      <c r="K1125">
        <f>ROUND(Sheet1[[#This Row],[CleanedUnits_sold]]*Sheet1[[#This Row],[Cleaned_Unit_Price]],2)</f>
        <v>1303.08</v>
      </c>
      <c r="L1125">
        <v>1192.8699999999999</v>
      </c>
      <c r="M1125" s="1" t="s">
        <v>2160</v>
      </c>
      <c r="N1125" s="1" t="s">
        <v>14</v>
      </c>
      <c r="O1125" s="1" t="s">
        <v>2160</v>
      </c>
    </row>
    <row r="1126" spans="1:15" x14ac:dyDescent="0.35">
      <c r="A1126" s="1" t="s">
        <v>2161</v>
      </c>
      <c r="B1126" s="2">
        <v>45016</v>
      </c>
      <c r="C1126" s="1" t="s">
        <v>16</v>
      </c>
      <c r="D1126" s="1" t="s">
        <v>12</v>
      </c>
      <c r="E1126" s="1" t="str">
        <f>TRIM(CLEAN(Sheet1[[#This Row],[Category]]))</f>
        <v>Office Supplies</v>
      </c>
      <c r="F1126">
        <v>5</v>
      </c>
      <c r="G1126" t="str">
        <f t="shared" si="17"/>
        <v>2. Mid-Market (4-7 Units)</v>
      </c>
      <c r="H1126">
        <v>5</v>
      </c>
      <c r="I1126">
        <v>23.89</v>
      </c>
      <c r="J1126">
        <f>IF(ISBLANK(I1126), ROUND(I1126/ABS(VALUE(_xlfn.TEXTBEFORE(F1126&amp;" ", " "))), 2), ABS(VALUE(SUBSTITUTE(I1126, "$", ""))))</f>
        <v>23.89</v>
      </c>
      <c r="K1126">
        <f>ROUND(Sheet1[[#This Row],[CleanedUnits_sold]]*Sheet1[[#This Row],[Cleaned_Unit_Price]],2)</f>
        <v>119.45</v>
      </c>
      <c r="L1126">
        <v>95.56</v>
      </c>
      <c r="M1126" s="1" t="s">
        <v>2162</v>
      </c>
      <c r="N1126" s="1" t="s">
        <v>14</v>
      </c>
      <c r="O1126" s="1" t="s">
        <v>2162</v>
      </c>
    </row>
    <row r="1127" spans="1:15" x14ac:dyDescent="0.35">
      <c r="A1127" s="1" t="s">
        <v>2163</v>
      </c>
      <c r="B1127" s="2">
        <v>1</v>
      </c>
      <c r="C1127" s="1" t="s">
        <v>58</v>
      </c>
      <c r="D1127" s="1" t="s">
        <v>12</v>
      </c>
      <c r="E1127" s="1" t="str">
        <f>TRIM(CLEAN(Sheet1[[#This Row],[Category]]))</f>
        <v>Office Supplies</v>
      </c>
      <c r="F1127">
        <v>4</v>
      </c>
      <c r="G1127" t="str">
        <f t="shared" si="17"/>
        <v>2. Mid-Market (4-7 Units)</v>
      </c>
      <c r="H1127">
        <v>4</v>
      </c>
      <c r="I1127">
        <v>415.98</v>
      </c>
      <c r="J1127">
        <f>IF(ISBLANK(I1127), ROUND(I1127/ABS(VALUE(_xlfn.TEXTBEFORE(F1127&amp;" ", " "))), 2), ABS(VALUE(SUBSTITUTE(I1127, "$", ""))))</f>
        <v>415.98</v>
      </c>
      <c r="K1127">
        <f>ROUND(Sheet1[[#This Row],[CleanedUnits_sold]]*Sheet1[[#This Row],[Cleaned_Unit_Price]],2)</f>
        <v>1663.92</v>
      </c>
      <c r="L1127">
        <v>1663.92</v>
      </c>
      <c r="M1127" s="1" t="s">
        <v>2164</v>
      </c>
      <c r="N1127" s="1" t="s">
        <v>14</v>
      </c>
      <c r="O1127" s="1" t="s">
        <v>2164</v>
      </c>
    </row>
    <row r="1128" spans="1:15" x14ac:dyDescent="0.35">
      <c r="A1128" s="1" t="s">
        <v>2165</v>
      </c>
      <c r="B1128" s="2">
        <v>1</v>
      </c>
      <c r="C1128" s="1" t="s">
        <v>16</v>
      </c>
      <c r="D1128" s="1" t="s">
        <v>24</v>
      </c>
      <c r="E1128" s="1" t="str">
        <f>TRIM(CLEAN(Sheet1[[#This Row],[Category]]))</f>
        <v>Electronics</v>
      </c>
      <c r="F1128">
        <v>5</v>
      </c>
      <c r="G1128" t="str">
        <f t="shared" si="17"/>
        <v>2. Mid-Market (4-7 Units)</v>
      </c>
      <c r="H1128">
        <v>5</v>
      </c>
      <c r="I1128">
        <v>396.25</v>
      </c>
      <c r="J1128">
        <f>IF(ISBLANK(I1128), ROUND(I1128/ABS(VALUE(_xlfn.TEXTBEFORE(F1128&amp;" ", " "))), 2), ABS(VALUE(SUBSTITUTE(I1128, "$", ""))))</f>
        <v>396.25</v>
      </c>
      <c r="K1128">
        <f>ROUND(Sheet1[[#This Row],[CleanedUnits_sold]]*Sheet1[[#This Row],[Cleaned_Unit_Price]],2)</f>
        <v>1981.25</v>
      </c>
      <c r="L1128">
        <v>1981.25</v>
      </c>
      <c r="M1128" s="1" t="s">
        <v>2166</v>
      </c>
      <c r="N1128" s="1" t="s">
        <v>26</v>
      </c>
      <c r="O1128" s="1" t="s">
        <v>2166</v>
      </c>
    </row>
    <row r="1129" spans="1:15" x14ac:dyDescent="0.35">
      <c r="A1129" s="1" t="s">
        <v>2167</v>
      </c>
      <c r="B1129" s="2">
        <v>44937</v>
      </c>
      <c r="C1129" s="1" t="s">
        <v>16</v>
      </c>
      <c r="D1129" s="1" t="s">
        <v>32</v>
      </c>
      <c r="E1129" s="1" t="str">
        <f>TRIM(CLEAN(Sheet1[[#This Row],[Category]]))</f>
        <v>Furniture</v>
      </c>
      <c r="F1129">
        <v>4</v>
      </c>
      <c r="G1129" t="str">
        <f t="shared" si="17"/>
        <v>2. Mid-Market (4-7 Units)</v>
      </c>
      <c r="H1129">
        <v>4</v>
      </c>
      <c r="I1129">
        <v>136.93</v>
      </c>
      <c r="J1129">
        <f>IF(ISBLANK(I1129), ROUND(I1129/ABS(VALUE(_xlfn.TEXTBEFORE(F1129&amp;" ", " "))), 2), ABS(VALUE(SUBSTITUTE(I1129, "$", ""))))</f>
        <v>136.93</v>
      </c>
      <c r="K1129">
        <f>ROUND(Sheet1[[#This Row],[CleanedUnits_sold]]*Sheet1[[#This Row],[Cleaned_Unit_Price]],2)</f>
        <v>547.72</v>
      </c>
      <c r="L1129">
        <v>547.72</v>
      </c>
      <c r="M1129" s="1" t="s">
        <v>2168</v>
      </c>
      <c r="N1129" s="1" t="s">
        <v>14</v>
      </c>
      <c r="O1129" s="1" t="s">
        <v>2168</v>
      </c>
    </row>
    <row r="1130" spans="1:15" x14ac:dyDescent="0.35">
      <c r="A1130" s="1" t="s">
        <v>2169</v>
      </c>
      <c r="B1130" s="2">
        <v>1</v>
      </c>
      <c r="C1130" s="1" t="s">
        <v>19</v>
      </c>
      <c r="D1130" s="1" t="s">
        <v>12</v>
      </c>
      <c r="E1130" s="1" t="str">
        <f>TRIM(CLEAN(Sheet1[[#This Row],[Category]]))</f>
        <v>Office Supplies</v>
      </c>
      <c r="F1130">
        <v>4</v>
      </c>
      <c r="G1130" t="str">
        <f t="shared" si="17"/>
        <v>2. Mid-Market (4-7 Units)</v>
      </c>
      <c r="H1130">
        <v>4</v>
      </c>
      <c r="I1130">
        <v>357.25</v>
      </c>
      <c r="J1130">
        <f>IF(ISBLANK(I1130), ROUND(I1130/ABS(VALUE(_xlfn.TEXTBEFORE(F1130&amp;" ", " "))), 2), ABS(VALUE(SUBSTITUTE(I1130, "$", ""))))</f>
        <v>357.25</v>
      </c>
      <c r="K1130">
        <f>ROUND(Sheet1[[#This Row],[CleanedUnits_sold]]*Sheet1[[#This Row],[Cleaned_Unit_Price]],2)</f>
        <v>1429</v>
      </c>
      <c r="L1130">
        <v>1429</v>
      </c>
      <c r="M1130" s="1" t="s">
        <v>2170</v>
      </c>
      <c r="N1130" s="1" t="s">
        <v>50</v>
      </c>
      <c r="O1130" s="1" t="s">
        <v>2170</v>
      </c>
    </row>
    <row r="1131" spans="1:15" x14ac:dyDescent="0.35">
      <c r="A1131" s="1" t="s">
        <v>2171</v>
      </c>
      <c r="B1131" s="2">
        <v>1</v>
      </c>
      <c r="C1131" s="1" t="s">
        <v>58</v>
      </c>
      <c r="D1131" s="1" t="s">
        <v>24</v>
      </c>
      <c r="E1131" s="1" t="str">
        <f>TRIM(CLEAN(Sheet1[[#This Row],[Category]]))</f>
        <v>Electronics</v>
      </c>
      <c r="F1131">
        <v>5</v>
      </c>
      <c r="G1131" t="str">
        <f t="shared" si="17"/>
        <v>2. Mid-Market (4-7 Units)</v>
      </c>
      <c r="H1131">
        <v>5</v>
      </c>
      <c r="I1131">
        <v>115.28</v>
      </c>
      <c r="J1131">
        <f>IF(ISBLANK(I1131), ROUND(I1131/ABS(VALUE(_xlfn.TEXTBEFORE(F1131&amp;" ", " "))), 2), ABS(VALUE(SUBSTITUTE(I1131, "$", ""))))</f>
        <v>115.28</v>
      </c>
      <c r="K1131">
        <f>ROUND(Sheet1[[#This Row],[CleanedUnits_sold]]*Sheet1[[#This Row],[Cleaned_Unit_Price]],2)</f>
        <v>576.4</v>
      </c>
      <c r="L1131">
        <v>576.4</v>
      </c>
      <c r="M1131" s="1" t="s">
        <v>2172</v>
      </c>
      <c r="N1131" s="1" t="s">
        <v>14</v>
      </c>
      <c r="O1131" s="1" t="s">
        <v>2172</v>
      </c>
    </row>
    <row r="1132" spans="1:15" x14ac:dyDescent="0.35">
      <c r="A1132" s="1" t="s">
        <v>2173</v>
      </c>
      <c r="B1132" s="2">
        <v>45017</v>
      </c>
      <c r="C1132" s="1" t="s">
        <v>58</v>
      </c>
      <c r="D1132" s="1" t="s">
        <v>24</v>
      </c>
      <c r="E1132" s="1" t="str">
        <f>TRIM(CLEAN(Sheet1[[#This Row],[Category]]))</f>
        <v>Electronics</v>
      </c>
      <c r="F1132">
        <v>5</v>
      </c>
      <c r="G1132" t="str">
        <f t="shared" si="17"/>
        <v>2. Mid-Market (4-7 Units)</v>
      </c>
      <c r="H1132">
        <v>5</v>
      </c>
      <c r="I1132">
        <v>29.76</v>
      </c>
      <c r="J1132">
        <f>IF(ISBLANK(I1132), ROUND(I1132/ABS(VALUE(_xlfn.TEXTBEFORE(F1132&amp;" ", " "))), 2), ABS(VALUE(SUBSTITUTE(I1132, "$", ""))))</f>
        <v>29.76</v>
      </c>
      <c r="K1132">
        <f>ROUND(Sheet1[[#This Row],[CleanedUnits_sold]]*Sheet1[[#This Row],[Cleaned_Unit_Price]],2)</f>
        <v>148.80000000000001</v>
      </c>
      <c r="L1132">
        <v>148.80000000000001</v>
      </c>
      <c r="M1132" s="1" t="s">
        <v>2174</v>
      </c>
      <c r="N1132" s="1" t="s">
        <v>14</v>
      </c>
      <c r="O1132" s="1" t="s">
        <v>2174</v>
      </c>
    </row>
    <row r="1133" spans="1:15" x14ac:dyDescent="0.35">
      <c r="A1133" s="1" t="s">
        <v>2175</v>
      </c>
      <c r="B1133" s="2">
        <v>1</v>
      </c>
      <c r="C1133" s="1" t="s">
        <v>16</v>
      </c>
      <c r="D1133" s="1" t="s">
        <v>12</v>
      </c>
      <c r="E1133" s="1" t="str">
        <f>TRIM(CLEAN(Sheet1[[#This Row],[Category]]))</f>
        <v>Office Supplies</v>
      </c>
      <c r="F1133">
        <v>5</v>
      </c>
      <c r="G1133" t="str">
        <f t="shared" si="17"/>
        <v>2. Mid-Market (4-7 Units)</v>
      </c>
      <c r="H1133">
        <v>5</v>
      </c>
      <c r="I1133">
        <v>108.56</v>
      </c>
      <c r="J1133">
        <f>IF(ISBLANK(I1133), ROUND(I1133/ABS(VALUE(_xlfn.TEXTBEFORE(F1133&amp;" ", " "))), 2), ABS(VALUE(SUBSTITUTE(I1133, "$", ""))))</f>
        <v>108.56</v>
      </c>
      <c r="K1133">
        <f>ROUND(Sheet1[[#This Row],[CleanedUnits_sold]]*Sheet1[[#This Row],[Cleaned_Unit_Price]],2)</f>
        <v>542.79999999999995</v>
      </c>
      <c r="L1133">
        <v>542.79999999999995</v>
      </c>
      <c r="M1133" s="1" t="s">
        <v>49</v>
      </c>
      <c r="N1133" s="1" t="s">
        <v>50</v>
      </c>
      <c r="O1133" s="1" t="s">
        <v>51</v>
      </c>
    </row>
    <row r="1134" spans="1:15" x14ac:dyDescent="0.35">
      <c r="A1134" s="1" t="s">
        <v>2176</v>
      </c>
      <c r="B1134" s="2">
        <v>1</v>
      </c>
      <c r="C1134" s="1" t="s">
        <v>19</v>
      </c>
      <c r="D1134" s="1" t="s">
        <v>24</v>
      </c>
      <c r="E1134" s="1" t="str">
        <f>TRIM(CLEAN(Sheet1[[#This Row],[Category]]))</f>
        <v>Electronics</v>
      </c>
      <c r="F1134">
        <v>7</v>
      </c>
      <c r="G1134" t="str">
        <f t="shared" si="17"/>
        <v>2. Mid-Market (4-7 Units)</v>
      </c>
      <c r="H1134">
        <v>7</v>
      </c>
      <c r="J1134">
        <f>IF(ISBLANK(I1134), ROUND(I1134/ABS(VALUE(_xlfn.TEXTBEFORE(F1134&amp;" ", " "))), 2), ABS(VALUE(SUBSTITUTE(I1134, "$", ""))))</f>
        <v>0</v>
      </c>
      <c r="K1134">
        <f>ROUND(Sheet1[[#This Row],[CleanedUnits_sold]]*Sheet1[[#This Row],[Cleaned_Unit_Price]],2)</f>
        <v>0</v>
      </c>
      <c r="L1134">
        <v>682.71</v>
      </c>
      <c r="M1134" s="1" t="s">
        <v>2177</v>
      </c>
      <c r="N1134" s="1" t="s">
        <v>14</v>
      </c>
      <c r="O1134" s="1" t="s">
        <v>2177</v>
      </c>
    </row>
    <row r="1135" spans="1:15" x14ac:dyDescent="0.35">
      <c r="A1135" s="1" t="s">
        <v>2178</v>
      </c>
      <c r="B1135" s="2">
        <v>45196</v>
      </c>
      <c r="C1135" s="1" t="s">
        <v>19</v>
      </c>
      <c r="D1135" s="1" t="s">
        <v>12</v>
      </c>
      <c r="E1135" s="1" t="str">
        <f>TRIM(CLEAN(Sheet1[[#This Row],[Category]]))</f>
        <v>Office Supplies</v>
      </c>
      <c r="F1135">
        <v>3</v>
      </c>
      <c r="G1135" t="str">
        <f t="shared" si="17"/>
        <v>1. Retail (1-3 Units)</v>
      </c>
      <c r="H1135">
        <v>3</v>
      </c>
      <c r="I1135">
        <v>175.5</v>
      </c>
      <c r="J1135">
        <f>IF(ISBLANK(I1135), ROUND(I1135/ABS(VALUE(_xlfn.TEXTBEFORE(F1135&amp;" ", " "))), 2), ABS(VALUE(SUBSTITUTE(I1135, "$", ""))))</f>
        <v>175.5</v>
      </c>
      <c r="K1135">
        <f>ROUND(Sheet1[[#This Row],[CleanedUnits_sold]]*Sheet1[[#This Row],[Cleaned_Unit_Price]],2)</f>
        <v>526.5</v>
      </c>
      <c r="L1135">
        <v>526.5</v>
      </c>
      <c r="M1135" s="1" t="s">
        <v>2179</v>
      </c>
      <c r="N1135" s="1" t="s">
        <v>26</v>
      </c>
      <c r="O1135" s="1" t="s">
        <v>2179</v>
      </c>
    </row>
    <row r="1136" spans="1:15" x14ac:dyDescent="0.35">
      <c r="A1136" s="1" t="s">
        <v>2180</v>
      </c>
      <c r="B1136" s="2">
        <v>45118</v>
      </c>
      <c r="C1136" s="1" t="s">
        <v>16</v>
      </c>
      <c r="D1136" s="1" t="s">
        <v>24</v>
      </c>
      <c r="E1136" s="1" t="str">
        <f>TRIM(CLEAN(Sheet1[[#This Row],[Category]]))</f>
        <v>Electronics</v>
      </c>
      <c r="F1136">
        <v>2</v>
      </c>
      <c r="G1136" t="str">
        <f t="shared" si="17"/>
        <v>1. Retail (1-3 Units)</v>
      </c>
      <c r="H1136">
        <v>2</v>
      </c>
      <c r="I1136">
        <v>215.04</v>
      </c>
      <c r="J1136">
        <f>IF(ISBLANK(I1136), ROUND(I1136/ABS(VALUE(_xlfn.TEXTBEFORE(F1136&amp;" ", " "))), 2), ABS(VALUE(SUBSTITUTE(I1136, "$", ""))))</f>
        <v>215.04</v>
      </c>
      <c r="K1136">
        <f>ROUND(Sheet1[[#This Row],[CleanedUnits_sold]]*Sheet1[[#This Row],[Cleaned_Unit_Price]],2)</f>
        <v>430.08</v>
      </c>
      <c r="L1136">
        <v>430.08</v>
      </c>
      <c r="M1136" s="1" t="s">
        <v>2181</v>
      </c>
      <c r="N1136" s="1" t="s">
        <v>14</v>
      </c>
      <c r="O1136" s="1" t="s">
        <v>2181</v>
      </c>
    </row>
    <row r="1137" spans="1:15" x14ac:dyDescent="0.35">
      <c r="A1137" s="1" t="s">
        <v>2182</v>
      </c>
      <c r="B1137" s="2">
        <v>45099</v>
      </c>
      <c r="C1137" s="1" t="s">
        <v>16</v>
      </c>
      <c r="D1137" s="1" t="s">
        <v>32</v>
      </c>
      <c r="E1137" s="1" t="str">
        <f>TRIM(CLEAN(Sheet1[[#This Row],[Category]]))</f>
        <v>Furniture</v>
      </c>
      <c r="F1137">
        <v>4</v>
      </c>
      <c r="G1137" t="str">
        <f t="shared" si="17"/>
        <v>2. Mid-Market (4-7 Units)</v>
      </c>
      <c r="H1137">
        <v>4</v>
      </c>
      <c r="I1137">
        <v>259.18</v>
      </c>
      <c r="J1137">
        <f>IF(ISBLANK(I1137), ROUND(I1137/ABS(VALUE(_xlfn.TEXTBEFORE(F1137&amp;" ", " "))), 2), ABS(VALUE(SUBSTITUTE(I1137, "$", ""))))</f>
        <v>259.18</v>
      </c>
      <c r="K1137">
        <f>ROUND(Sheet1[[#This Row],[CleanedUnits_sold]]*Sheet1[[#This Row],[Cleaned_Unit_Price]],2)</f>
        <v>1036.72</v>
      </c>
      <c r="L1137">
        <v>1036.72</v>
      </c>
      <c r="M1137" s="1" t="s">
        <v>2183</v>
      </c>
      <c r="N1137" s="1" t="s">
        <v>21</v>
      </c>
      <c r="O1137" s="1" t="s">
        <v>2183</v>
      </c>
    </row>
    <row r="1138" spans="1:15" x14ac:dyDescent="0.35">
      <c r="A1138" s="1" t="s">
        <v>2184</v>
      </c>
      <c r="B1138" s="2">
        <v>45007</v>
      </c>
      <c r="C1138" s="1" t="s">
        <v>19</v>
      </c>
      <c r="D1138" s="1" t="s">
        <v>12</v>
      </c>
      <c r="E1138" s="1" t="str">
        <f>TRIM(CLEAN(Sheet1[[#This Row],[Category]]))</f>
        <v>Office Supplies</v>
      </c>
      <c r="F1138">
        <v>4</v>
      </c>
      <c r="G1138" t="str">
        <f t="shared" si="17"/>
        <v>2. Mid-Market (4-7 Units)</v>
      </c>
      <c r="H1138">
        <v>4</v>
      </c>
      <c r="I1138">
        <v>243.61</v>
      </c>
      <c r="J1138">
        <f>IF(ISBLANK(I1138), ROUND(I1138/ABS(VALUE(_xlfn.TEXTBEFORE(F1138&amp;" ", " "))), 2), ABS(VALUE(SUBSTITUTE(I1138, "$", ""))))</f>
        <v>243.61</v>
      </c>
      <c r="K1138">
        <f>ROUND(Sheet1[[#This Row],[CleanedUnits_sold]]*Sheet1[[#This Row],[Cleaned_Unit_Price]],2)</f>
        <v>974.44</v>
      </c>
      <c r="L1138">
        <v>974.44</v>
      </c>
      <c r="M1138" s="1" t="s">
        <v>2185</v>
      </c>
      <c r="N1138" s="1" t="s">
        <v>14</v>
      </c>
      <c r="O1138" s="1" t="s">
        <v>2185</v>
      </c>
    </row>
    <row r="1139" spans="1:15" x14ac:dyDescent="0.35">
      <c r="A1139" s="1" t="s">
        <v>2186</v>
      </c>
      <c r="B1139" s="2">
        <v>45176</v>
      </c>
      <c r="C1139" s="1" t="s">
        <v>16</v>
      </c>
      <c r="D1139" s="1" t="s">
        <v>12</v>
      </c>
      <c r="E1139" s="1" t="str">
        <f>TRIM(CLEAN(Sheet1[[#This Row],[Category]]))</f>
        <v>Office Supplies</v>
      </c>
      <c r="F1139">
        <v>6</v>
      </c>
      <c r="G1139" t="str">
        <f t="shared" si="17"/>
        <v>2. Mid-Market (4-7 Units)</v>
      </c>
      <c r="H1139">
        <v>6</v>
      </c>
      <c r="I1139">
        <v>142.63</v>
      </c>
      <c r="J1139">
        <f>IF(ISBLANK(I1139), ROUND(I1139/ABS(VALUE(_xlfn.TEXTBEFORE(F1139&amp;" ", " "))), 2), ABS(VALUE(SUBSTITUTE(I1139, "$", ""))))</f>
        <v>142.63</v>
      </c>
      <c r="K1139">
        <f>ROUND(Sheet1[[#This Row],[CleanedUnits_sold]]*Sheet1[[#This Row],[Cleaned_Unit_Price]],2)</f>
        <v>855.78</v>
      </c>
      <c r="L1139">
        <v>855.78</v>
      </c>
      <c r="M1139" s="1" t="s">
        <v>2187</v>
      </c>
      <c r="N1139" s="1" t="s">
        <v>14</v>
      </c>
      <c r="O1139" s="1" t="s">
        <v>2187</v>
      </c>
    </row>
    <row r="1140" spans="1:15" x14ac:dyDescent="0.35">
      <c r="A1140" s="1" t="s">
        <v>2188</v>
      </c>
      <c r="B1140" s="2">
        <v>45214</v>
      </c>
      <c r="C1140" s="1" t="s">
        <v>58</v>
      </c>
      <c r="D1140" s="1" t="s">
        <v>12</v>
      </c>
      <c r="E1140" s="1" t="str">
        <f>TRIM(CLEAN(Sheet1[[#This Row],[Category]]))</f>
        <v>Office Supplies</v>
      </c>
      <c r="F1140">
        <v>3</v>
      </c>
      <c r="G1140" t="str">
        <f t="shared" si="17"/>
        <v>1. Retail (1-3 Units)</v>
      </c>
      <c r="H1140">
        <v>3</v>
      </c>
      <c r="I1140">
        <v>24.29</v>
      </c>
      <c r="J1140">
        <f>IF(ISBLANK(I1140), ROUND(I1140/ABS(VALUE(_xlfn.TEXTBEFORE(F1140&amp;" ", " "))), 2), ABS(VALUE(SUBSTITUTE(I1140, "$", ""))))</f>
        <v>24.29</v>
      </c>
      <c r="K1140">
        <f>ROUND(Sheet1[[#This Row],[CleanedUnits_sold]]*Sheet1[[#This Row],[Cleaned_Unit_Price]],2)</f>
        <v>72.87</v>
      </c>
      <c r="L1140">
        <v>72.87</v>
      </c>
      <c r="M1140" s="1" t="s">
        <v>2189</v>
      </c>
      <c r="N1140" s="1" t="s">
        <v>38</v>
      </c>
      <c r="O1140" s="1" t="s">
        <v>2189</v>
      </c>
    </row>
    <row r="1141" spans="1:15" x14ac:dyDescent="0.35">
      <c r="A1141" s="1" t="s">
        <v>2190</v>
      </c>
      <c r="B1141" s="2">
        <v>1</v>
      </c>
      <c r="C1141" s="1" t="s">
        <v>19</v>
      </c>
      <c r="D1141" s="1" t="s">
        <v>46</v>
      </c>
      <c r="E1141" s="1" t="str">
        <f>TRIM(CLEAN(Sheet1[[#This Row],[Category]]))</f>
        <v>Furniture</v>
      </c>
      <c r="F1141">
        <v>9999</v>
      </c>
      <c r="G1141" t="str">
        <f t="shared" si="17"/>
        <v>2. Mid-Market (4-7 Units)</v>
      </c>
      <c r="H1141">
        <v>5</v>
      </c>
      <c r="I1141">
        <v>306.5</v>
      </c>
      <c r="J1141">
        <f>IF(ISBLANK(I1141), ROUND(I1141/ABS(VALUE(_xlfn.TEXTBEFORE(F1141&amp;" ", " "))), 2), ABS(VALUE(SUBSTITUTE(I1141, "$", ""))))</f>
        <v>306.5</v>
      </c>
      <c r="K1141">
        <f>ROUND(Sheet1[[#This Row],[CleanedUnits_sold]]*Sheet1[[#This Row],[Cleaned_Unit_Price]],2)</f>
        <v>1532.5</v>
      </c>
      <c r="L1141">
        <v>1532.5</v>
      </c>
      <c r="M1141" s="1" t="s">
        <v>2191</v>
      </c>
      <c r="N1141" s="1" t="s">
        <v>50</v>
      </c>
      <c r="O1141" s="1" t="s">
        <v>2191</v>
      </c>
    </row>
    <row r="1142" spans="1:15" x14ac:dyDescent="0.35">
      <c r="A1142" s="1" t="s">
        <v>2192</v>
      </c>
      <c r="B1142" s="2">
        <v>45279</v>
      </c>
      <c r="C1142" s="1" t="s">
        <v>16</v>
      </c>
      <c r="D1142" s="1" t="s">
        <v>46</v>
      </c>
      <c r="E1142" s="1" t="str">
        <f>TRIM(CLEAN(Sheet1[[#This Row],[Category]]))</f>
        <v>Furniture</v>
      </c>
      <c r="F1142">
        <v>5</v>
      </c>
      <c r="G1142" t="str">
        <f t="shared" si="17"/>
        <v>2. Mid-Market (4-7 Units)</v>
      </c>
      <c r="H1142">
        <v>5</v>
      </c>
      <c r="I1142">
        <v>203.91</v>
      </c>
      <c r="J1142">
        <f>IF(ISBLANK(I1142), ROUND(I1142/ABS(VALUE(_xlfn.TEXTBEFORE(F1142&amp;" ", " "))), 2), ABS(VALUE(SUBSTITUTE(I1142, "$", ""))))</f>
        <v>203.91</v>
      </c>
      <c r="K1142">
        <f>ROUND(Sheet1[[#This Row],[CleanedUnits_sold]]*Sheet1[[#This Row],[Cleaned_Unit_Price]],2)</f>
        <v>1019.55</v>
      </c>
      <c r="L1142">
        <v>1019.55</v>
      </c>
      <c r="M1142" s="1" t="s">
        <v>2193</v>
      </c>
      <c r="N1142" s="1" t="s">
        <v>26</v>
      </c>
      <c r="O1142" s="1" t="s">
        <v>2193</v>
      </c>
    </row>
    <row r="1143" spans="1:15" x14ac:dyDescent="0.35">
      <c r="A1143" s="1" t="s">
        <v>2194</v>
      </c>
      <c r="B1143" s="2">
        <v>44927</v>
      </c>
      <c r="C1143" s="1" t="s">
        <v>23</v>
      </c>
      <c r="D1143" s="1" t="s">
        <v>24</v>
      </c>
      <c r="E1143" s="1" t="str">
        <f>TRIM(CLEAN(Sheet1[[#This Row],[Category]]))</f>
        <v>Electronics</v>
      </c>
      <c r="F1143">
        <v>5</v>
      </c>
      <c r="G1143" t="str">
        <f t="shared" si="17"/>
        <v>2. Mid-Market (4-7 Units)</v>
      </c>
      <c r="H1143">
        <v>5</v>
      </c>
      <c r="I1143">
        <v>156.35</v>
      </c>
      <c r="J1143">
        <f>IF(ISBLANK(I1143), ROUND(I1143/ABS(VALUE(_xlfn.TEXTBEFORE(F1143&amp;" ", " "))), 2), ABS(VALUE(SUBSTITUTE(I1143, "$", ""))))</f>
        <v>156.35</v>
      </c>
      <c r="K1143">
        <f>ROUND(Sheet1[[#This Row],[CleanedUnits_sold]]*Sheet1[[#This Row],[Cleaned_Unit_Price]],2)</f>
        <v>781.75</v>
      </c>
      <c r="L1143">
        <v>781.75</v>
      </c>
      <c r="M1143" s="1" t="s">
        <v>2195</v>
      </c>
      <c r="N1143" s="1" t="s">
        <v>50</v>
      </c>
      <c r="O1143" s="1" t="s">
        <v>2195</v>
      </c>
    </row>
    <row r="1144" spans="1:15" x14ac:dyDescent="0.35">
      <c r="A1144" s="1" t="s">
        <v>2196</v>
      </c>
      <c r="B1144" s="2">
        <v>45217</v>
      </c>
      <c r="C1144" s="1" t="s">
        <v>19</v>
      </c>
      <c r="D1144" s="1" t="s">
        <v>12</v>
      </c>
      <c r="E1144" s="1" t="str">
        <f>TRIM(CLEAN(Sheet1[[#This Row],[Category]]))</f>
        <v>Office Supplies</v>
      </c>
      <c r="F1144">
        <v>5</v>
      </c>
      <c r="G1144" t="str">
        <f t="shared" si="17"/>
        <v>2. Mid-Market (4-7 Units)</v>
      </c>
      <c r="H1144">
        <v>5</v>
      </c>
      <c r="I1144" t="s">
        <v>332</v>
      </c>
      <c r="J1144">
        <f>IF(ISBLANK(I1144), ROUND(I1144/ABS(VALUE(_xlfn.TEXTBEFORE(F1144&amp;" ", " "))), 2), ABS(VALUE(SUBSTITUTE(I1144, "$", ""))))</f>
        <v>250</v>
      </c>
      <c r="K1144">
        <f>ROUND(Sheet1[[#This Row],[CleanedUnits_sold]]*Sheet1[[#This Row],[Cleaned_Unit_Price]],2)</f>
        <v>1250</v>
      </c>
      <c r="L1144">
        <v>2174</v>
      </c>
      <c r="M1144" s="1" t="s">
        <v>2197</v>
      </c>
      <c r="N1144" s="1" t="s">
        <v>38</v>
      </c>
      <c r="O1144" s="1" t="s">
        <v>2197</v>
      </c>
    </row>
    <row r="1145" spans="1:15" x14ac:dyDescent="0.35">
      <c r="A1145" s="1" t="s">
        <v>2198</v>
      </c>
      <c r="B1145" s="2">
        <v>45266</v>
      </c>
      <c r="C1145" s="1" t="s">
        <v>23</v>
      </c>
      <c r="D1145" s="1" t="s">
        <v>12</v>
      </c>
      <c r="E1145" s="1" t="str">
        <f>TRIM(CLEAN(Sheet1[[#This Row],[Category]]))</f>
        <v>Office Supplies</v>
      </c>
      <c r="F1145">
        <v>3</v>
      </c>
      <c r="G1145" t="str">
        <f t="shared" si="17"/>
        <v>1. Retail (1-3 Units)</v>
      </c>
      <c r="H1145">
        <v>3</v>
      </c>
      <c r="I1145">
        <v>375.9</v>
      </c>
      <c r="J1145">
        <f>IF(ISBLANK(I1145), ROUND(I1145/ABS(VALUE(_xlfn.TEXTBEFORE(F1145&amp;" ", " "))), 2), ABS(VALUE(SUBSTITUTE(I1145, "$", ""))))</f>
        <v>375.9</v>
      </c>
      <c r="K1145">
        <f>ROUND(Sheet1[[#This Row],[CleanedUnits_sold]]*Sheet1[[#This Row],[Cleaned_Unit_Price]],2)</f>
        <v>1127.7</v>
      </c>
      <c r="M1145" s="1" t="s">
        <v>2199</v>
      </c>
      <c r="N1145" s="1" t="s">
        <v>26</v>
      </c>
      <c r="O1145" s="1" t="s">
        <v>2199</v>
      </c>
    </row>
    <row r="1146" spans="1:15" x14ac:dyDescent="0.35">
      <c r="A1146" s="1" t="s">
        <v>2200</v>
      </c>
      <c r="B1146" s="2">
        <v>44980</v>
      </c>
      <c r="C1146" s="1" t="s">
        <v>23</v>
      </c>
      <c r="D1146" s="1" t="s">
        <v>24</v>
      </c>
      <c r="E1146" s="1" t="str">
        <f>TRIM(CLEAN(Sheet1[[#This Row],[Category]]))</f>
        <v>Electronics</v>
      </c>
      <c r="F1146">
        <v>10</v>
      </c>
      <c r="G1146" t="str">
        <f t="shared" si="17"/>
        <v>3. Wholesale / Bulk (8+ Units)</v>
      </c>
      <c r="H1146">
        <v>10</v>
      </c>
      <c r="I1146">
        <v>430.31</v>
      </c>
      <c r="J1146">
        <f>IF(ISBLANK(I1146), ROUND(I1146/ABS(VALUE(_xlfn.TEXTBEFORE(F1146&amp;" ", " "))), 2), ABS(VALUE(SUBSTITUTE(I1146, "$", ""))))</f>
        <v>430.31</v>
      </c>
      <c r="K1146">
        <f>ROUND(Sheet1[[#This Row],[CleanedUnits_sold]]*Sheet1[[#This Row],[Cleaned_Unit_Price]],2)</f>
        <v>4303.1000000000004</v>
      </c>
      <c r="L1146">
        <v>4303.1000000000004</v>
      </c>
      <c r="M1146" s="1" t="s">
        <v>2201</v>
      </c>
      <c r="N1146" s="1" t="s">
        <v>38</v>
      </c>
      <c r="O1146" s="1" t="s">
        <v>2201</v>
      </c>
    </row>
    <row r="1147" spans="1:15" x14ac:dyDescent="0.35">
      <c r="A1147" s="1" t="s">
        <v>2202</v>
      </c>
      <c r="B1147" s="2">
        <v>45171</v>
      </c>
      <c r="C1147" s="1" t="s">
        <v>16</v>
      </c>
      <c r="D1147" s="1" t="s">
        <v>12</v>
      </c>
      <c r="E1147" s="1" t="str">
        <f>TRIM(CLEAN(Sheet1[[#This Row],[Category]]))</f>
        <v>Office Supplies</v>
      </c>
      <c r="F1147">
        <v>9999</v>
      </c>
      <c r="G1147" t="str">
        <f t="shared" si="17"/>
        <v>2. Mid-Market (4-7 Units)</v>
      </c>
      <c r="H1147">
        <v>5</v>
      </c>
      <c r="I1147">
        <v>252.54</v>
      </c>
      <c r="J1147">
        <f>IF(ISBLANK(I1147), ROUND(I1147/ABS(VALUE(_xlfn.TEXTBEFORE(F1147&amp;" ", " "))), 2), ABS(VALUE(SUBSTITUTE(I1147, "$", ""))))</f>
        <v>252.54</v>
      </c>
      <c r="K1147">
        <f>ROUND(Sheet1[[#This Row],[CleanedUnits_sold]]*Sheet1[[#This Row],[Cleaned_Unit_Price]],2)</f>
        <v>1262.7</v>
      </c>
      <c r="L1147">
        <v>1262.7</v>
      </c>
      <c r="M1147" s="1" t="s">
        <v>2203</v>
      </c>
      <c r="N1147" s="1" t="s">
        <v>26</v>
      </c>
      <c r="O1147" s="1" t="s">
        <v>2203</v>
      </c>
    </row>
    <row r="1148" spans="1:15" x14ac:dyDescent="0.35">
      <c r="A1148" s="1" t="s">
        <v>2204</v>
      </c>
      <c r="B1148" s="2">
        <v>1</v>
      </c>
      <c r="C1148" s="1" t="s">
        <v>19</v>
      </c>
      <c r="D1148" s="1" t="s">
        <v>46</v>
      </c>
      <c r="E1148" s="1" t="str">
        <f>TRIM(CLEAN(Sheet1[[#This Row],[Category]]))</f>
        <v>Furniture</v>
      </c>
      <c r="F1148">
        <v>4</v>
      </c>
      <c r="G1148" t="str">
        <f t="shared" si="17"/>
        <v>2. Mid-Market (4-7 Units)</v>
      </c>
      <c r="H1148">
        <v>4</v>
      </c>
      <c r="I1148">
        <v>74.16</v>
      </c>
      <c r="J1148">
        <f>IF(ISBLANK(I1148), ROUND(I1148/ABS(VALUE(_xlfn.TEXTBEFORE(F1148&amp;" ", " "))), 2), ABS(VALUE(SUBSTITUTE(I1148, "$", ""))))</f>
        <v>74.16</v>
      </c>
      <c r="K1148">
        <f>ROUND(Sheet1[[#This Row],[CleanedUnits_sold]]*Sheet1[[#This Row],[Cleaned_Unit_Price]],2)</f>
        <v>296.64</v>
      </c>
      <c r="L1148">
        <v>296.64</v>
      </c>
      <c r="M1148" s="1" t="s">
        <v>2205</v>
      </c>
      <c r="N1148" s="1" t="s">
        <v>50</v>
      </c>
      <c r="O1148" s="1" t="s">
        <v>2205</v>
      </c>
    </row>
    <row r="1149" spans="1:15" x14ac:dyDescent="0.35">
      <c r="A1149" s="1" t="s">
        <v>2206</v>
      </c>
      <c r="B1149" s="2">
        <v>44972</v>
      </c>
      <c r="C1149" s="1" t="s">
        <v>23</v>
      </c>
      <c r="D1149" s="1" t="s">
        <v>12</v>
      </c>
      <c r="E1149" s="1" t="str">
        <f>TRIM(CLEAN(Sheet1[[#This Row],[Category]]))</f>
        <v>Office Supplies</v>
      </c>
      <c r="F1149">
        <v>4</v>
      </c>
      <c r="G1149" t="str">
        <f t="shared" si="17"/>
        <v>2. Mid-Market (4-7 Units)</v>
      </c>
      <c r="H1149">
        <v>4</v>
      </c>
      <c r="I1149">
        <v>351.15</v>
      </c>
      <c r="J1149">
        <f>IF(ISBLANK(I1149), ROUND(I1149/ABS(VALUE(_xlfn.TEXTBEFORE(F1149&amp;" ", " "))), 2), ABS(VALUE(SUBSTITUTE(I1149, "$", ""))))</f>
        <v>351.15</v>
      </c>
      <c r="K1149">
        <f>ROUND(Sheet1[[#This Row],[CleanedUnits_sold]]*Sheet1[[#This Row],[Cleaned_Unit_Price]],2)</f>
        <v>1404.6</v>
      </c>
      <c r="L1149">
        <v>1404.6</v>
      </c>
      <c r="M1149" s="1" t="s">
        <v>2207</v>
      </c>
      <c r="N1149" s="1" t="s">
        <v>38</v>
      </c>
      <c r="O1149" s="1" t="s">
        <v>2207</v>
      </c>
    </row>
    <row r="1150" spans="1:15" x14ac:dyDescent="0.35">
      <c r="A1150" s="1" t="s">
        <v>2208</v>
      </c>
      <c r="B1150" s="2">
        <v>1</v>
      </c>
      <c r="C1150" s="1" t="s">
        <v>11</v>
      </c>
      <c r="D1150" s="1" t="s">
        <v>12</v>
      </c>
      <c r="E1150" s="1" t="str">
        <f>TRIM(CLEAN(Sheet1[[#This Row],[Category]]))</f>
        <v>Office Supplies</v>
      </c>
      <c r="F1150">
        <v>7</v>
      </c>
      <c r="G1150" t="str">
        <f t="shared" si="17"/>
        <v>2. Mid-Market (4-7 Units)</v>
      </c>
      <c r="H1150">
        <v>7</v>
      </c>
      <c r="I1150">
        <v>110.98</v>
      </c>
      <c r="J1150">
        <f>IF(ISBLANK(I1150), ROUND(I1150/ABS(VALUE(_xlfn.TEXTBEFORE(F1150&amp;" ", " "))), 2), ABS(VALUE(SUBSTITUTE(I1150, "$", ""))))</f>
        <v>110.98</v>
      </c>
      <c r="K1150">
        <f>ROUND(Sheet1[[#This Row],[CleanedUnits_sold]]*Sheet1[[#This Row],[Cleaned_Unit_Price]],2)</f>
        <v>776.86</v>
      </c>
      <c r="L1150">
        <v>776.86</v>
      </c>
      <c r="M1150" s="1" t="s">
        <v>2209</v>
      </c>
      <c r="N1150" s="1" t="s">
        <v>38</v>
      </c>
      <c r="O1150" s="1" t="s">
        <v>2209</v>
      </c>
    </row>
    <row r="1151" spans="1:15" x14ac:dyDescent="0.35">
      <c r="A1151" s="1" t="s">
        <v>2210</v>
      </c>
      <c r="B1151" s="2">
        <v>44961</v>
      </c>
      <c r="C1151" s="1" t="s">
        <v>19</v>
      </c>
      <c r="D1151" s="1" t="s">
        <v>12</v>
      </c>
      <c r="E1151" s="1" t="str">
        <f>TRIM(CLEAN(Sheet1[[#This Row],[Category]]))</f>
        <v>Office Supplies</v>
      </c>
      <c r="F1151">
        <v>3</v>
      </c>
      <c r="G1151" t="str">
        <f t="shared" si="17"/>
        <v>1. Retail (1-3 Units)</v>
      </c>
      <c r="H1151">
        <v>3</v>
      </c>
      <c r="I1151">
        <v>226.2</v>
      </c>
      <c r="J1151">
        <f>IF(ISBLANK(I1151), ROUND(I1151/ABS(VALUE(_xlfn.TEXTBEFORE(F1151&amp;" ", " "))), 2), ABS(VALUE(SUBSTITUTE(I1151, "$", ""))))</f>
        <v>226.2</v>
      </c>
      <c r="K1151">
        <f>ROUND(Sheet1[[#This Row],[CleanedUnits_sold]]*Sheet1[[#This Row],[Cleaned_Unit_Price]],2)</f>
        <v>678.6</v>
      </c>
      <c r="M1151" s="1" t="s">
        <v>2211</v>
      </c>
      <c r="N1151" s="1" t="s">
        <v>14</v>
      </c>
      <c r="O1151" s="1" t="s">
        <v>2211</v>
      </c>
    </row>
    <row r="1152" spans="1:15" x14ac:dyDescent="0.35">
      <c r="A1152" s="1" t="s">
        <v>2212</v>
      </c>
      <c r="B1152" s="2">
        <v>44982</v>
      </c>
      <c r="C1152" s="1" t="s">
        <v>23</v>
      </c>
      <c r="D1152" s="1" t="s">
        <v>46</v>
      </c>
      <c r="E1152" s="1" t="str">
        <f>TRIM(CLEAN(Sheet1[[#This Row],[Category]]))</f>
        <v>Furniture</v>
      </c>
      <c r="F1152">
        <v>6</v>
      </c>
      <c r="G1152" t="str">
        <f t="shared" si="17"/>
        <v>2. Mid-Market (4-7 Units)</v>
      </c>
      <c r="H1152">
        <v>6</v>
      </c>
      <c r="I1152">
        <v>41.85</v>
      </c>
      <c r="J1152">
        <f>IF(ISBLANK(I1152), ROUND(I1152/ABS(VALUE(_xlfn.TEXTBEFORE(F1152&amp;" ", " "))), 2), ABS(VALUE(SUBSTITUTE(I1152, "$", ""))))</f>
        <v>41.85</v>
      </c>
      <c r="K1152">
        <f>ROUND(Sheet1[[#This Row],[CleanedUnits_sold]]*Sheet1[[#This Row],[Cleaned_Unit_Price]],2)</f>
        <v>251.1</v>
      </c>
      <c r="L1152">
        <v>251.1</v>
      </c>
      <c r="M1152" s="1" t="s">
        <v>2213</v>
      </c>
      <c r="N1152" s="1" t="s">
        <v>38</v>
      </c>
      <c r="O1152" s="1" t="s">
        <v>2213</v>
      </c>
    </row>
    <row r="1153" spans="1:15" x14ac:dyDescent="0.35">
      <c r="A1153" s="1" t="s">
        <v>2214</v>
      </c>
      <c r="B1153" s="2">
        <v>1</v>
      </c>
      <c r="C1153" s="1" t="s">
        <v>23</v>
      </c>
      <c r="D1153" s="1" t="s">
        <v>24</v>
      </c>
      <c r="E1153" s="1" t="str">
        <f>TRIM(CLEAN(Sheet1[[#This Row],[Category]]))</f>
        <v>Electronics</v>
      </c>
      <c r="F1153">
        <v>2</v>
      </c>
      <c r="G1153" t="str">
        <f t="shared" si="17"/>
        <v>1. Retail (1-3 Units)</v>
      </c>
      <c r="H1153">
        <v>2</v>
      </c>
      <c r="I1153">
        <v>414.4</v>
      </c>
      <c r="J1153">
        <f>IF(ISBLANK(I1153), ROUND(I1153/ABS(VALUE(_xlfn.TEXTBEFORE(F1153&amp;" ", " "))), 2), ABS(VALUE(SUBSTITUTE(I1153, "$", ""))))</f>
        <v>414.4</v>
      </c>
      <c r="K1153">
        <f>ROUND(Sheet1[[#This Row],[CleanedUnits_sold]]*Sheet1[[#This Row],[Cleaned_Unit_Price]],2)</f>
        <v>828.8</v>
      </c>
      <c r="L1153">
        <v>828.8</v>
      </c>
      <c r="M1153" s="1" t="s">
        <v>2215</v>
      </c>
      <c r="N1153" s="1" t="s">
        <v>21</v>
      </c>
      <c r="O1153" s="1" t="s">
        <v>2215</v>
      </c>
    </row>
    <row r="1154" spans="1:15" x14ac:dyDescent="0.35">
      <c r="A1154" s="1" t="s">
        <v>2216</v>
      </c>
      <c r="B1154" s="2">
        <v>44993</v>
      </c>
      <c r="C1154" s="1" t="s">
        <v>58</v>
      </c>
      <c r="D1154" s="1" t="s">
        <v>24</v>
      </c>
      <c r="E1154" s="1" t="str">
        <f>TRIM(CLEAN(Sheet1[[#This Row],[Category]]))</f>
        <v>Electronics</v>
      </c>
      <c r="F1154">
        <v>4</v>
      </c>
      <c r="G1154" t="str">
        <f t="shared" ref="G1154:G1217" si="18">IF(H1154=0, "Non-Billable / Zero", IF(H1154&lt;=3, "1. Retail (1-3 Units)", IF(H1154&lt;=7, "2. Mid-Market (4-7 Units)", "3. Wholesale / Bulk (8+ Units)")))</f>
        <v>2. Mid-Market (4-7 Units)</v>
      </c>
      <c r="H1154">
        <v>4</v>
      </c>
      <c r="I1154">
        <v>71.709999999999994</v>
      </c>
      <c r="J1154">
        <f>IF(ISBLANK(I1154), ROUND(I1154/ABS(VALUE(_xlfn.TEXTBEFORE(F1154&amp;" ", " "))), 2), ABS(VALUE(SUBSTITUTE(I1154, "$", ""))))</f>
        <v>71.709999999999994</v>
      </c>
      <c r="K1154">
        <f>ROUND(Sheet1[[#This Row],[CleanedUnits_sold]]*Sheet1[[#This Row],[Cleaned_Unit_Price]],2)</f>
        <v>286.83999999999997</v>
      </c>
      <c r="L1154">
        <v>286.83999999999997</v>
      </c>
      <c r="M1154" s="1"/>
      <c r="N1154" s="1" t="s">
        <v>50</v>
      </c>
      <c r="O1154" s="1" t="s">
        <v>131</v>
      </c>
    </row>
    <row r="1155" spans="1:15" x14ac:dyDescent="0.35">
      <c r="A1155" s="1" t="s">
        <v>2217</v>
      </c>
      <c r="B1155" s="2">
        <v>45179</v>
      </c>
      <c r="C1155" s="1" t="s">
        <v>58</v>
      </c>
      <c r="D1155" s="1" t="s">
        <v>12</v>
      </c>
      <c r="E1155" s="1" t="str">
        <f>TRIM(CLEAN(Sheet1[[#This Row],[Category]]))</f>
        <v>Office Supplies</v>
      </c>
      <c r="F1155">
        <v>4</v>
      </c>
      <c r="G1155" t="str">
        <f t="shared" si="18"/>
        <v>2. Mid-Market (4-7 Units)</v>
      </c>
      <c r="H1155">
        <v>4</v>
      </c>
      <c r="I1155">
        <v>452.52</v>
      </c>
      <c r="J1155">
        <f>IF(ISBLANK(I1155), ROUND(I1155/ABS(VALUE(_xlfn.TEXTBEFORE(F1155&amp;" ", " "))), 2), ABS(VALUE(SUBSTITUTE(I1155, "$", ""))))</f>
        <v>452.52</v>
      </c>
      <c r="K1155">
        <f>ROUND(Sheet1[[#This Row],[CleanedUnits_sold]]*Sheet1[[#This Row],[Cleaned_Unit_Price]],2)</f>
        <v>1810.08</v>
      </c>
      <c r="L1155">
        <v>1810.08</v>
      </c>
      <c r="M1155" s="1" t="s">
        <v>2218</v>
      </c>
      <c r="N1155" s="1" t="s">
        <v>26</v>
      </c>
      <c r="O1155" s="1" t="s">
        <v>2218</v>
      </c>
    </row>
    <row r="1156" spans="1:15" x14ac:dyDescent="0.35">
      <c r="A1156" s="1" t="s">
        <v>2219</v>
      </c>
      <c r="B1156" s="2">
        <v>45119</v>
      </c>
      <c r="C1156" s="1" t="s">
        <v>16</v>
      </c>
      <c r="D1156" s="1" t="s">
        <v>24</v>
      </c>
      <c r="E1156" s="1" t="str">
        <f>TRIM(CLEAN(Sheet1[[#This Row],[Category]]))</f>
        <v>Electronics</v>
      </c>
      <c r="F1156">
        <v>4</v>
      </c>
      <c r="G1156" t="str">
        <f t="shared" si="18"/>
        <v>2. Mid-Market (4-7 Units)</v>
      </c>
      <c r="H1156">
        <v>4</v>
      </c>
      <c r="I1156">
        <v>433.47</v>
      </c>
      <c r="J1156">
        <f>IF(ISBLANK(I1156), ROUND(I1156/ABS(VALUE(_xlfn.TEXTBEFORE(F1156&amp;" ", " "))), 2), ABS(VALUE(SUBSTITUTE(I1156, "$", ""))))</f>
        <v>433.47</v>
      </c>
      <c r="K1156">
        <f>ROUND(Sheet1[[#This Row],[CleanedUnits_sold]]*Sheet1[[#This Row],[Cleaned_Unit_Price]],2)</f>
        <v>1733.88</v>
      </c>
      <c r="L1156">
        <v>1843.82</v>
      </c>
      <c r="M1156" s="1" t="s">
        <v>84</v>
      </c>
      <c r="N1156" s="1" t="s">
        <v>14</v>
      </c>
      <c r="O1156" s="1" t="s">
        <v>85</v>
      </c>
    </row>
    <row r="1157" spans="1:15" x14ac:dyDescent="0.35">
      <c r="A1157" s="1" t="s">
        <v>2220</v>
      </c>
      <c r="B1157" s="2">
        <v>1</v>
      </c>
      <c r="C1157" s="1" t="s">
        <v>23</v>
      </c>
      <c r="D1157" s="1" t="s">
        <v>12</v>
      </c>
      <c r="E1157" s="1" t="str">
        <f>TRIM(CLEAN(Sheet1[[#This Row],[Category]]))</f>
        <v>Office Supplies</v>
      </c>
      <c r="F1157">
        <v>-5</v>
      </c>
      <c r="G1157" t="str">
        <f t="shared" si="18"/>
        <v>2. Mid-Market (4-7 Units)</v>
      </c>
      <c r="H1157">
        <v>5</v>
      </c>
      <c r="I1157">
        <v>237.65</v>
      </c>
      <c r="J1157">
        <f>IF(ISBLANK(I1157), ROUND(I1157/ABS(VALUE(_xlfn.TEXTBEFORE(F1157&amp;" ", " "))), 2), ABS(VALUE(SUBSTITUTE(I1157, "$", ""))))</f>
        <v>237.65</v>
      </c>
      <c r="K1157">
        <f>ROUND(Sheet1[[#This Row],[CleanedUnits_sold]]*Sheet1[[#This Row],[Cleaned_Unit_Price]],2)</f>
        <v>1188.25</v>
      </c>
      <c r="L1157">
        <v>1901.2</v>
      </c>
      <c r="M1157" s="1" t="s">
        <v>2221</v>
      </c>
      <c r="N1157" s="1" t="s">
        <v>26</v>
      </c>
      <c r="O1157" s="1" t="s">
        <v>2221</v>
      </c>
    </row>
    <row r="1158" spans="1:15" x14ac:dyDescent="0.35">
      <c r="A1158" s="1" t="s">
        <v>2222</v>
      </c>
      <c r="B1158" s="2">
        <v>44964</v>
      </c>
      <c r="C1158" s="1" t="s">
        <v>16</v>
      </c>
      <c r="D1158" s="1" t="s">
        <v>12</v>
      </c>
      <c r="E1158" s="1" t="str">
        <f>TRIM(CLEAN(Sheet1[[#This Row],[Category]]))</f>
        <v>Office Supplies</v>
      </c>
      <c r="F1158">
        <v>5</v>
      </c>
      <c r="G1158" t="str">
        <f t="shared" si="18"/>
        <v>2. Mid-Market (4-7 Units)</v>
      </c>
      <c r="H1158">
        <v>5</v>
      </c>
      <c r="I1158">
        <v>374.74</v>
      </c>
      <c r="J1158">
        <f>IF(ISBLANK(I1158), ROUND(I1158/ABS(VALUE(_xlfn.TEXTBEFORE(F1158&amp;" ", " "))), 2), ABS(VALUE(SUBSTITUTE(I1158, "$", ""))))</f>
        <v>374.74</v>
      </c>
      <c r="K1158">
        <f>ROUND(Sheet1[[#This Row],[CleanedUnits_sold]]*Sheet1[[#This Row],[Cleaned_Unit_Price]],2)</f>
        <v>1873.7</v>
      </c>
      <c r="L1158">
        <v>1873.7</v>
      </c>
      <c r="M1158" s="1" t="s">
        <v>2223</v>
      </c>
      <c r="N1158" s="1" t="s">
        <v>14</v>
      </c>
      <c r="O1158" s="1" t="s">
        <v>2223</v>
      </c>
    </row>
    <row r="1159" spans="1:15" x14ac:dyDescent="0.35">
      <c r="A1159" s="1" t="s">
        <v>2224</v>
      </c>
      <c r="B1159" s="2">
        <v>45090</v>
      </c>
      <c r="C1159" s="1" t="s">
        <v>11</v>
      </c>
      <c r="D1159" s="1" t="s">
        <v>24</v>
      </c>
      <c r="E1159" s="1" t="str">
        <f>TRIM(CLEAN(Sheet1[[#This Row],[Category]]))</f>
        <v>Electronics</v>
      </c>
      <c r="F1159">
        <v>8</v>
      </c>
      <c r="G1159" t="str">
        <f t="shared" si="18"/>
        <v>3. Wholesale / Bulk (8+ Units)</v>
      </c>
      <c r="H1159">
        <v>8</v>
      </c>
      <c r="I1159">
        <v>313.52999999999997</v>
      </c>
      <c r="J1159">
        <f>IF(ISBLANK(I1159), ROUND(I1159/ABS(VALUE(_xlfn.TEXTBEFORE(F1159&amp;" ", " "))), 2), ABS(VALUE(SUBSTITUTE(I1159, "$", ""))))</f>
        <v>313.52999999999997</v>
      </c>
      <c r="K1159">
        <f>ROUND(Sheet1[[#This Row],[CleanedUnits_sold]]*Sheet1[[#This Row],[Cleaned_Unit_Price]],2)</f>
        <v>2508.2399999999998</v>
      </c>
      <c r="L1159">
        <v>2508.2399999999998</v>
      </c>
      <c r="M1159" s="1" t="s">
        <v>2225</v>
      </c>
      <c r="N1159" s="1" t="s">
        <v>50</v>
      </c>
      <c r="O1159" s="1" t="s">
        <v>2225</v>
      </c>
    </row>
    <row r="1160" spans="1:15" x14ac:dyDescent="0.35">
      <c r="A1160" s="1" t="s">
        <v>2226</v>
      </c>
      <c r="B1160" s="2">
        <v>44964</v>
      </c>
      <c r="C1160" s="1" t="s">
        <v>19</v>
      </c>
      <c r="D1160" s="1" t="s">
        <v>12</v>
      </c>
      <c r="E1160" s="1" t="str">
        <f>TRIM(CLEAN(Sheet1[[#This Row],[Category]]))</f>
        <v>Office Supplies</v>
      </c>
      <c r="F1160">
        <v>5</v>
      </c>
      <c r="G1160" t="str">
        <f t="shared" si="18"/>
        <v>2. Mid-Market (4-7 Units)</v>
      </c>
      <c r="H1160">
        <v>5</v>
      </c>
      <c r="I1160">
        <v>403.51</v>
      </c>
      <c r="J1160">
        <f>IF(ISBLANK(I1160), ROUND(I1160/ABS(VALUE(_xlfn.TEXTBEFORE(F1160&amp;" ", " "))), 2), ABS(VALUE(SUBSTITUTE(I1160, "$", ""))))</f>
        <v>403.51</v>
      </c>
      <c r="K1160">
        <f>ROUND(Sheet1[[#This Row],[CleanedUnits_sold]]*Sheet1[[#This Row],[Cleaned_Unit_Price]],2)</f>
        <v>2017.55</v>
      </c>
      <c r="L1160">
        <v>2017.55</v>
      </c>
      <c r="M1160" s="1" t="s">
        <v>2227</v>
      </c>
      <c r="N1160" s="1" t="s">
        <v>26</v>
      </c>
      <c r="O1160" s="1" t="s">
        <v>2227</v>
      </c>
    </row>
    <row r="1161" spans="1:15" x14ac:dyDescent="0.35">
      <c r="A1161" s="1" t="s">
        <v>2228</v>
      </c>
      <c r="B1161" s="2">
        <v>45267</v>
      </c>
      <c r="C1161" s="1" t="s">
        <v>11</v>
      </c>
      <c r="D1161" s="1" t="s">
        <v>24</v>
      </c>
      <c r="E1161" s="1" t="str">
        <f>TRIM(CLEAN(Sheet1[[#This Row],[Category]]))</f>
        <v>Electronics</v>
      </c>
      <c r="F1161">
        <v>7</v>
      </c>
      <c r="G1161" t="str">
        <f t="shared" si="18"/>
        <v>2. Mid-Market (4-7 Units)</v>
      </c>
      <c r="H1161">
        <v>7</v>
      </c>
      <c r="I1161">
        <v>221.58</v>
      </c>
      <c r="J1161">
        <f>IF(ISBLANK(I1161), ROUND(I1161/ABS(VALUE(_xlfn.TEXTBEFORE(F1161&amp;" ", " "))), 2), ABS(VALUE(SUBSTITUTE(I1161, "$", ""))))</f>
        <v>221.58</v>
      </c>
      <c r="K1161">
        <f>ROUND(Sheet1[[#This Row],[CleanedUnits_sold]]*Sheet1[[#This Row],[Cleaned_Unit_Price]],2)</f>
        <v>1551.06</v>
      </c>
      <c r="L1161">
        <v>1551.06</v>
      </c>
      <c r="M1161" s="1" t="s">
        <v>2229</v>
      </c>
      <c r="N1161" s="1" t="s">
        <v>14</v>
      </c>
      <c r="O1161" s="1" t="s">
        <v>2229</v>
      </c>
    </row>
    <row r="1162" spans="1:15" x14ac:dyDescent="0.35">
      <c r="A1162" s="1" t="s">
        <v>2230</v>
      </c>
      <c r="B1162" s="2">
        <v>45207</v>
      </c>
      <c r="C1162" s="1" t="s">
        <v>16</v>
      </c>
      <c r="D1162" s="1" t="s">
        <v>32</v>
      </c>
      <c r="E1162" s="1" t="str">
        <f>TRIM(CLEAN(Sheet1[[#This Row],[Category]]))</f>
        <v>Furniture</v>
      </c>
      <c r="F1162">
        <v>8</v>
      </c>
      <c r="G1162" t="str">
        <f t="shared" si="18"/>
        <v>3. Wholesale / Bulk (8+ Units)</v>
      </c>
      <c r="H1162">
        <v>8</v>
      </c>
      <c r="I1162">
        <v>395.05</v>
      </c>
      <c r="J1162">
        <f>IF(ISBLANK(I1162), ROUND(I1162/ABS(VALUE(_xlfn.TEXTBEFORE(F1162&amp;" ", " "))), 2), ABS(VALUE(SUBSTITUTE(I1162, "$", ""))))</f>
        <v>395.05</v>
      </c>
      <c r="K1162">
        <f>ROUND(Sheet1[[#This Row],[CleanedUnits_sold]]*Sheet1[[#This Row],[Cleaned_Unit_Price]],2)</f>
        <v>3160.4</v>
      </c>
      <c r="L1162">
        <v>3160.4</v>
      </c>
      <c r="M1162" s="1" t="s">
        <v>84</v>
      </c>
      <c r="N1162" s="1" t="s">
        <v>50</v>
      </c>
      <c r="O1162" s="1" t="s">
        <v>85</v>
      </c>
    </row>
    <row r="1163" spans="1:15" x14ac:dyDescent="0.35">
      <c r="A1163" s="1" t="s">
        <v>2231</v>
      </c>
      <c r="B1163" s="2">
        <v>45241</v>
      </c>
      <c r="C1163" s="1" t="s">
        <v>11</v>
      </c>
      <c r="D1163" s="1" t="s">
        <v>12</v>
      </c>
      <c r="E1163" s="1" t="str">
        <f>TRIM(CLEAN(Sheet1[[#This Row],[Category]]))</f>
        <v>Office Supplies</v>
      </c>
      <c r="F1163">
        <v>3</v>
      </c>
      <c r="G1163" t="str">
        <f t="shared" si="18"/>
        <v>1. Retail (1-3 Units)</v>
      </c>
      <c r="H1163">
        <v>3</v>
      </c>
      <c r="I1163">
        <v>236.6</v>
      </c>
      <c r="J1163">
        <f>IF(ISBLANK(I1163), ROUND(I1163/ABS(VALUE(_xlfn.TEXTBEFORE(F1163&amp;" ", " "))), 2), ABS(VALUE(SUBSTITUTE(I1163, "$", ""))))</f>
        <v>236.6</v>
      </c>
      <c r="K1163">
        <f>ROUND(Sheet1[[#This Row],[CleanedUnits_sold]]*Sheet1[[#This Row],[Cleaned_Unit_Price]],2)</f>
        <v>709.8</v>
      </c>
      <c r="L1163">
        <v>709.8</v>
      </c>
      <c r="M1163" s="1" t="s">
        <v>2232</v>
      </c>
      <c r="N1163" s="1" t="s">
        <v>14</v>
      </c>
      <c r="O1163" s="1" t="s">
        <v>2232</v>
      </c>
    </row>
    <row r="1164" spans="1:15" x14ac:dyDescent="0.35">
      <c r="A1164" s="1" t="s">
        <v>2233</v>
      </c>
      <c r="B1164" s="2">
        <v>45177</v>
      </c>
      <c r="C1164" s="1" t="s">
        <v>58</v>
      </c>
      <c r="D1164" s="1" t="s">
        <v>24</v>
      </c>
      <c r="E1164" s="1" t="str">
        <f>TRIM(CLEAN(Sheet1[[#This Row],[Category]]))</f>
        <v>Electronics</v>
      </c>
      <c r="F1164">
        <v>4</v>
      </c>
      <c r="G1164" t="str">
        <f t="shared" si="18"/>
        <v>2. Mid-Market (4-7 Units)</v>
      </c>
      <c r="H1164">
        <v>4</v>
      </c>
      <c r="I1164">
        <v>471.07</v>
      </c>
      <c r="J1164">
        <f>IF(ISBLANK(I1164), ROUND(I1164/ABS(VALUE(_xlfn.TEXTBEFORE(F1164&amp;" ", " "))), 2), ABS(VALUE(SUBSTITUTE(I1164, "$", ""))))</f>
        <v>471.07</v>
      </c>
      <c r="K1164">
        <f>ROUND(Sheet1[[#This Row],[CleanedUnits_sold]]*Sheet1[[#This Row],[Cleaned_Unit_Price]],2)</f>
        <v>1884.28</v>
      </c>
      <c r="L1164">
        <v>1960.72</v>
      </c>
      <c r="M1164" s="1" t="s">
        <v>2234</v>
      </c>
      <c r="N1164" s="1" t="s">
        <v>50</v>
      </c>
      <c r="O1164" s="1" t="s">
        <v>2234</v>
      </c>
    </row>
    <row r="1165" spans="1:15" x14ac:dyDescent="0.35">
      <c r="A1165" s="1" t="s">
        <v>2235</v>
      </c>
      <c r="B1165" s="2">
        <v>45238</v>
      </c>
      <c r="C1165" s="1" t="s">
        <v>19</v>
      </c>
      <c r="D1165" s="1" t="s">
        <v>24</v>
      </c>
      <c r="E1165" s="1" t="str">
        <f>TRIM(CLEAN(Sheet1[[#This Row],[Category]]))</f>
        <v>Electronics</v>
      </c>
      <c r="F1165">
        <v>5</v>
      </c>
      <c r="G1165" t="str">
        <f t="shared" si="18"/>
        <v>2. Mid-Market (4-7 Units)</v>
      </c>
      <c r="H1165">
        <v>5</v>
      </c>
      <c r="I1165">
        <v>248.32</v>
      </c>
      <c r="J1165">
        <f>IF(ISBLANK(I1165), ROUND(I1165/ABS(VALUE(_xlfn.TEXTBEFORE(F1165&amp;" ", " "))), 2), ABS(VALUE(SUBSTITUTE(I1165, "$", ""))))</f>
        <v>248.32</v>
      </c>
      <c r="K1165">
        <f>ROUND(Sheet1[[#This Row],[CleanedUnits_sold]]*Sheet1[[#This Row],[Cleaned_Unit_Price]],2)</f>
        <v>1241.5999999999999</v>
      </c>
      <c r="L1165">
        <v>1489.92</v>
      </c>
      <c r="M1165" s="1" t="s">
        <v>2236</v>
      </c>
      <c r="N1165" s="1" t="s">
        <v>26</v>
      </c>
      <c r="O1165" s="1" t="s">
        <v>2236</v>
      </c>
    </row>
    <row r="1166" spans="1:15" x14ac:dyDescent="0.35">
      <c r="A1166" s="1" t="s">
        <v>2237</v>
      </c>
      <c r="B1166" s="2">
        <v>1</v>
      </c>
      <c r="C1166" s="1" t="s">
        <v>23</v>
      </c>
      <c r="D1166" s="1" t="s">
        <v>12</v>
      </c>
      <c r="E1166" s="1" t="str">
        <f>TRIM(CLEAN(Sheet1[[#This Row],[Category]]))</f>
        <v>Office Supplies</v>
      </c>
      <c r="F1166">
        <v>4</v>
      </c>
      <c r="G1166" t="str">
        <f t="shared" si="18"/>
        <v>2. Mid-Market (4-7 Units)</v>
      </c>
      <c r="H1166">
        <v>4</v>
      </c>
      <c r="I1166">
        <v>236.68</v>
      </c>
      <c r="J1166">
        <f>IF(ISBLANK(I1166), ROUND(I1166/ABS(VALUE(_xlfn.TEXTBEFORE(F1166&amp;" ", " "))), 2), ABS(VALUE(SUBSTITUTE(I1166, "$", ""))))</f>
        <v>236.68</v>
      </c>
      <c r="K1166">
        <f>ROUND(Sheet1[[#This Row],[CleanedUnits_sold]]*Sheet1[[#This Row],[Cleaned_Unit_Price]],2)</f>
        <v>946.72</v>
      </c>
      <c r="L1166">
        <v>946.72</v>
      </c>
      <c r="M1166" s="1" t="s">
        <v>2238</v>
      </c>
      <c r="N1166" s="1" t="s">
        <v>14</v>
      </c>
      <c r="O1166" s="1" t="s">
        <v>2238</v>
      </c>
    </row>
    <row r="1167" spans="1:15" x14ac:dyDescent="0.35">
      <c r="A1167" s="1" t="s">
        <v>2239</v>
      </c>
      <c r="B1167" s="2">
        <v>45024</v>
      </c>
      <c r="C1167" s="1" t="s">
        <v>11</v>
      </c>
      <c r="D1167" s="1" t="s">
        <v>12</v>
      </c>
      <c r="E1167" s="1" t="str">
        <f>TRIM(CLEAN(Sheet1[[#This Row],[Category]]))</f>
        <v>Office Supplies</v>
      </c>
      <c r="F1167">
        <v>4</v>
      </c>
      <c r="G1167" t="str">
        <f t="shared" si="18"/>
        <v>2. Mid-Market (4-7 Units)</v>
      </c>
      <c r="H1167">
        <v>4</v>
      </c>
      <c r="I1167">
        <v>394.69</v>
      </c>
      <c r="J1167">
        <f>IF(ISBLANK(I1167), ROUND(I1167/ABS(VALUE(_xlfn.TEXTBEFORE(F1167&amp;" ", " "))), 2), ABS(VALUE(SUBSTITUTE(I1167, "$", ""))))</f>
        <v>394.69</v>
      </c>
      <c r="K1167">
        <f>ROUND(Sheet1[[#This Row],[CleanedUnits_sold]]*Sheet1[[#This Row],[Cleaned_Unit_Price]],2)</f>
        <v>1578.76</v>
      </c>
      <c r="L1167">
        <v>1578.76</v>
      </c>
      <c r="M1167" s="1" t="s">
        <v>2240</v>
      </c>
      <c r="N1167" s="1" t="s">
        <v>14</v>
      </c>
      <c r="O1167" s="1" t="s">
        <v>2240</v>
      </c>
    </row>
    <row r="1168" spans="1:15" x14ac:dyDescent="0.35">
      <c r="A1168" s="1" t="s">
        <v>2241</v>
      </c>
      <c r="B1168" s="2">
        <v>45203</v>
      </c>
      <c r="C1168" s="1" t="s">
        <v>11</v>
      </c>
      <c r="D1168" s="1" t="s">
        <v>12</v>
      </c>
      <c r="E1168" s="1" t="str">
        <f>TRIM(CLEAN(Sheet1[[#This Row],[Category]]))</f>
        <v>Office Supplies</v>
      </c>
      <c r="F1168">
        <v>6</v>
      </c>
      <c r="G1168" t="str">
        <f t="shared" si="18"/>
        <v>2. Mid-Market (4-7 Units)</v>
      </c>
      <c r="H1168">
        <v>6</v>
      </c>
      <c r="I1168">
        <v>412.57</v>
      </c>
      <c r="J1168">
        <f>IF(ISBLANK(I1168), ROUND(I1168/ABS(VALUE(_xlfn.TEXTBEFORE(F1168&amp;" ", " "))), 2), ABS(VALUE(SUBSTITUTE(I1168, "$", ""))))</f>
        <v>412.57</v>
      </c>
      <c r="K1168">
        <f>ROUND(Sheet1[[#This Row],[CleanedUnits_sold]]*Sheet1[[#This Row],[Cleaned_Unit_Price]],2)</f>
        <v>2475.42</v>
      </c>
      <c r="L1168">
        <v>2475.42</v>
      </c>
      <c r="M1168" s="1" t="s">
        <v>2242</v>
      </c>
      <c r="N1168" s="1" t="s">
        <v>38</v>
      </c>
      <c r="O1168" s="1" t="s">
        <v>2242</v>
      </c>
    </row>
    <row r="1169" spans="1:15" x14ac:dyDescent="0.35">
      <c r="A1169" s="1" t="s">
        <v>2243</v>
      </c>
      <c r="B1169" s="2">
        <v>44963</v>
      </c>
      <c r="C1169" s="1" t="s">
        <v>16</v>
      </c>
      <c r="D1169" s="1" t="s">
        <v>24</v>
      </c>
      <c r="E1169" s="1" t="str">
        <f>TRIM(CLEAN(Sheet1[[#This Row],[Category]]))</f>
        <v>Electronics</v>
      </c>
      <c r="F1169">
        <v>2</v>
      </c>
      <c r="G1169" t="str">
        <f t="shared" si="18"/>
        <v>1. Retail (1-3 Units)</v>
      </c>
      <c r="H1169">
        <v>2</v>
      </c>
      <c r="I1169">
        <v>281.7</v>
      </c>
      <c r="J1169">
        <f>IF(ISBLANK(I1169), ROUND(I1169/ABS(VALUE(_xlfn.TEXTBEFORE(F1169&amp;" ", " "))), 2), ABS(VALUE(SUBSTITUTE(I1169, "$", ""))))</f>
        <v>281.7</v>
      </c>
      <c r="K1169">
        <f>ROUND(Sheet1[[#This Row],[CleanedUnits_sold]]*Sheet1[[#This Row],[Cleaned_Unit_Price]],2)</f>
        <v>563.4</v>
      </c>
      <c r="M1169" s="1" t="s">
        <v>2244</v>
      </c>
      <c r="N1169" s="1" t="s">
        <v>50</v>
      </c>
      <c r="O1169" s="1" t="s">
        <v>2244</v>
      </c>
    </row>
    <row r="1170" spans="1:15" x14ac:dyDescent="0.35">
      <c r="A1170" s="1" t="s">
        <v>2245</v>
      </c>
      <c r="B1170" s="2">
        <v>1</v>
      </c>
      <c r="C1170" s="1" t="s">
        <v>16</v>
      </c>
      <c r="D1170" s="1" t="s">
        <v>24</v>
      </c>
      <c r="E1170" s="1" t="str">
        <f>TRIM(CLEAN(Sheet1[[#This Row],[Category]]))</f>
        <v>Electronics</v>
      </c>
      <c r="F1170">
        <v>4</v>
      </c>
      <c r="G1170" t="str">
        <f t="shared" si="18"/>
        <v>2. Mid-Market (4-7 Units)</v>
      </c>
      <c r="H1170">
        <v>4</v>
      </c>
      <c r="I1170" t="s">
        <v>332</v>
      </c>
      <c r="J1170">
        <f>IF(ISBLANK(I1170), ROUND(I1170/ABS(VALUE(_xlfn.TEXTBEFORE(F1170&amp;" ", " "))), 2), ABS(VALUE(SUBSTITUTE(I1170, "$", ""))))</f>
        <v>250</v>
      </c>
      <c r="K1170">
        <f>ROUND(Sheet1[[#This Row],[CleanedUnits_sold]]*Sheet1[[#This Row],[Cleaned_Unit_Price]],2)</f>
        <v>1000</v>
      </c>
      <c r="L1170">
        <v>392.4</v>
      </c>
      <c r="M1170" s="1" t="s">
        <v>2246</v>
      </c>
      <c r="N1170" s="1" t="s">
        <v>21</v>
      </c>
      <c r="O1170" s="1" t="s">
        <v>2246</v>
      </c>
    </row>
    <row r="1171" spans="1:15" x14ac:dyDescent="0.35">
      <c r="A1171" s="1" t="s">
        <v>2247</v>
      </c>
      <c r="B1171" s="2">
        <v>45208</v>
      </c>
      <c r="C1171" s="1" t="s">
        <v>58</v>
      </c>
      <c r="D1171" s="1" t="s">
        <v>46</v>
      </c>
      <c r="E1171" s="1" t="str">
        <f>TRIM(CLEAN(Sheet1[[#This Row],[Category]]))</f>
        <v>Furniture</v>
      </c>
      <c r="F1171">
        <v>2</v>
      </c>
      <c r="G1171" t="str">
        <f t="shared" si="18"/>
        <v>1. Retail (1-3 Units)</v>
      </c>
      <c r="H1171">
        <v>2</v>
      </c>
      <c r="I1171">
        <v>239.2</v>
      </c>
      <c r="J1171">
        <f>IF(ISBLANK(I1171), ROUND(I1171/ABS(VALUE(_xlfn.TEXTBEFORE(F1171&amp;" ", " "))), 2), ABS(VALUE(SUBSTITUTE(I1171, "$", ""))))</f>
        <v>239.2</v>
      </c>
      <c r="K1171">
        <f>ROUND(Sheet1[[#This Row],[CleanedUnits_sold]]*Sheet1[[#This Row],[Cleaned_Unit_Price]],2)</f>
        <v>478.4</v>
      </c>
      <c r="M1171" s="1" t="s">
        <v>2248</v>
      </c>
      <c r="N1171" s="1" t="s">
        <v>26</v>
      </c>
      <c r="O1171" s="1" t="s">
        <v>2248</v>
      </c>
    </row>
    <row r="1172" spans="1:15" x14ac:dyDescent="0.35">
      <c r="A1172" s="1" t="s">
        <v>2249</v>
      </c>
      <c r="B1172" s="2">
        <v>45111</v>
      </c>
      <c r="C1172" s="1" t="s">
        <v>19</v>
      </c>
      <c r="D1172" s="1" t="s">
        <v>24</v>
      </c>
      <c r="E1172" s="1" t="str">
        <f>TRIM(CLEAN(Sheet1[[#This Row],[Category]]))</f>
        <v>Electronics</v>
      </c>
      <c r="F1172">
        <v>8</v>
      </c>
      <c r="G1172" t="str">
        <f t="shared" si="18"/>
        <v>3. Wholesale / Bulk (8+ Units)</v>
      </c>
      <c r="H1172">
        <v>8</v>
      </c>
      <c r="J1172">
        <f>IF(ISBLANK(I1172), ROUND(I1172/ABS(VALUE(_xlfn.TEXTBEFORE(F1172&amp;" ", " "))), 2), ABS(VALUE(SUBSTITUTE(I1172, "$", ""))))</f>
        <v>0</v>
      </c>
      <c r="K1172">
        <f>ROUND(Sheet1[[#This Row],[CleanedUnits_sold]]*Sheet1[[#This Row],[Cleaned_Unit_Price]],2)</f>
        <v>0</v>
      </c>
      <c r="L1172">
        <v>3874.88</v>
      </c>
      <c r="M1172" s="1" t="s">
        <v>49</v>
      </c>
      <c r="N1172" s="1" t="s">
        <v>50</v>
      </c>
      <c r="O1172" s="1" t="s">
        <v>51</v>
      </c>
    </row>
    <row r="1173" spans="1:15" x14ac:dyDescent="0.35">
      <c r="A1173" s="1" t="s">
        <v>2250</v>
      </c>
      <c r="B1173" s="2">
        <v>45077</v>
      </c>
      <c r="C1173" s="1" t="s">
        <v>16</v>
      </c>
      <c r="D1173" s="1" t="s">
        <v>24</v>
      </c>
      <c r="E1173" s="1" t="str">
        <f>TRIM(CLEAN(Sheet1[[#This Row],[Category]]))</f>
        <v>Electronics</v>
      </c>
      <c r="F1173">
        <v>7</v>
      </c>
      <c r="G1173" t="str">
        <f t="shared" si="18"/>
        <v>2. Mid-Market (4-7 Units)</v>
      </c>
      <c r="H1173">
        <v>7</v>
      </c>
      <c r="I1173">
        <v>378.96</v>
      </c>
      <c r="J1173">
        <f>IF(ISBLANK(I1173), ROUND(I1173/ABS(VALUE(_xlfn.TEXTBEFORE(F1173&amp;" ", " "))), 2), ABS(VALUE(SUBSTITUTE(I1173, "$", ""))))</f>
        <v>378.96</v>
      </c>
      <c r="K1173">
        <f>ROUND(Sheet1[[#This Row],[CleanedUnits_sold]]*Sheet1[[#This Row],[Cleaned_Unit_Price]],2)</f>
        <v>2652.72</v>
      </c>
      <c r="L1173">
        <v>2816.87</v>
      </c>
      <c r="M1173" s="1" t="s">
        <v>2251</v>
      </c>
      <c r="N1173" s="1" t="s">
        <v>14</v>
      </c>
      <c r="O1173" s="1" t="s">
        <v>2251</v>
      </c>
    </row>
    <row r="1174" spans="1:15" x14ac:dyDescent="0.35">
      <c r="A1174" s="1" t="s">
        <v>2252</v>
      </c>
      <c r="B1174" s="2">
        <v>1</v>
      </c>
      <c r="C1174" s="1" t="s">
        <v>19</v>
      </c>
      <c r="D1174" s="1" t="s">
        <v>24</v>
      </c>
      <c r="E1174" s="1" t="str">
        <f>TRIM(CLEAN(Sheet1[[#This Row],[Category]]))</f>
        <v>Electronics</v>
      </c>
      <c r="F1174">
        <v>2</v>
      </c>
      <c r="G1174" t="str">
        <f t="shared" si="18"/>
        <v>1. Retail (1-3 Units)</v>
      </c>
      <c r="H1174">
        <v>2</v>
      </c>
      <c r="I1174">
        <v>407.47</v>
      </c>
      <c r="J1174">
        <f>IF(ISBLANK(I1174), ROUND(I1174/ABS(VALUE(_xlfn.TEXTBEFORE(F1174&amp;" ", " "))), 2), ABS(VALUE(SUBSTITUTE(I1174, "$", ""))))</f>
        <v>407.47</v>
      </c>
      <c r="K1174">
        <f>ROUND(Sheet1[[#This Row],[CleanedUnits_sold]]*Sheet1[[#This Row],[Cleaned_Unit_Price]],2)</f>
        <v>814.94</v>
      </c>
      <c r="L1174">
        <v>814.94</v>
      </c>
      <c r="M1174" s="1" t="s">
        <v>2253</v>
      </c>
      <c r="N1174" s="1" t="s">
        <v>50</v>
      </c>
      <c r="O1174" s="1" t="s">
        <v>2253</v>
      </c>
    </row>
    <row r="1175" spans="1:15" x14ac:dyDescent="0.35">
      <c r="A1175" s="1" t="s">
        <v>2254</v>
      </c>
      <c r="B1175" s="2">
        <v>45076</v>
      </c>
      <c r="C1175" s="1" t="s">
        <v>16</v>
      </c>
      <c r="D1175" s="1" t="s">
        <v>24</v>
      </c>
      <c r="E1175" s="1" t="str">
        <f>TRIM(CLEAN(Sheet1[[#This Row],[Category]]))</f>
        <v>Electronics</v>
      </c>
      <c r="F1175">
        <v>5</v>
      </c>
      <c r="G1175" t="str">
        <f t="shared" si="18"/>
        <v>2. Mid-Market (4-7 Units)</v>
      </c>
      <c r="H1175">
        <v>5</v>
      </c>
      <c r="I1175">
        <v>26.08</v>
      </c>
      <c r="J1175">
        <f>IF(ISBLANK(I1175), ROUND(I1175/ABS(VALUE(_xlfn.TEXTBEFORE(F1175&amp;" ", " "))), 2), ABS(VALUE(SUBSTITUTE(I1175, "$", ""))))</f>
        <v>26.08</v>
      </c>
      <c r="K1175">
        <f>ROUND(Sheet1[[#This Row],[CleanedUnits_sold]]*Sheet1[[#This Row],[Cleaned_Unit_Price]],2)</f>
        <v>130.4</v>
      </c>
      <c r="L1175">
        <v>130.4</v>
      </c>
      <c r="M1175" s="1"/>
      <c r="N1175" s="1" t="s">
        <v>26</v>
      </c>
      <c r="O1175" s="1" t="s">
        <v>131</v>
      </c>
    </row>
    <row r="1176" spans="1:15" x14ac:dyDescent="0.35">
      <c r="A1176" s="1" t="s">
        <v>2255</v>
      </c>
      <c r="B1176" s="2">
        <v>44986</v>
      </c>
      <c r="C1176" s="1" t="s">
        <v>23</v>
      </c>
      <c r="D1176" s="1" t="s">
        <v>12</v>
      </c>
      <c r="E1176" s="1" t="str">
        <f>TRIM(CLEAN(Sheet1[[#This Row],[Category]]))</f>
        <v>Office Supplies</v>
      </c>
      <c r="F1176">
        <v>6</v>
      </c>
      <c r="G1176" t="str">
        <f t="shared" si="18"/>
        <v>2. Mid-Market (4-7 Units)</v>
      </c>
      <c r="H1176">
        <v>6</v>
      </c>
      <c r="I1176">
        <v>239.25</v>
      </c>
      <c r="J1176">
        <f>IF(ISBLANK(I1176), ROUND(I1176/ABS(VALUE(_xlfn.TEXTBEFORE(F1176&amp;" ", " "))), 2), ABS(VALUE(SUBSTITUTE(I1176, "$", ""))))</f>
        <v>239.25</v>
      </c>
      <c r="K1176">
        <f>ROUND(Sheet1[[#This Row],[CleanedUnits_sold]]*Sheet1[[#This Row],[Cleaned_Unit_Price]],2)</f>
        <v>1435.5</v>
      </c>
      <c r="L1176">
        <v>1435.5</v>
      </c>
      <c r="M1176" s="1" t="s">
        <v>2256</v>
      </c>
      <c r="N1176" s="1" t="s">
        <v>50</v>
      </c>
      <c r="O1176" s="1" t="s">
        <v>2256</v>
      </c>
    </row>
    <row r="1177" spans="1:15" x14ac:dyDescent="0.35">
      <c r="A1177" s="1" t="s">
        <v>2257</v>
      </c>
      <c r="B1177" s="2">
        <v>45168</v>
      </c>
      <c r="C1177" s="1" t="s">
        <v>11</v>
      </c>
      <c r="D1177" s="1" t="s">
        <v>32</v>
      </c>
      <c r="E1177" s="1" t="str">
        <f>TRIM(CLEAN(Sheet1[[#This Row],[Category]]))</f>
        <v>Furniture</v>
      </c>
      <c r="F1177">
        <v>7</v>
      </c>
      <c r="G1177" t="str">
        <f t="shared" si="18"/>
        <v>2. Mid-Market (4-7 Units)</v>
      </c>
      <c r="H1177">
        <v>7</v>
      </c>
      <c r="I1177">
        <v>326.83999999999997</v>
      </c>
      <c r="J1177">
        <f>IF(ISBLANK(I1177), ROUND(I1177/ABS(VALUE(_xlfn.TEXTBEFORE(F1177&amp;" ", " "))), 2), ABS(VALUE(SUBSTITUTE(I1177, "$", ""))))</f>
        <v>326.83999999999997</v>
      </c>
      <c r="K1177">
        <f>ROUND(Sheet1[[#This Row],[CleanedUnits_sold]]*Sheet1[[#This Row],[Cleaned_Unit_Price]],2)</f>
        <v>2287.88</v>
      </c>
      <c r="L1177">
        <v>2287.88</v>
      </c>
      <c r="M1177" s="1" t="s">
        <v>2258</v>
      </c>
      <c r="N1177" s="1" t="s">
        <v>50</v>
      </c>
      <c r="O1177" s="1" t="s">
        <v>2258</v>
      </c>
    </row>
  </sheetData>
  <pageMargins left="0.7" right="0.7" top="0.75" bottom="0.75" header="0.3" footer="0.3"/>
  <headerFooter>
    <oddFooter>&amp;R_x000D_&amp;1#&amp;"Aptos"&amp;8&amp;K000000 Cisco Confidential</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43B46-2719-4497-B7D9-BF3223E25C49}">
  <dimension ref="A1:I21"/>
  <sheetViews>
    <sheetView workbookViewId="0">
      <selection activeCell="N9" sqref="N9"/>
    </sheetView>
  </sheetViews>
  <sheetFormatPr defaultRowHeight="14.5" x14ac:dyDescent="0.35"/>
  <cols>
    <col min="1" max="1" width="13" bestFit="1" customWidth="1"/>
    <col min="2" max="2" width="12.26953125" bestFit="1" customWidth="1"/>
    <col min="3" max="3" width="21.6328125" bestFit="1" customWidth="1"/>
    <col min="5" max="5" width="13" bestFit="1" customWidth="1"/>
  </cols>
  <sheetData>
    <row r="1" spans="1:9" x14ac:dyDescent="0.35">
      <c r="A1" t="s">
        <v>2272</v>
      </c>
    </row>
    <row r="4" spans="1:9" x14ac:dyDescent="0.35">
      <c r="A4" s="3" t="s">
        <v>2262</v>
      </c>
      <c r="B4" t="s">
        <v>2337</v>
      </c>
      <c r="C4" t="s">
        <v>2338</v>
      </c>
      <c r="E4" t="s">
        <v>3</v>
      </c>
      <c r="F4" t="s">
        <v>2268</v>
      </c>
      <c r="H4" t="s">
        <v>3</v>
      </c>
      <c r="I4" t="s">
        <v>2269</v>
      </c>
    </row>
    <row r="5" spans="1:9" x14ac:dyDescent="0.35">
      <c r="A5" s="4" t="s">
        <v>24</v>
      </c>
      <c r="B5" s="1">
        <v>518708.37999999983</v>
      </c>
      <c r="C5" s="5">
        <v>0.36819727891156462</v>
      </c>
      <c r="E5" t="s">
        <v>46</v>
      </c>
      <c r="F5">
        <v>1146.8824573378836</v>
      </c>
      <c r="H5" t="s">
        <v>46</v>
      </c>
      <c r="I5">
        <v>293</v>
      </c>
    </row>
    <row r="6" spans="1:9" x14ac:dyDescent="0.35">
      <c r="A6" s="4" t="s">
        <v>46</v>
      </c>
      <c r="B6" s="1">
        <v>336036.55999999988</v>
      </c>
      <c r="C6" s="5">
        <v>0.24914965986394558</v>
      </c>
      <c r="E6" t="s">
        <v>24</v>
      </c>
      <c r="F6">
        <v>1197.9408314087757</v>
      </c>
      <c r="H6" t="s">
        <v>24</v>
      </c>
      <c r="I6">
        <v>433</v>
      </c>
    </row>
    <row r="7" spans="1:9" x14ac:dyDescent="0.35">
      <c r="A7" s="4" t="s">
        <v>12</v>
      </c>
      <c r="B7" s="1">
        <v>547444.41000000015</v>
      </c>
      <c r="C7" s="5">
        <v>0.38265306122448978</v>
      </c>
      <c r="E7" t="s">
        <v>12</v>
      </c>
      <c r="F7">
        <v>1216.5431333333336</v>
      </c>
      <c r="H7" t="s">
        <v>12</v>
      </c>
      <c r="I7">
        <v>450</v>
      </c>
    </row>
    <row r="8" spans="1:9" x14ac:dyDescent="0.35">
      <c r="A8" s="4" t="s">
        <v>2263</v>
      </c>
      <c r="B8" s="1">
        <v>1402189.3499999996</v>
      </c>
      <c r="C8" s="5">
        <v>1</v>
      </c>
    </row>
    <row r="9" spans="1:9" x14ac:dyDescent="0.35">
      <c r="F9" s="6" t="s">
        <v>2271</v>
      </c>
    </row>
    <row r="10" spans="1:9" x14ac:dyDescent="0.35">
      <c r="F10" s="6" t="s">
        <v>2267</v>
      </c>
    </row>
    <row r="12" spans="1:9" x14ac:dyDescent="0.35">
      <c r="F12" t="s">
        <v>2266</v>
      </c>
    </row>
    <row r="14" spans="1:9" x14ac:dyDescent="0.35">
      <c r="F14" s="7" t="s">
        <v>2270</v>
      </c>
    </row>
    <row r="21" spans="1:1" x14ac:dyDescent="0.35">
      <c r="A21" s="6"/>
    </row>
  </sheetData>
  <pageMargins left="0.7" right="0.7" top="0.75" bottom="0.75" header="0.3" footer="0.3"/>
  <pageSetup orientation="portrait" r:id="rId2"/>
  <headerFooter>
    <oddFooter>&amp;R_x000D_&amp;1#&amp;"Aptos"&amp;8&amp;K000000 Cisco Confidential</oddFooter>
  </headerFooter>
  <drawing r:id="rId3"/>
  <tableParts count="2">
    <tablePart r:id="rId4"/>
    <tablePart r:id="rId5"/>
  </tableParts>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D5A75-7E1E-4187-A333-EAD0B8FA88FD}">
  <dimension ref="A2:L39"/>
  <sheetViews>
    <sheetView zoomScale="77" zoomScaleNormal="77" workbookViewId="0">
      <selection activeCell="F22" sqref="F22"/>
    </sheetView>
  </sheetViews>
  <sheetFormatPr defaultRowHeight="14.5" x14ac:dyDescent="0.35"/>
  <cols>
    <col min="1" max="1" width="14.81640625" bestFit="1" customWidth="1"/>
    <col min="2" max="2" width="12.453125" bestFit="1" customWidth="1"/>
    <col min="3" max="3" width="11.26953125" bestFit="1" customWidth="1"/>
    <col min="4" max="4" width="13.7265625" bestFit="1" customWidth="1"/>
    <col min="5" max="5" width="10.81640625" bestFit="1" customWidth="1"/>
    <col min="6" max="6" width="22.08984375" customWidth="1"/>
    <col min="8" max="8" width="10.36328125" customWidth="1"/>
    <col min="9" max="9" width="24.08984375" bestFit="1" customWidth="1"/>
  </cols>
  <sheetData>
    <row r="2" spans="1:12" x14ac:dyDescent="0.35">
      <c r="A2" s="6" t="s">
        <v>2273</v>
      </c>
    </row>
    <row r="5" spans="1:12" x14ac:dyDescent="0.35">
      <c r="A5" s="3" t="s">
        <v>2262</v>
      </c>
      <c r="B5" t="s">
        <v>2277</v>
      </c>
      <c r="C5" t="s">
        <v>2276</v>
      </c>
      <c r="E5" t="s">
        <v>3</v>
      </c>
      <c r="F5" t="s">
        <v>2268</v>
      </c>
      <c r="H5" s="12" t="s">
        <v>3</v>
      </c>
      <c r="I5" s="13" t="s">
        <v>2283</v>
      </c>
    </row>
    <row r="6" spans="1:12" x14ac:dyDescent="0.35">
      <c r="A6" s="4" t="s">
        <v>23</v>
      </c>
      <c r="B6" s="1">
        <v>275303.8899999999</v>
      </c>
      <c r="C6" s="1">
        <v>226</v>
      </c>
      <c r="E6" t="s">
        <v>2281</v>
      </c>
      <c r="F6" s="11">
        <v>1246.0214971751407</v>
      </c>
      <c r="H6" t="s">
        <v>23</v>
      </c>
      <c r="I6" s="16">
        <v>19.633859720871509</v>
      </c>
      <c r="K6" s="4"/>
      <c r="L6" s="1"/>
    </row>
    <row r="7" spans="1:12" x14ac:dyDescent="0.35">
      <c r="A7" s="4" t="s">
        <v>16</v>
      </c>
      <c r="B7" s="1">
        <v>441091.60999999981</v>
      </c>
      <c r="C7" s="1">
        <v>354</v>
      </c>
      <c r="E7" t="s">
        <v>2282</v>
      </c>
      <c r="F7" s="11">
        <v>1060.095405405405</v>
      </c>
      <c r="H7" t="s">
        <v>16</v>
      </c>
      <c r="I7" s="16">
        <v>31.457349893578929</v>
      </c>
      <c r="K7" s="4"/>
      <c r="L7" s="1"/>
    </row>
    <row r="8" spans="1:12" x14ac:dyDescent="0.35">
      <c r="A8" s="4" t="s">
        <v>11</v>
      </c>
      <c r="B8" s="1">
        <v>235341.17999999993</v>
      </c>
      <c r="C8" s="1">
        <v>222</v>
      </c>
      <c r="E8" t="s">
        <v>23</v>
      </c>
      <c r="F8" s="11">
        <v>1218.1588053097341</v>
      </c>
      <c r="H8" t="s">
        <v>11</v>
      </c>
      <c r="I8" s="16">
        <v>16.783837361195197</v>
      </c>
      <c r="K8" s="4"/>
      <c r="L8" s="1"/>
    </row>
    <row r="9" spans="1:12" x14ac:dyDescent="0.35">
      <c r="A9" s="4" t="s">
        <v>58</v>
      </c>
      <c r="B9" s="1">
        <v>145476.32999999999</v>
      </c>
      <c r="C9" s="1">
        <v>130</v>
      </c>
      <c r="E9" t="s">
        <v>19</v>
      </c>
      <c r="F9" s="11">
        <v>1249.903032786885</v>
      </c>
      <c r="H9" t="s">
        <v>58</v>
      </c>
      <c r="I9" s="16">
        <v>10.374941872151581</v>
      </c>
      <c r="K9" s="4"/>
      <c r="L9" s="1"/>
    </row>
    <row r="10" spans="1:12" x14ac:dyDescent="0.35">
      <c r="A10" s="4" t="s">
        <v>19</v>
      </c>
      <c r="B10" s="1">
        <v>304976.33999999991</v>
      </c>
      <c r="C10" s="1">
        <v>244</v>
      </c>
      <c r="E10" t="s">
        <v>58</v>
      </c>
      <c r="F10" s="11">
        <v>1119.0486923076921</v>
      </c>
      <c r="H10" t="s">
        <v>19</v>
      </c>
      <c r="I10" s="16">
        <v>21.750011152202813</v>
      </c>
      <c r="K10" s="4"/>
      <c r="L10" s="1"/>
    </row>
    <row r="11" spans="1:12" x14ac:dyDescent="0.35">
      <c r="A11" s="4" t="s">
        <v>2263</v>
      </c>
      <c r="B11" s="1">
        <v>1402189.3499999992</v>
      </c>
      <c r="C11" s="1">
        <v>1176</v>
      </c>
      <c r="K11" s="6"/>
    </row>
    <row r="13" spans="1:12" x14ac:dyDescent="0.35">
      <c r="F13" s="14"/>
      <c r="G13" s="15"/>
    </row>
    <row r="14" spans="1:12" x14ac:dyDescent="0.35">
      <c r="F14" s="6" t="s">
        <v>2285</v>
      </c>
    </row>
    <row r="15" spans="1:12" x14ac:dyDescent="0.35">
      <c r="F15" t="s">
        <v>2286</v>
      </c>
    </row>
    <row r="16" spans="1:12" x14ac:dyDescent="0.35">
      <c r="F16" t="s">
        <v>2287</v>
      </c>
    </row>
    <row r="17" spans="6:6" x14ac:dyDescent="0.35">
      <c r="F17" t="s">
        <v>2288</v>
      </c>
    </row>
    <row r="18" spans="6:6" x14ac:dyDescent="0.35">
      <c r="F18" t="s">
        <v>2292</v>
      </c>
    </row>
    <row r="20" spans="6:6" x14ac:dyDescent="0.35">
      <c r="F20" t="s">
        <v>2289</v>
      </c>
    </row>
    <row r="21" spans="6:6" x14ac:dyDescent="0.35">
      <c r="F21" t="s">
        <v>2290</v>
      </c>
    </row>
    <row r="22" spans="6:6" x14ac:dyDescent="0.35">
      <c r="F22" t="s">
        <v>2291</v>
      </c>
    </row>
    <row r="33" spans="6:6" ht="17.5" x14ac:dyDescent="0.35">
      <c r="F33" s="17" t="s">
        <v>2293</v>
      </c>
    </row>
    <row r="34" spans="6:6" x14ac:dyDescent="0.35">
      <c r="F34" s="9"/>
    </row>
    <row r="35" spans="6:6" x14ac:dyDescent="0.35">
      <c r="F35" s="18" t="s">
        <v>2294</v>
      </c>
    </row>
    <row r="36" spans="6:6" x14ac:dyDescent="0.35">
      <c r="F36" s="9"/>
    </row>
    <row r="37" spans="6:6" x14ac:dyDescent="0.35">
      <c r="F37" s="18" t="s">
        <v>2295</v>
      </c>
    </row>
    <row r="38" spans="6:6" x14ac:dyDescent="0.35">
      <c r="F38" s="9"/>
    </row>
    <row r="39" spans="6:6" x14ac:dyDescent="0.35">
      <c r="F39" s="18" t="s">
        <v>2296</v>
      </c>
    </row>
  </sheetData>
  <pageMargins left="0.7" right="0.7" top="0.75" bottom="0.75" header="0.3" footer="0.3"/>
  <drawing r:id="rId2"/>
  <tableParts count="2">
    <tablePart r:id="rId3"/>
    <tablePart r:id="rId4"/>
  </tableParts>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31845-94E9-4681-9DCF-629ACC1BD528}">
  <dimension ref="A2:G25"/>
  <sheetViews>
    <sheetView topLeftCell="A2" workbookViewId="0">
      <selection activeCell="D11" sqref="D11"/>
    </sheetView>
  </sheetViews>
  <sheetFormatPr defaultRowHeight="14.5" x14ac:dyDescent="0.35"/>
  <cols>
    <col min="1" max="1" width="12.453125" bestFit="1" customWidth="1"/>
    <col min="2" max="2" width="12" bestFit="1" customWidth="1"/>
    <col min="6" max="6" width="15.453125" customWidth="1"/>
  </cols>
  <sheetData>
    <row r="2" spans="1:7" ht="17.5" x14ac:dyDescent="0.35">
      <c r="A2" s="8" t="s">
        <v>2274</v>
      </c>
    </row>
    <row r="3" spans="1:7" x14ac:dyDescent="0.35">
      <c r="A3" s="9"/>
    </row>
    <row r="4" spans="1:7" x14ac:dyDescent="0.35">
      <c r="A4" s="10" t="s">
        <v>2275</v>
      </c>
    </row>
    <row r="7" spans="1:7" x14ac:dyDescent="0.35">
      <c r="A7" s="3" t="s">
        <v>2262</v>
      </c>
      <c r="B7" t="s">
        <v>2277</v>
      </c>
      <c r="F7" t="s">
        <v>2300</v>
      </c>
      <c r="G7" t="s">
        <v>2299</v>
      </c>
    </row>
    <row r="8" spans="1:7" x14ac:dyDescent="0.35">
      <c r="A8" s="4" t="s">
        <v>50</v>
      </c>
      <c r="B8" s="1">
        <v>322868.47999999981</v>
      </c>
      <c r="F8" s="4" t="s">
        <v>50</v>
      </c>
      <c r="G8">
        <v>1187.0164705882346</v>
      </c>
    </row>
    <row r="9" spans="1:7" x14ac:dyDescent="0.35">
      <c r="A9" s="4" t="s">
        <v>14</v>
      </c>
      <c r="B9" s="1">
        <v>462165.12999999989</v>
      </c>
      <c r="F9" s="4" t="s">
        <v>14</v>
      </c>
      <c r="G9">
        <v>1203.5550260416665</v>
      </c>
    </row>
    <row r="10" spans="1:7" x14ac:dyDescent="0.35">
      <c r="A10" s="4" t="s">
        <v>38</v>
      </c>
      <c r="B10" s="1">
        <v>153465.95000000001</v>
      </c>
      <c r="F10" s="4" t="s">
        <v>38</v>
      </c>
      <c r="G10">
        <v>1128.42610294118</v>
      </c>
    </row>
    <row r="11" spans="1:7" x14ac:dyDescent="0.35">
      <c r="A11" s="4" t="s">
        <v>26</v>
      </c>
      <c r="B11" s="1">
        <v>312286.0400000001</v>
      </c>
      <c r="F11" s="4" t="s">
        <v>26</v>
      </c>
      <c r="G11">
        <v>1291.4326562499998</v>
      </c>
    </row>
    <row r="12" spans="1:7" x14ac:dyDescent="0.35">
      <c r="A12" s="4" t="s">
        <v>21</v>
      </c>
      <c r="B12" s="1">
        <v>151403.75</v>
      </c>
      <c r="F12" s="4" t="s">
        <v>21</v>
      </c>
      <c r="G12">
        <v>1254.3499999999995</v>
      </c>
    </row>
    <row r="13" spans="1:7" x14ac:dyDescent="0.35">
      <c r="A13" s="4" t="s">
        <v>2263</v>
      </c>
      <c r="B13" s="1">
        <v>1402189.3499999996</v>
      </c>
    </row>
    <row r="15" spans="1:7" x14ac:dyDescent="0.35">
      <c r="G15" t="s">
        <v>2285</v>
      </c>
    </row>
    <row r="16" spans="1:7" x14ac:dyDescent="0.35">
      <c r="G16" t="s">
        <v>2303</v>
      </c>
    </row>
    <row r="17" spans="7:7" x14ac:dyDescent="0.35">
      <c r="G17" t="s">
        <v>2301</v>
      </c>
    </row>
    <row r="18" spans="7:7" x14ac:dyDescent="0.35">
      <c r="G18" t="s">
        <v>2301</v>
      </c>
    </row>
    <row r="19" spans="7:7" x14ac:dyDescent="0.35">
      <c r="G19" t="s">
        <v>2302</v>
      </c>
    </row>
    <row r="20" spans="7:7" x14ac:dyDescent="0.35">
      <c r="G20" t="s">
        <v>2304</v>
      </c>
    </row>
    <row r="22" spans="7:7" x14ac:dyDescent="0.35">
      <c r="G22" t="s">
        <v>2305</v>
      </c>
    </row>
    <row r="23" spans="7:7" x14ac:dyDescent="0.35">
      <c r="G23" t="s">
        <v>2306</v>
      </c>
    </row>
    <row r="24" spans="7:7" x14ac:dyDescent="0.35">
      <c r="G24" t="s">
        <v>2307</v>
      </c>
    </row>
    <row r="25" spans="7:7" x14ac:dyDescent="0.35">
      <c r="G25" t="s">
        <v>2308</v>
      </c>
    </row>
  </sheetData>
  <pageMargins left="0.7" right="0.7" top="0.75" bottom="0.75" header="0.3" footer="0.3"/>
  <pageSetup orientation="portrait" r:id="rId2"/>
  <drawing r:id="rId3"/>
  <tableParts count="1">
    <tablePart r:id="rId4"/>
  </tableParts>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CD41A-E2D3-4F01-B5EA-FA4127325C66}">
  <dimension ref="A2:I24"/>
  <sheetViews>
    <sheetView topLeftCell="A2" workbookViewId="0">
      <selection activeCell="F14" sqref="F14"/>
    </sheetView>
  </sheetViews>
  <sheetFormatPr defaultRowHeight="14.5" x14ac:dyDescent="0.35"/>
  <cols>
    <col min="1" max="1" width="24.54296875" bestFit="1" customWidth="1"/>
    <col min="2" max="2" width="12.54296875" bestFit="1" customWidth="1"/>
    <col min="3" max="3" width="10.1796875" bestFit="1" customWidth="1"/>
    <col min="5" max="5" width="22.7265625" customWidth="1"/>
    <col min="8" max="8" width="13.54296875" customWidth="1"/>
    <col min="9" max="9" width="14.90625" customWidth="1"/>
    <col min="11" max="11" width="8.7265625" customWidth="1"/>
  </cols>
  <sheetData>
    <row r="2" spans="1:9" ht="17.5" x14ac:dyDescent="0.35">
      <c r="A2" s="8"/>
    </row>
    <row r="3" spans="1:9" x14ac:dyDescent="0.35">
      <c r="A3" s="6" t="s">
        <v>2314</v>
      </c>
    </row>
    <row r="4" spans="1:9" x14ac:dyDescent="0.35">
      <c r="A4" s="10"/>
    </row>
    <row r="5" spans="1:9" x14ac:dyDescent="0.35">
      <c r="A5" s="3" t="s">
        <v>2262</v>
      </c>
      <c r="B5" t="s">
        <v>2334</v>
      </c>
      <c r="C5" t="s">
        <v>2335</v>
      </c>
      <c r="E5" t="s">
        <v>3</v>
      </c>
      <c r="F5" t="s">
        <v>2299</v>
      </c>
      <c r="H5" t="s">
        <v>3</v>
      </c>
      <c r="I5" t="s">
        <v>2326</v>
      </c>
    </row>
    <row r="6" spans="1:9" x14ac:dyDescent="0.35">
      <c r="A6" s="4" t="s">
        <v>2310</v>
      </c>
      <c r="B6" s="1">
        <v>158695.68000000005</v>
      </c>
      <c r="C6" s="5">
        <v>0.24914965986394558</v>
      </c>
      <c r="E6" s="4" t="s">
        <v>2320</v>
      </c>
      <c r="F6" s="16">
        <v>541.62348122866911</v>
      </c>
      <c r="H6" s="4" t="s">
        <v>2320</v>
      </c>
      <c r="I6" s="19">
        <v>293</v>
      </c>
    </row>
    <row r="7" spans="1:9" x14ac:dyDescent="0.35">
      <c r="A7" s="4" t="s">
        <v>2311</v>
      </c>
      <c r="B7" s="1">
        <v>920569.43999999971</v>
      </c>
      <c r="C7" s="5">
        <v>0.62159863945578231</v>
      </c>
      <c r="E7" s="4" t="s">
        <v>2321</v>
      </c>
      <c r="F7" s="16">
        <v>1259.3289192886452</v>
      </c>
      <c r="H7" s="4" t="s">
        <v>2321</v>
      </c>
      <c r="I7" s="19">
        <v>731</v>
      </c>
    </row>
    <row r="8" spans="1:9" x14ac:dyDescent="0.35">
      <c r="A8" s="4" t="s">
        <v>2312</v>
      </c>
      <c r="B8" s="1">
        <v>322924.22999999992</v>
      </c>
      <c r="C8" s="5">
        <v>0.12329931972789115</v>
      </c>
      <c r="E8" s="4" t="s">
        <v>2322</v>
      </c>
      <c r="F8" s="16">
        <v>2227.0636551724133</v>
      </c>
      <c r="H8" s="4" t="s">
        <v>2322</v>
      </c>
      <c r="I8" s="19">
        <v>145</v>
      </c>
    </row>
    <row r="9" spans="1:9" x14ac:dyDescent="0.35">
      <c r="A9" s="4" t="s">
        <v>2313</v>
      </c>
      <c r="B9" s="1">
        <v>0</v>
      </c>
      <c r="C9" s="5">
        <v>5.9523809523809521E-3</v>
      </c>
      <c r="E9" s="4" t="s">
        <v>2313</v>
      </c>
      <c r="F9" s="16">
        <v>248.29714285714289</v>
      </c>
      <c r="H9" s="4" t="s">
        <v>2313</v>
      </c>
      <c r="I9" s="19">
        <v>7</v>
      </c>
    </row>
    <row r="10" spans="1:9" x14ac:dyDescent="0.35">
      <c r="A10" s="4" t="s">
        <v>2263</v>
      </c>
      <c r="B10" s="1">
        <v>1402189.3500000006</v>
      </c>
      <c r="C10" s="5">
        <v>1</v>
      </c>
    </row>
    <row r="13" spans="1:9" x14ac:dyDescent="0.35">
      <c r="E13" s="6" t="s">
        <v>2323</v>
      </c>
    </row>
    <row r="14" spans="1:9" x14ac:dyDescent="0.35">
      <c r="E14" t="s">
        <v>2324</v>
      </c>
    </row>
    <row r="15" spans="1:9" x14ac:dyDescent="0.35">
      <c r="E15" t="s">
        <v>2327</v>
      </c>
    </row>
    <row r="17" spans="5:5" x14ac:dyDescent="0.35">
      <c r="E17" s="7" t="s">
        <v>2330</v>
      </c>
    </row>
    <row r="19" spans="5:5" x14ac:dyDescent="0.35">
      <c r="E19" t="s">
        <v>2331</v>
      </c>
    </row>
    <row r="21" spans="5:5" x14ac:dyDescent="0.35">
      <c r="E21" s="6" t="s">
        <v>2332</v>
      </c>
    </row>
    <row r="22" spans="5:5" x14ac:dyDescent="0.35">
      <c r="E22" t="s">
        <v>2333</v>
      </c>
    </row>
    <row r="24" spans="5:5" x14ac:dyDescent="0.35">
      <c r="E24" t="s">
        <v>2336</v>
      </c>
    </row>
  </sheetData>
  <pageMargins left="0.7" right="0.7" top="0.75" bottom="0.75" header="0.3" footer="0.3"/>
  <drawing r:id="rId2"/>
  <tableParts count="2">
    <tablePart r:id="rId3"/>
    <tablePart r:id="rId4"/>
  </tableParts>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51E57-A1CD-475D-A391-D6456C5DB029}">
  <dimension ref="A1"/>
  <sheetViews>
    <sheetView showGridLines="0" tabSelected="1" zoomScale="60" zoomScaleNormal="60" workbookViewId="0">
      <selection activeCell="AB20" sqref="AB2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FA04C7-9B09-42EA-92CC-D62B73FB92A1}">
  <ds:schemaRefs>
    <ds:schemaRef ds:uri="http://schemas.microsoft.com/DataMashup"/>
  </ds:schemaRefs>
</ds:datastoreItem>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 description</vt:lpstr>
      <vt:lpstr>Raw sales dataset</vt:lpstr>
      <vt:lpstr>Cleaned Dataset</vt:lpstr>
      <vt:lpstr>Q1</vt:lpstr>
      <vt:lpstr>Q2</vt:lpstr>
      <vt:lpstr>Q3</vt:lpstr>
      <vt:lpstr>Q4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Suvarna -X (shrsuvar - TATA CONSULTANCY SERVICES LIMITED at Cisco)</dc:creator>
  <cp:lastModifiedBy>Shruti Suvarna -X (shrsuvar - TATA CONSULTANCY SERVICE</cp:lastModifiedBy>
  <dcterms:created xsi:type="dcterms:W3CDTF">2026-10-06T12:03:48Z</dcterms:created>
  <dcterms:modified xsi:type="dcterms:W3CDTF">2026-10-08T15:02:06Z</dcterms:modified>
</cp:coreProperties>
</file>